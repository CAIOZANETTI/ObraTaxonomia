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zanetti\Downloads\"/>
    </mc:Choice>
  </mc:AlternateContent>
  <xr:revisionPtr revIDLastSave="0" documentId="8_{A086E339-83E6-4544-80E5-BB92D3735E8A}" xr6:coauthVersionLast="47" xr6:coauthVersionMax="47" xr10:uidLastSave="{00000000-0000-0000-0000-000000000000}"/>
  <bookViews>
    <workbookView xWindow="-108" yWindow="-108" windowWidth="23256" windowHeight="12456" xr2:uid="{CBAD4EAE-A0CA-4EDE-A355-443464C30AF4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1" i="1" l="1"/>
  <c r="C600" i="1"/>
  <c r="C599" i="1"/>
  <c r="C598" i="1"/>
  <c r="C597" i="1"/>
  <c r="C596" i="1"/>
  <c r="C595" i="1"/>
  <c r="C594" i="1"/>
  <c r="C593" i="1"/>
  <c r="C592" i="1"/>
  <c r="C591" i="1"/>
  <c r="C590" i="1"/>
  <c r="G585" i="1"/>
  <c r="E601" i="1" s="1"/>
  <c r="G584" i="1"/>
  <c r="G580" i="1"/>
  <c r="E600" i="1" s="1"/>
  <c r="G579" i="1"/>
  <c r="G578" i="1"/>
  <c r="G574" i="1"/>
  <c r="E599" i="1" s="1"/>
  <c r="G573" i="1"/>
  <c r="G572" i="1"/>
  <c r="G571" i="1"/>
  <c r="G570" i="1"/>
  <c r="G569" i="1"/>
  <c r="G568" i="1"/>
  <c r="G567" i="1"/>
  <c r="G566" i="1"/>
  <c r="G559" i="1"/>
  <c r="G558" i="1"/>
  <c r="G560" i="1" s="1"/>
  <c r="G557" i="1"/>
  <c r="G556" i="1"/>
  <c r="G555" i="1"/>
  <c r="G554" i="1"/>
  <c r="G553" i="1"/>
  <c r="G552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48" i="1" s="1"/>
  <c r="G528" i="1"/>
  <c r="G529" i="1" s="1"/>
  <c r="G527" i="1"/>
  <c r="G526" i="1"/>
  <c r="G525" i="1"/>
  <c r="G524" i="1"/>
  <c r="G523" i="1"/>
  <c r="G522" i="1"/>
  <c r="G521" i="1"/>
  <c r="G520" i="1"/>
  <c r="G519" i="1"/>
  <c r="G514" i="1"/>
  <c r="G513" i="1"/>
  <c r="G515" i="1" s="1"/>
  <c r="G509" i="1"/>
  <c r="G508" i="1"/>
  <c r="G507" i="1"/>
  <c r="G506" i="1"/>
  <c r="G505" i="1"/>
  <c r="G504" i="1"/>
  <c r="G499" i="1"/>
  <c r="G498" i="1"/>
  <c r="G497" i="1"/>
  <c r="G496" i="1"/>
  <c r="G495" i="1"/>
  <c r="G500" i="1" s="1"/>
  <c r="G491" i="1"/>
  <c r="G490" i="1"/>
  <c r="G489" i="1"/>
  <c r="G488" i="1"/>
  <c r="G487" i="1"/>
  <c r="G486" i="1"/>
  <c r="G480" i="1"/>
  <c r="G479" i="1"/>
  <c r="G478" i="1"/>
  <c r="G477" i="1"/>
  <c r="G476" i="1"/>
  <c r="G475" i="1"/>
  <c r="G481" i="1" s="1"/>
  <c r="E597" i="1" s="1"/>
  <c r="G471" i="1"/>
  <c r="E596" i="1" s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48" i="1"/>
  <c r="G447" i="1"/>
  <c r="G446" i="1"/>
  <c r="G445" i="1"/>
  <c r="G444" i="1"/>
  <c r="G443" i="1"/>
  <c r="G449" i="1" s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0" i="1"/>
  <c r="G409" i="1"/>
  <c r="G408" i="1"/>
  <c r="G407" i="1"/>
  <c r="G406" i="1"/>
  <c r="G405" i="1"/>
  <c r="G404" i="1"/>
  <c r="G403" i="1"/>
  <c r="G398" i="1"/>
  <c r="G397" i="1"/>
  <c r="G396" i="1"/>
  <c r="G395" i="1"/>
  <c r="G394" i="1"/>
  <c r="G393" i="1"/>
  <c r="G392" i="1"/>
  <c r="G391" i="1"/>
  <c r="G390" i="1"/>
  <c r="G389" i="1"/>
  <c r="G388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81" i="1" s="1"/>
  <c r="G352" i="1"/>
  <c r="G351" i="1"/>
  <c r="G353" i="1" s="1"/>
  <c r="G350" i="1"/>
  <c r="G349" i="1"/>
  <c r="G348" i="1"/>
  <c r="G347" i="1"/>
  <c r="G346" i="1"/>
  <c r="G341" i="1"/>
  <c r="G340" i="1"/>
  <c r="G339" i="1"/>
  <c r="G338" i="1"/>
  <c r="G337" i="1"/>
  <c r="G336" i="1"/>
  <c r="G342" i="1" s="1"/>
  <c r="G335" i="1"/>
  <c r="G334" i="1"/>
  <c r="G333" i="1"/>
  <c r="G332" i="1"/>
  <c r="G331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324" i="1" s="1"/>
  <c r="G295" i="1"/>
  <c r="G294" i="1"/>
  <c r="G293" i="1"/>
  <c r="G292" i="1"/>
  <c r="G296" i="1" s="1"/>
  <c r="G291" i="1"/>
  <c r="G290" i="1"/>
  <c r="G289" i="1"/>
  <c r="G284" i="1"/>
  <c r="G283" i="1"/>
  <c r="G282" i="1"/>
  <c r="G281" i="1"/>
  <c r="G280" i="1"/>
  <c r="G279" i="1"/>
  <c r="G278" i="1"/>
  <c r="G277" i="1"/>
  <c r="G285" i="1" s="1"/>
  <c r="G276" i="1"/>
  <c r="G275" i="1"/>
  <c r="G274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67" i="1" s="1"/>
  <c r="G238" i="1"/>
  <c r="G237" i="1"/>
  <c r="G236" i="1"/>
  <c r="G235" i="1"/>
  <c r="G234" i="1"/>
  <c r="G233" i="1"/>
  <c r="G239" i="1" s="1"/>
  <c r="G232" i="1"/>
  <c r="G227" i="1"/>
  <c r="G226" i="1"/>
  <c r="G225" i="1"/>
  <c r="G224" i="1"/>
  <c r="G223" i="1"/>
  <c r="G222" i="1"/>
  <c r="G221" i="1"/>
  <c r="G220" i="1"/>
  <c r="G219" i="1"/>
  <c r="G218" i="1"/>
  <c r="G228" i="1" s="1"/>
  <c r="G217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210" i="1" s="1"/>
  <c r="G181" i="1"/>
  <c r="G180" i="1"/>
  <c r="G179" i="1"/>
  <c r="G178" i="1"/>
  <c r="G177" i="1"/>
  <c r="G176" i="1"/>
  <c r="G175" i="1"/>
  <c r="G182" i="1" s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5" i="1"/>
  <c r="G154" i="1"/>
  <c r="G153" i="1"/>
  <c r="G152" i="1"/>
  <c r="G151" i="1"/>
  <c r="G150" i="1"/>
  <c r="G145" i="1"/>
  <c r="G144" i="1"/>
  <c r="G143" i="1"/>
  <c r="G136" i="1"/>
  <c r="G137" i="1" s="1"/>
  <c r="G135" i="1"/>
  <c r="G134" i="1"/>
  <c r="G133" i="1"/>
  <c r="G132" i="1"/>
  <c r="G131" i="1"/>
  <c r="G130" i="1"/>
  <c r="G129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25" i="1" s="1"/>
  <c r="G108" i="1"/>
  <c r="G107" i="1"/>
  <c r="G106" i="1"/>
  <c r="G105" i="1"/>
  <c r="G104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100" i="1" s="1"/>
  <c r="G81" i="1"/>
  <c r="G80" i="1"/>
  <c r="G79" i="1"/>
  <c r="G78" i="1"/>
  <c r="G73" i="1"/>
  <c r="G72" i="1"/>
  <c r="G71" i="1"/>
  <c r="G74" i="1" s="1"/>
  <c r="E593" i="1" s="1"/>
  <c r="G64" i="1"/>
  <c r="G65" i="1" s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67" i="1" s="1"/>
  <c r="E592" i="1" s="1"/>
  <c r="G47" i="1"/>
  <c r="G42" i="1"/>
  <c r="G41" i="1"/>
  <c r="G40" i="1"/>
  <c r="G39" i="1"/>
  <c r="G38" i="1"/>
  <c r="G37" i="1"/>
  <c r="G36" i="1"/>
  <c r="G35" i="1"/>
  <c r="G34" i="1"/>
  <c r="G33" i="1"/>
  <c r="G43" i="1" s="1"/>
  <c r="E591" i="1" s="1"/>
  <c r="G32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439" i="1" l="1"/>
  <c r="F596" i="1"/>
  <c r="F601" i="1"/>
  <c r="F593" i="1"/>
  <c r="G212" i="1"/>
  <c r="F600" i="1"/>
  <c r="G562" i="1"/>
  <c r="E598" i="1" s="1"/>
  <c r="F592" i="1"/>
  <c r="F597" i="1"/>
  <c r="F591" i="1"/>
  <c r="F599" i="1"/>
  <c r="G399" i="1"/>
  <c r="G146" i="1"/>
  <c r="G139" i="1"/>
  <c r="E594" i="1" s="1"/>
  <c r="G326" i="1"/>
  <c r="G383" i="1"/>
  <c r="G269" i="1"/>
  <c r="G451" i="1" s="1"/>
  <c r="E595" i="1" s="1"/>
  <c r="G28" i="1"/>
  <c r="E590" i="1" s="1"/>
  <c r="F595" i="1" l="1"/>
  <c r="E602" i="1"/>
  <c r="D590" i="1"/>
  <c r="F590" i="1"/>
  <c r="F594" i="1"/>
  <c r="G587" i="1"/>
  <c r="F598" i="1"/>
  <c r="F602" i="1" l="1"/>
  <c r="D601" i="1"/>
  <c r="D591" i="1"/>
  <c r="D602" i="1" s="1"/>
  <c r="D593" i="1"/>
  <c r="D597" i="1"/>
  <c r="D599" i="1"/>
  <c r="D600" i="1"/>
  <c r="D592" i="1"/>
  <c r="D596" i="1"/>
  <c r="D595" i="1"/>
  <c r="D598" i="1"/>
  <c r="D594" i="1"/>
</calcChain>
</file>

<file path=xl/sharedStrings.xml><?xml version="1.0" encoding="utf-8"?>
<sst xmlns="http://schemas.openxmlformats.org/spreadsheetml/2006/main" count="1142" uniqueCount="274">
  <si>
    <t>DERPR - Departamento de Estradas de Rodagem do Paraná Diretoria Técnica - Coordenadoria de Custo e Orçamento Orçamento Sintético</t>
  </si>
  <si>
    <t xml:space="preserve">Setor: </t>
  </si>
  <si>
    <t xml:space="preserve">DER/DT/CCO - COORD.DE CUSTOS E ORCAMENTO  </t>
  </si>
  <si>
    <t>Valores expressos em Reais</t>
  </si>
  <si>
    <t>Rodovia:</t>
  </si>
  <si>
    <t>PR-412</t>
  </si>
  <si>
    <t>Trecho:</t>
  </si>
  <si>
    <t>Matinhos - Praia de Leste</t>
  </si>
  <si>
    <t>Subtrecho:</t>
  </si>
  <si>
    <t>Ponte sobre o Canal de Matinhos - Interseção Rodovia PR/407 (Pontal do Paraná)</t>
  </si>
  <si>
    <t>Extensão:</t>
  </si>
  <si>
    <t>14,280 Km</t>
  </si>
  <si>
    <t>Data Base:</t>
  </si>
  <si>
    <t>(sem desoneração)</t>
  </si>
  <si>
    <t>01 - TERRAPLENAGEM</t>
  </si>
  <si>
    <t>Código</t>
  </si>
  <si>
    <t>Descrição do Serviço</t>
  </si>
  <si>
    <t>Unid.</t>
  </si>
  <si>
    <t>Quantidade</t>
  </si>
  <si>
    <t>Preço Unitário</t>
  </si>
  <si>
    <t>Preço Total</t>
  </si>
  <si>
    <t>Carga e transp. de material de bota espera (DMT = 1,00 km)</t>
  </si>
  <si>
    <t>m3</t>
  </si>
  <si>
    <t>Compactação de aterros c/controle visual</t>
  </si>
  <si>
    <t>Compactação de aterros 100% PN (B)</t>
  </si>
  <si>
    <t>Corte/limpeza, classificação e enleiramento de árvores (volume estéreo), inclusive transporte</t>
  </si>
  <si>
    <t>Desmatamento e limpeza diam. até 30cm</t>
  </si>
  <si>
    <t>m2</t>
  </si>
  <si>
    <t>Destocamento árvores diam. &gt; 30cm</t>
  </si>
  <si>
    <t>ud</t>
  </si>
  <si>
    <t>Esc. carga e transp. 1a. cat.     0-200m</t>
  </si>
  <si>
    <t>Esc. carga e transp. 1a. cat.   200-400m</t>
  </si>
  <si>
    <t>Esc. carga e transp. 1a. cat.   400-600m</t>
  </si>
  <si>
    <t>Esc. carga e transp. 1a. cat.   600-800m</t>
  </si>
  <si>
    <t>Esc. carga e transp. 1a. cat.   800-1000m</t>
  </si>
  <si>
    <t>Esc. carga e transp. 1a. cat.  1000-1200m</t>
  </si>
  <si>
    <t>Esc. carga e transp. 1a. cat.  1200-1400m</t>
  </si>
  <si>
    <t>Esc. carga e transp. 1a. cat.  1400-1600m</t>
  </si>
  <si>
    <t>Espalhamento e compactação manual de areia</t>
  </si>
  <si>
    <t>Espalhamento e compactação mecânica de areia de bota espera</t>
  </si>
  <si>
    <t>Espalhamento e conformação de bota espera</t>
  </si>
  <si>
    <t>Fornecimento e transporte de Saibro britado ( comercial) p/camada final de terraplenagem</t>
  </si>
  <si>
    <t>Total do Grupo:</t>
  </si>
  <si>
    <t>02 - PAVIMENTO RÍGIDO</t>
  </si>
  <si>
    <t>Cura química de pavimento de concreto</t>
  </si>
  <si>
    <t>Cura úmida de pavimento de concreto com manta de cura</t>
  </si>
  <si>
    <t>Fornecimento e aplicação de fibra de polipropileno multifilamentos (0,600kg/m³)</t>
  </si>
  <si>
    <t>kg</t>
  </si>
  <si>
    <t>Fornecimento e colocação de aço CA 50 para apoio de barra de transferência</t>
  </si>
  <si>
    <t>Fornecimento e colocação de aço CA 50 para barras de ligação</t>
  </si>
  <si>
    <t>Fornecimento e colocação de aço CA-25 para barra de transferência ø=25mm</t>
  </si>
  <si>
    <t>Fornecimento e colocação de tela metálica tipo Telcon Q-283 ou similar</t>
  </si>
  <si>
    <t>Fornecimento e colocação de tela metálica tipo Telcon Q-61 ou similar</t>
  </si>
  <si>
    <t>Junta longitudinal, inclusive corte, selante a base de silicone e cordão de polipropileno</t>
  </si>
  <si>
    <t>m</t>
  </si>
  <si>
    <t>Junta transversal , inclusive corte, selante a base de silicone e cordão de polipropileno</t>
  </si>
  <si>
    <t>Pavimento de concreto de cimento Portland Fctmk
= 4,5 MPa executado com pavimentadora</t>
  </si>
  <si>
    <r>
      <rPr>
        <b/>
        <sz val="9"/>
        <rFont val="Calibri Light"/>
        <family val="2"/>
      </rPr>
      <t>03 - PAVIMENTAÇÃO (FLEXÍVEL)</t>
    </r>
  </si>
  <si>
    <t>Acesso de veículos com saibro (jazida comercial)</t>
  </si>
  <si>
    <t>Bica corrida</t>
  </si>
  <si>
    <t>Brita graduada 100% PM</t>
  </si>
  <si>
    <t>C.B.U.Q. exclusive fornecimento e transporte do CAP (acima de 10.000 t)</t>
  </si>
  <si>
    <t>t</t>
  </si>
  <si>
    <t>Demolição mecânica de pavimento</t>
  </si>
  <si>
    <t>Fresagem contínua a frio</t>
  </si>
  <si>
    <t>Imprimação impermeabilizante exclusive fornecimento e transporte da emulsão</t>
  </si>
  <si>
    <t>Pintura de ligação exclusive fornecimento e transporte da emulsão</t>
  </si>
  <si>
    <t>Preenchimento rebaixo c/ rachão</t>
  </si>
  <si>
    <t>Reforço do subleito com saibro (jazida comercial)</t>
  </si>
  <si>
    <t>Regularização compac.subleito 100% PN (B)</t>
  </si>
  <si>
    <t>Transporte de cimento asfáltico CAP-50/70 (usina)</t>
  </si>
  <si>
    <t>t.km</t>
  </si>
  <si>
    <t>Transporte de emulsão (trecho)</t>
  </si>
  <si>
    <t>Total do Subgrupo:</t>
  </si>
  <si>
    <r>
      <rPr>
        <b/>
        <sz val="9"/>
        <rFont val="Calibri Light"/>
        <family val="2"/>
      </rPr>
      <t>03.01 - Passeio</t>
    </r>
  </si>
  <si>
    <t>Brita graduada 100% PI</t>
  </si>
  <si>
    <r>
      <rPr>
        <b/>
        <sz val="9"/>
        <rFont val="Calibri Light"/>
        <family val="2"/>
      </rPr>
      <t>04 - LIGANTES BETUMINOSOS</t>
    </r>
  </si>
  <si>
    <t>Fornecimento de CAP-50/70</t>
  </si>
  <si>
    <t>Fornecimento de emulsão asfáltica EAI p/ imprimação</t>
  </si>
  <si>
    <t>Fornecimento de emulsão asfáltica RR-1C</t>
  </si>
  <si>
    <r>
      <rPr>
        <b/>
        <sz val="9"/>
        <rFont val="Calibri Light"/>
        <family val="2"/>
      </rPr>
      <t>05 - DRENAGEM</t>
    </r>
  </si>
  <si>
    <t>Camada drenante de pedra britada</t>
  </si>
  <si>
    <t>Carga e transp. de material de bota espera (DMT = 7,14 km)</t>
  </si>
  <si>
    <t>Carga e transporte de material de demolição e entulho</t>
  </si>
  <si>
    <t>Compactação manual com soquete vibratório</t>
  </si>
  <si>
    <t>Demolição de concreto simples</t>
  </si>
  <si>
    <t>Dreno sub-superficial - tipo 1</t>
  </si>
  <si>
    <t>Escavação de bueiros em 1a. cat.</t>
  </si>
  <si>
    <t>Fornecimento e cravação de estaca prancha metálica</t>
  </si>
  <si>
    <t>Meio fio de concreto tipo 2 (executado c/ extrusora)</t>
  </si>
  <si>
    <t>Meio fio de concreto tipo 3 (executado c/ extrusora)</t>
  </si>
  <si>
    <t>Meio fio de concreto tipo 7 (executado c/ extrusora)</t>
  </si>
  <si>
    <t>Reaterro e apiloamento mecânico</t>
  </si>
  <si>
    <t>Rebaixamento de lençol freático com ponteiras drenantes (1 conjunto de bombas)</t>
  </si>
  <si>
    <t>mes</t>
  </si>
  <si>
    <t>Rebaixamento de lençol freático com ponteiras drenantes (2 conjunto de bombas)</t>
  </si>
  <si>
    <t>Rebaixamento de lençol freático com ponteiras drenantes (3 conjunto de bombas)</t>
  </si>
  <si>
    <t>Recebimento e destinação de resíduos sólidos e entulho não contaminado</t>
  </si>
  <si>
    <t>Remoção de bueiro 0,40m</t>
  </si>
  <si>
    <t>Remoção de bueiro 0,60m</t>
  </si>
  <si>
    <t>Remoção de bueiro 0,80m</t>
  </si>
  <si>
    <t>Sarjeta triangular concreto - tipo  4</t>
  </si>
  <si>
    <t>Valeta concreto proteção aterro - tipo 6A</t>
  </si>
  <si>
    <r>
      <rPr>
        <b/>
        <sz val="9"/>
        <rFont val="Calibri Light"/>
        <family val="2"/>
      </rPr>
      <t>05.01 - Canaletas e Caixas Coletoras</t>
    </r>
  </si>
  <si>
    <t>Aço CA-50 fornec. dobr. colocação</t>
  </si>
  <si>
    <t>Alvenaria pedra de mão argamassada</t>
  </si>
  <si>
    <t>Apiloamento manual</t>
  </si>
  <si>
    <t>Bombeamento de concreto usinado</t>
  </si>
  <si>
    <t>Carga, transporte e posicionamento de peças pré- moldadas  250kg - 500kg</t>
  </si>
  <si>
    <t>Carga, transporte e posicionamento de peças pré- moldadas 1000kg - 1350kg</t>
  </si>
  <si>
    <t>Carga, transporte e posicionamento de peças pré- moldadas 1350kg - 1650kg</t>
  </si>
  <si>
    <t>Carga, transporte e posicionamento de peças pré- moldadas 1750kg - 2050kg</t>
  </si>
  <si>
    <t>Carga, transporte e posicionamento de peças pré- moldadas 2300kg - 2500kg</t>
  </si>
  <si>
    <t>Carga, transporte e posicionamento de peças pré- moldadas 700kg - 1000kg</t>
  </si>
  <si>
    <t>Concreto usinado Fck = 25 MPa, exclusive bombeamento</t>
  </si>
  <si>
    <t>Concreto usinado Fck= 15 MPa, exclusive bombeamento</t>
  </si>
  <si>
    <t>Escoramento de cavas de fundação</t>
  </si>
  <si>
    <t>Formas de madeira comum</t>
  </si>
  <si>
    <t>Formas metálicas com reaproveitamento de 50x</t>
  </si>
  <si>
    <t>Lastro de brita</t>
  </si>
  <si>
    <r>
      <rPr>
        <b/>
        <sz val="9"/>
        <rFont val="Calibri Light"/>
        <family val="2"/>
      </rPr>
      <t>05.02 - Placas de proteção sobre tubulação</t>
    </r>
  </si>
  <si>
    <t>Concreto usinado Fck = 20 MPa, exclusive bombeamento</t>
  </si>
  <si>
    <t>Escavação valas de drenagem 1a. cat.</t>
  </si>
  <si>
    <t>06. - OBRAS DE ARTE ESPECIAIS</t>
  </si>
  <si>
    <t>Demolição de concreto armado</t>
  </si>
  <si>
    <t>Formas de madeira compensada resinada</t>
  </si>
  <si>
    <r>
      <rPr>
        <b/>
        <sz val="9"/>
        <rFont val="Calibri Light"/>
        <family val="2"/>
      </rPr>
      <t>06.01 - Execução e manutenção de pátios e berços de fabricação/estocagem</t>
    </r>
  </si>
  <si>
    <r>
      <rPr>
        <b/>
        <sz val="9"/>
        <rFont val="Calibri Light"/>
        <family val="2"/>
      </rPr>
      <t>Código</t>
    </r>
  </si>
  <si>
    <r>
      <rPr>
        <b/>
        <sz val="9"/>
        <rFont val="Calibri Light"/>
        <family val="2"/>
      </rPr>
      <t>Descrição do Serviço</t>
    </r>
  </si>
  <si>
    <r>
      <rPr>
        <b/>
        <sz val="9"/>
        <rFont val="Calibri Light"/>
        <family val="2"/>
      </rPr>
      <t>Unid.</t>
    </r>
  </si>
  <si>
    <r>
      <rPr>
        <b/>
        <sz val="9"/>
        <rFont val="Calibri Light"/>
        <family val="2"/>
      </rPr>
      <t>Quantidade</t>
    </r>
  </si>
  <si>
    <r>
      <rPr>
        <b/>
        <sz val="9"/>
        <rFont val="Calibri Light"/>
        <family val="2"/>
      </rPr>
      <t>Preço Unitário</t>
    </r>
  </si>
  <si>
    <r>
      <rPr>
        <b/>
        <sz val="9"/>
        <rFont val="Calibri Light"/>
        <family val="2"/>
      </rPr>
      <t>Preço Total</t>
    </r>
  </si>
  <si>
    <t>Concreto  magro usinado, exclusive bombeamento</t>
  </si>
  <si>
    <t>Concreto usinado Fck = 15 MPa, exclusive bombeamento</t>
  </si>
  <si>
    <t>06.02 - Ponte 0PP - Rua Roque Vernalha</t>
  </si>
  <si>
    <t>06.02.01 - Infraestrutura</t>
  </si>
  <si>
    <t>Argamassa fluída para estaca raiz (volume efetivamente aplicado)</t>
  </si>
  <si>
    <t>Arrasamento de estacas de concreto ø=350mm, demolição, limpeza e preparo das cabeças</t>
  </si>
  <si>
    <r>
      <rPr>
        <sz val="10"/>
        <rFont val="Calibri Light"/>
        <family val="2"/>
      </rPr>
      <t>ud</t>
    </r>
  </si>
  <si>
    <t>Concreto usinado Fck = 30 MPa, exclusive bombeamento</t>
  </si>
  <si>
    <t>Escavação p/ fundação em 1a. cat.</t>
  </si>
  <si>
    <t>Escoramento (cimbramento) inclusive fundação</t>
  </si>
  <si>
    <t>Execução de estaca raiz em solo ø=310mm, exclusive materiais</t>
  </si>
  <si>
    <t>06.02.02 - Mesoestrutura</t>
  </si>
  <si>
    <t>Apoio elastomérico fretado fornec.colocação</t>
  </si>
  <si>
    <t>Fornecimento e aplicação de  argamassa tipo Sikagrout ou similar, c/ adição de 30% de pedrisco, para execução de cunhas, calços e berços dos apoios</t>
  </si>
  <si>
    <t>06.02.03 - Superestrutura</t>
  </si>
  <si>
    <t>Apicoamento em concreto</t>
  </si>
  <si>
    <t>Argamassa cimento e areia 1:3</t>
  </si>
  <si>
    <t>Carga, transporte, lançamento e posicionamento de pingadeiras pré-moldadas P=18,84kg</t>
  </si>
  <si>
    <t>Carga, transporte, lançamento e posicionamento de pré-lajes pré-moldadas de concreto P=150 kg</t>
  </si>
  <si>
    <t>Carga, transporte, lançamento e posicionamento no
vão, de vigas pré-moldadas de concreto, L=29, 60m e P=31,40t inclusive mobilização</t>
  </si>
  <si>
    <t>Concreto usinado Fck = 35 MPa, exclusive bombeamento</t>
  </si>
  <si>
    <t>Concreto usinado Fck = 50 MPa, exclusive bombeamento</t>
  </si>
  <si>
    <t>Escoramento simples p/ andaimes</t>
  </si>
  <si>
    <t>Fornecimento, corte e colocação de aço CP 190 RB Ø=15,2mm, inclusive protensão</t>
  </si>
  <si>
    <t>Fornecimento e colocação de ancoragem ativa 12 ø 15,2mm</t>
  </si>
  <si>
    <t>Fornecimento e colocação de ancoragem ativa 4ø15,2mm</t>
  </si>
  <si>
    <t>Fornecimento e colocação de bainha semi-rígida metálica galvanizada øint=50mm, inclusive injeção com nata de cimento</t>
  </si>
  <si>
    <t>Fornecimento e colocação de bainha semi-rígida metálica galvanizada øint=85mm, inclusive injeção com nata de cimento</t>
  </si>
  <si>
    <t>Fornecimento e colocação de drenos PVC diâm. 4", L=400cm</t>
  </si>
  <si>
    <t>Fornecimento e instalação de ancoragem passiva 12 ø 15,2mm</t>
  </si>
  <si>
    <t>Fornecimento e instalação de junta de dilatação tipo Jeene JJ6080 VV EPDM/Uniontech UT60OAE com lábios poliméricos, ou equivalente</t>
  </si>
  <si>
    <t>Gradil ferro galv. d=2" c/ suporte de concreto</t>
  </si>
  <si>
    <t>Limpeza c/ jato de água</t>
  </si>
  <si>
    <t>Pintura de impermeabilização das superfícies de apoio da laje de transição, sobre os consoles, c/ emulsão tipo Igolflex preto ou similar (2 demãos)</t>
  </si>
  <si>
    <t>06.03 - Ponte 0PP - Rua Sátiro Oliveira</t>
  </si>
  <si>
    <t>06.03.01 - Infraestrutura</t>
  </si>
  <si>
    <t>06.03.02 - Mesoestrutura</t>
  </si>
  <si>
    <t>06.03.03 - Superestrutura</t>
  </si>
  <si>
    <t>Carga, transporte, lançamento e posicionamento no vão, de vigas pré-moldadas de concreto, L=29, 60m e P=31,40t inclusive mobilização</t>
  </si>
  <si>
    <t>06.04 - Ponte Rio Balneário - Pista PR/407</t>
  </si>
  <si>
    <t>06.04.01 - Infraestrutura</t>
  </si>
  <si>
    <r>
      <rPr>
        <sz val="10"/>
        <rFont val="Calibri Light"/>
        <family val="2"/>
      </rPr>
      <t>kg</t>
    </r>
  </si>
  <si>
    <r>
      <rPr>
        <sz val="10"/>
        <rFont val="Calibri Light"/>
        <family val="2"/>
      </rPr>
      <t>m3</t>
    </r>
  </si>
  <si>
    <r>
      <rPr>
        <sz val="10"/>
        <rFont val="Calibri Light"/>
        <family val="2"/>
      </rPr>
      <t>m</t>
    </r>
  </si>
  <si>
    <r>
      <rPr>
        <sz val="10"/>
        <rFont val="Calibri Light"/>
        <family val="2"/>
      </rPr>
      <t>m2</t>
    </r>
  </si>
  <si>
    <t>06.04.02 - Mesoestrutura</t>
  </si>
  <si>
    <t>06.04.03 - Superestrutura</t>
  </si>
  <si>
    <t>Carga, transporte, lançamento e posicionamento no vão, de vigas pré-moldadas de concreto, L=19, 60m e P=21,50t inclusive mobilização</t>
  </si>
  <si>
    <t>Fornecimento e colocação de ancoragem ativa para 6 ø 15,2mm</t>
  </si>
  <si>
    <t>Fornecimento e colocação de ancoragem passiva 6 ø=15,20mm</t>
  </si>
  <si>
    <t>Fornecimento e colocação de bainha metálica galvanizada semi-rígida ø=65mm, inclusive injeção de nata de cimento</t>
  </si>
  <si>
    <t>06.05 - Ponte Rio Balneário - Pista PR/412</t>
  </si>
  <si>
    <t>06.05.01 - Infraestrutura</t>
  </si>
  <si>
    <t>06.05.02 - Mesoestrutura</t>
  </si>
  <si>
    <t>06.05.03 - Superestrutura</t>
  </si>
  <si>
    <t>06.06 - Viaduto Av. Curitiba</t>
  </si>
  <si>
    <t>06.06.01 - Infraestrutura</t>
  </si>
  <si>
    <t>06.06.02 - Mesoestrutura</t>
  </si>
  <si>
    <t>06.06.03 - Superestrutura</t>
  </si>
  <si>
    <t>06.07 - Contenções</t>
  </si>
  <si>
    <t>Compactação manual de aterro</t>
  </si>
  <si>
    <t>Elementos especiais para Terra Armada ou similar - ECE - greide h=0,00 a 6,00m</t>
  </si>
  <si>
    <t xml:space="preserve">Elementos especiais para Terra Armada ou similar - ECE - greide h=6,00 a 9,00m </t>
  </si>
  <si>
    <t>Fabricação, transporte e montagem de escamas de concreto armado (exclusive materiais)</t>
  </si>
  <si>
    <t>07 - SINALIZAÇÃO</t>
  </si>
  <si>
    <t>Barreira New Jersey dupla de concreto, não armada, executada com extrusora</t>
  </si>
  <si>
    <t>Barreira New Jersey simples de concreto, não armada, executada com extrusora</t>
  </si>
  <si>
    <t>Barreira simples de concreto Fck=30MPa, armada, pré-moldada para OAE conforme projeto</t>
  </si>
  <si>
    <t>Defensa simples semi-maleável c/ espaçador e calço</t>
  </si>
  <si>
    <t>Faixa de sinalização horizontal - termoplástico por aspersão - e=1,5mm</t>
  </si>
  <si>
    <t>Pintura de setas e zebrados - termoplástico por extrusão - e=3mm</t>
  </si>
  <si>
    <t>Placa sinalização c/ película refletiva</t>
  </si>
  <si>
    <t>Remoção de defensa metálica</t>
  </si>
  <si>
    <t>Remoção de placa de sinalização c/transporte inclusive suporte simples</t>
  </si>
  <si>
    <t>Remoção de semi-pórtico c/transporte</t>
  </si>
  <si>
    <t>Semi-pórtico simples 6,00m p/placa até 12m2( exclusive placa)</t>
  </si>
  <si>
    <t>Suporte duplo metálico galv. fogo d=2,5" c/tampa e aletas anti-giro, h=3,50m</t>
  </si>
  <si>
    <t>Suporte metálico galv. fogo d=2,5" c/tampa e aletas anti-giro, h=3,50m</t>
  </si>
  <si>
    <t>Tacha refletiva bidirecional</t>
  </si>
  <si>
    <t>Tacha refletiva monodirecional</t>
  </si>
  <si>
    <t>Tachão refletivo bidirecional</t>
  </si>
  <si>
    <r>
      <rPr>
        <b/>
        <sz val="9"/>
        <rFont val="Calibri Light"/>
        <family val="2"/>
      </rPr>
      <t>08 - SINALIZAÇÃO PROVISÓRIA</t>
    </r>
  </si>
  <si>
    <t>Bandeirinha</t>
  </si>
  <si>
    <r>
      <rPr>
        <sz val="10"/>
        <rFont val="Calibri Light"/>
        <family val="2"/>
      </rPr>
      <t>h</t>
    </r>
  </si>
  <si>
    <t>Faixa de sinalização horizontal provisória</t>
  </si>
  <si>
    <t>Fornecimento e instalação de cone de PVC flexível refletivo h=75 cm para sinalização provisória</t>
  </si>
  <si>
    <t>Luz intermitente (piscante)</t>
  </si>
  <si>
    <t>Placa de sinalização provisória</t>
  </si>
  <si>
    <t>Suporte de madeira 3" x 3" para sinalização provisória</t>
  </si>
  <si>
    <t>09 - SERVIÇOS COMPLEMENTARES</t>
  </si>
  <si>
    <t>09.01 - Passeio</t>
  </si>
  <si>
    <t>Enleivamento</t>
  </si>
  <si>
    <t>Fornecimento e instalação de abrigo de ônibus ( conforme projeto), exclusive base</t>
  </si>
  <si>
    <t>Pavimento c/ bloco intertravado concreto (Paver- cor natural) e=6cm, incl. colchão pó de pedra</t>
  </si>
  <si>
    <t>Pavimento c/ bloco intertravado concreto (Paver- cor natural) e=8cm, incl. colchão pó de pedra</t>
  </si>
  <si>
    <t>Regularização e compactação manual de passeios</t>
  </si>
  <si>
    <t>09.02 - Cerca de Alambrado</t>
  </si>
  <si>
    <t>Concreto Fck = 15 MPa, preparo em betoneira e lanç.</t>
  </si>
  <si>
    <t>Estaca a trado d=25cm (moldada in-loco), inclusive concreto Fck=15 MPa e 20 kg de aço/m³</t>
  </si>
  <si>
    <t>Fornecimento e instalação de cerca tipo alambrado Malha 10x5cm, Fio 1,9 mm, h=2,0m, exclusive baldrame, inclusive mourões</t>
  </si>
  <si>
    <t>09.03 - Muro de Alvenaria h=2m, Muro de Alvenaria h=8m, Muro de Vidro h=1,8m com reutilização de vidros, inclusive baldrame, pilares e chapisco</t>
  </si>
  <si>
    <t>Alvenaria de tijolo de 6 furos</t>
  </si>
  <si>
    <t>Montagem de vidros reaproveitados</t>
  </si>
  <si>
    <t>09.04 - Vigueta em Concreto Moldada "in-loco" 8,0x8,0cm para Execução de Calçada em Paver</t>
  </si>
  <si>
    <t>09.05 - Rampas e Acessibilidade</t>
  </si>
  <si>
    <t>Adequação de poço de visita inclusive anel Ø=0, 60m</t>
  </si>
  <si>
    <t>Fornecimento e assentamento de piso tátil de concreto alerta/direcional 40x40cm</t>
  </si>
  <si>
    <t>Fornecimento e colocação de Tela Telcon Q-138 ou similar</t>
  </si>
  <si>
    <t>09.06 - Remoções</t>
  </si>
  <si>
    <t>Demolição de alvenaria</t>
  </si>
  <si>
    <t>Escavação manual de vala 1a. cat.</t>
  </si>
  <si>
    <t>Remanejamento de tampão de ferro fundido</t>
  </si>
  <si>
    <t>Remoção de abrigo de madeira</t>
  </si>
  <si>
    <t>Remoção de blocos de concreto tipo Paver, inclusive transporte</t>
  </si>
  <si>
    <t>Remoção de cercas</t>
  </si>
  <si>
    <t>Remoção de meio fio de concreto c/transporte</t>
  </si>
  <si>
    <t>Remoção de muro de vidro com reaproveitamento do material hmedia=1,80m</t>
  </si>
  <si>
    <t>Remoção de painel publicitário tipo outdoor, com estrutura e suportes em madeira</t>
  </si>
  <si>
    <t>Remoção de super poste</t>
  </si>
  <si>
    <t>09.07 - Remoção e Relocação de Portões, inclusive Reconstrução de Baldrames</t>
  </si>
  <si>
    <t>Remoção e relocação de portões (Lm=2,00m) DMT até 10m</t>
  </si>
  <si>
    <t>10 - PROGRAMAS AMBIENTAIS</t>
  </si>
  <si>
    <t>Programa de Comunicação Social e Educação Ambiental</t>
  </si>
  <si>
    <r>
      <rPr>
        <sz val="10"/>
        <rFont val="Calibri Light"/>
        <family val="2"/>
      </rPr>
      <t>mes</t>
    </r>
  </si>
  <si>
    <t>Programa de Controle da Supressão e Resgate de Flora</t>
  </si>
  <si>
    <t>Programa de Levantamento e Monitoramento de Fauna Atropelada</t>
  </si>
  <si>
    <t>Programa de Monitoramento da Qualidade da Água</t>
  </si>
  <si>
    <t>Programa de Monitoramento de Fauna</t>
  </si>
  <si>
    <t>Programa de Monitoramento de Ruídos</t>
  </si>
  <si>
    <t>Programa de Monitoramento e Controle da Qualidade do Ar (anual)</t>
  </si>
  <si>
    <t>Programa de Monitoramento e Controle da Qualidade o Ar (trimestral)</t>
  </si>
  <si>
    <t>11 - ADMINISTRAÇÃO LOCAL E INSTALAÇÃO DE CANTEIRO</t>
  </si>
  <si>
    <t>Administração local da obra</t>
  </si>
  <si>
    <t>Instalação do canteiro de obras</t>
  </si>
  <si>
    <t>12 - MOBILIZAÇÃO</t>
  </si>
  <si>
    <t>Mobilização e Desmobilização</t>
  </si>
  <si>
    <t>Total do geral do Orçamento</t>
  </si>
  <si>
    <r>
      <rPr>
        <b/>
        <sz val="9"/>
        <rFont val="Calibri Light"/>
        <family val="2"/>
      </rPr>
      <t>Descrição do grupo</t>
    </r>
  </si>
  <si>
    <r>
      <rPr>
        <b/>
        <sz val="9"/>
        <rFont val="Calibri Light"/>
        <family val="2"/>
      </rPr>
      <t>Total do grupo</t>
    </r>
  </si>
  <si>
    <r>
      <rPr>
        <b/>
        <sz val="9"/>
        <rFont val="Calibri Light"/>
        <family val="2"/>
      </rPr>
      <t>Preço/km</t>
    </r>
  </si>
  <si>
    <t>Total Geral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</si>
</sst>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5" formatCode="#,##0.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 Light"/>
      <family val="2"/>
    </font>
    <font>
      <b/>
      <sz val="11"/>
      <name val="Calibri Light"/>
      <family val="2"/>
    </font>
    <font>
      <sz val="11"/>
      <name val="Calibri Light"/>
      <family val="2"/>
    </font>
    <font>
      <b/>
      <i/>
      <sz val="10"/>
      <color rgb="FF000000"/>
      <name val="Calibri Light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9"/>
      <color rgb="FF000000"/>
      <name val="Calibri Light"/>
      <family val="2"/>
    </font>
    <font>
      <sz val="10"/>
      <color rgb="FF000000"/>
      <name val="Calibri Light"/>
      <family val="2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9"/>
      <name val="Calibri Light"/>
      <family val="2"/>
    </font>
    <font>
      <sz val="9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43" fontId="6" fillId="0" borderId="5" xfId="1" applyFont="1" applyBorder="1" applyAlignment="1">
      <alignment vertical="center"/>
    </xf>
    <xf numFmtId="43" fontId="6" fillId="0" borderId="6" xfId="1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3" fontId="6" fillId="0" borderId="0" xfId="1" applyFont="1" applyBorder="1" applyAlignment="1">
      <alignment horizontal="left" vertical="center" wrapText="1"/>
    </xf>
    <xf numFmtId="43" fontId="6" fillId="0" borderId="8" xfId="1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vertical="center"/>
    </xf>
    <xf numFmtId="43" fontId="7" fillId="0" borderId="10" xfId="1" applyFont="1" applyBorder="1" applyAlignment="1">
      <alignment horizontal="left" vertical="center" wrapText="1"/>
    </xf>
    <xf numFmtId="164" fontId="7" fillId="0" borderId="10" xfId="1" applyNumberFormat="1" applyFont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3" fontId="9" fillId="0" borderId="0" xfId="1" applyFont="1" applyAlignment="1">
      <alignment horizontal="left" vertical="center" wrapText="1"/>
    </xf>
    <xf numFmtId="43" fontId="10" fillId="0" borderId="0" xfId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43" fontId="11" fillId="3" borderId="12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" fontId="9" fillId="0" borderId="13" xfId="0" applyNumberFormat="1" applyFont="1" applyBorder="1" applyAlignment="1">
      <alignment horizontal="left" vertical="center" shrinkToFit="1"/>
    </xf>
    <xf numFmtId="0" fontId="12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43" fontId="9" fillId="0" borderId="13" xfId="1" applyFont="1" applyBorder="1" applyAlignment="1">
      <alignment horizontal="right" vertical="center" shrinkToFit="1"/>
    </xf>
    <xf numFmtId="1" fontId="9" fillId="0" borderId="14" xfId="0" applyNumberFormat="1" applyFont="1" applyBorder="1" applyAlignment="1">
      <alignment horizontal="left" vertical="center" shrinkToFit="1"/>
    </xf>
    <xf numFmtId="0" fontId="12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43" fontId="9" fillId="0" borderId="14" xfId="1" applyFont="1" applyBorder="1" applyAlignment="1">
      <alignment horizontal="right" vertical="center" shrinkToFit="1"/>
    </xf>
    <xf numFmtId="165" fontId="9" fillId="0" borderId="14" xfId="0" applyNumberFormat="1" applyFont="1" applyBorder="1" applyAlignment="1">
      <alignment horizontal="center" vertical="center" shrinkToFit="1"/>
    </xf>
    <xf numFmtId="1" fontId="9" fillId="0" borderId="15" xfId="0" applyNumberFormat="1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43" fontId="9" fillId="0" borderId="15" xfId="1" applyFont="1" applyBorder="1" applyAlignment="1">
      <alignment horizontal="right" vertical="center" shrinkToFit="1"/>
    </xf>
    <xf numFmtId="0" fontId="10" fillId="0" borderId="0" xfId="0" applyFont="1" applyAlignment="1">
      <alignment horizontal="left" vertical="center"/>
    </xf>
    <xf numFmtId="4" fontId="10" fillId="4" borderId="16" xfId="0" applyNumberFormat="1" applyFont="1" applyFill="1" applyBorder="1" applyAlignment="1">
      <alignment vertical="center" shrinkToFit="1"/>
    </xf>
    <xf numFmtId="4" fontId="10" fillId="4" borderId="17" xfId="0" applyNumberFormat="1" applyFont="1" applyFill="1" applyBorder="1" applyAlignment="1">
      <alignment vertical="center" shrinkToFit="1"/>
    </xf>
    <xf numFmtId="4" fontId="10" fillId="4" borderId="2" xfId="0" applyNumberFormat="1" applyFont="1" applyFill="1" applyBorder="1" applyAlignment="1">
      <alignment vertical="center" shrinkToFit="1"/>
    </xf>
    <xf numFmtId="43" fontId="10" fillId="0" borderId="18" xfId="1" applyFont="1" applyBorder="1" applyAlignment="1">
      <alignment horizontal="right" vertical="center" shrinkToFi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1" applyFont="1" applyAlignment="1">
      <alignment vertical="center" wrapText="1"/>
    </xf>
    <xf numFmtId="43" fontId="9" fillId="5" borderId="14" xfId="1" applyFont="1" applyFill="1" applyBorder="1" applyAlignment="1">
      <alignment horizontal="right" vertical="center" shrinkToFit="1"/>
    </xf>
    <xf numFmtId="1" fontId="9" fillId="0" borderId="19" xfId="0" applyNumberFormat="1" applyFont="1" applyBorder="1" applyAlignment="1">
      <alignment horizontal="left" vertical="center" shrinkToFit="1"/>
    </xf>
    <xf numFmtId="0" fontId="12" fillId="0" borderId="19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43" fontId="9" fillId="0" borderId="19" xfId="1" applyFont="1" applyBorder="1" applyAlignment="1">
      <alignment horizontal="right" vertical="center" shrinkToFi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43" fontId="9" fillId="0" borderId="0" xfId="1" applyFont="1" applyAlignment="1">
      <alignment horizontal="left" vertical="center"/>
    </xf>
    <xf numFmtId="0" fontId="11" fillId="3" borderId="1" xfId="0" applyFont="1" applyFill="1" applyBorder="1" applyAlignment="1">
      <alignment vertical="center" wrapText="1"/>
    </xf>
    <xf numFmtId="2" fontId="11" fillId="3" borderId="1" xfId="0" applyNumberFormat="1" applyFont="1" applyFill="1" applyBorder="1" applyAlignment="1">
      <alignment vertical="center" wrapText="1"/>
    </xf>
    <xf numFmtId="43" fontId="11" fillId="3" borderId="20" xfId="1" applyFont="1" applyFill="1" applyBorder="1" applyAlignment="1">
      <alignment horizontal="center" vertical="center" wrapText="1"/>
    </xf>
    <xf numFmtId="43" fontId="11" fillId="3" borderId="21" xfId="1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vertical="center" wrapText="1"/>
    </xf>
    <xf numFmtId="10" fontId="14" fillId="0" borderId="22" xfId="2" applyNumberFormat="1" applyFont="1" applyBorder="1" applyAlignment="1">
      <alignment vertical="center" wrapText="1"/>
    </xf>
    <xf numFmtId="43" fontId="9" fillId="0" borderId="22" xfId="1" applyFont="1" applyBorder="1" applyAlignment="1">
      <alignment horizontal="right" vertical="center" shrinkToFit="1"/>
    </xf>
    <xf numFmtId="0" fontId="12" fillId="0" borderId="23" xfId="0" applyFont="1" applyBorder="1" applyAlignment="1">
      <alignment vertical="center" wrapText="1"/>
    </xf>
    <xf numFmtId="10" fontId="14" fillId="0" borderId="23" xfId="2" applyNumberFormat="1" applyFont="1" applyBorder="1" applyAlignment="1">
      <alignment vertical="center" wrapText="1"/>
    </xf>
    <xf numFmtId="43" fontId="9" fillId="0" borderId="23" xfId="1" applyFont="1" applyBorder="1" applyAlignment="1">
      <alignment horizontal="right" vertical="center" shrinkToFit="1"/>
    </xf>
    <xf numFmtId="43" fontId="9" fillId="0" borderId="23" xfId="1" applyFont="1" applyBorder="1" applyAlignment="1">
      <alignment horizontal="right" vertical="center" wrapText="1"/>
    </xf>
    <xf numFmtId="0" fontId="12" fillId="0" borderId="24" xfId="0" applyFont="1" applyBorder="1" applyAlignment="1">
      <alignment vertical="center" wrapText="1"/>
    </xf>
    <xf numFmtId="10" fontId="14" fillId="0" borderId="25" xfId="2" applyNumberFormat="1" applyFont="1" applyBorder="1" applyAlignment="1">
      <alignment vertical="center" wrapText="1"/>
    </xf>
    <xf numFmtId="43" fontId="9" fillId="0" borderId="24" xfId="1" applyFont="1" applyBorder="1" applyAlignment="1">
      <alignment horizontal="right" vertical="center" shrinkToFit="1"/>
    </xf>
    <xf numFmtId="0" fontId="11" fillId="0" borderId="18" xfId="0" applyFont="1" applyBorder="1" applyAlignment="1">
      <alignment horizontal="right" vertical="center" wrapText="1"/>
    </xf>
    <xf numFmtId="10" fontId="14" fillId="0" borderId="18" xfId="0" applyNumberFormat="1" applyFont="1" applyBorder="1" applyAlignment="1">
      <alignment vertical="center" wrapText="1"/>
    </xf>
    <xf numFmtId="43" fontId="10" fillId="0" borderId="0" xfId="1" applyFont="1" applyAlignment="1">
      <alignment horizontal="left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238125</xdr:colOff>
      <xdr:row>1</xdr:row>
      <xdr:rowOff>76200</xdr:rowOff>
    </xdr:from>
    <xdr:ext cx="647700" cy="810178"/>
    <xdr:pic>
      <xdr:nvPicPr>
        <xdr:cNvPr id="2" name="image1.png">
          <a:extLst>
            <a:ext uri="{FF2B5EF4-FFF2-40B4-BE49-F238E27FC236}">
              <a16:creationId xmlns:a16="http://schemas.microsoft.com/office/drawing/2014/main" id="{F8BFBB52-BDD5-49F0-89F0-3FE94352F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4825" y="495300"/>
          <a:ext cx="647700" cy="8101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4D60-88F1-4D10-BEF9-4480420AF4A0}">
  <dimension ref="A1:G602"/>
  <sheetViews>
    <sheetView tabSelected="1" workbookViewId="0">
      <selection sqref="A1:G1048576"/>
    </sheetView>
  </sheetViews>
  <sheetFormatPr defaultRowHeight="14.4" x14ac:dyDescent="0.3"/>
  <cols>
    <col min="1" max="1" width="8.88671875" style="30"/>
    <col min="2" max="2" width="12.77734375" style="30" customWidth="1"/>
    <col min="3" max="3" width="100.77734375" style="30" customWidth="1"/>
    <col min="4" max="4" width="10.109375" style="27" bestFit="1" customWidth="1"/>
    <col min="5" max="6" width="18.77734375" style="61" customWidth="1"/>
    <col min="7" max="7" width="20.77734375" style="61" customWidth="1"/>
  </cols>
  <sheetData>
    <row r="1" spans="1:7" ht="15.6" x14ac:dyDescent="0.3">
      <c r="A1" s="1"/>
      <c r="B1" s="2" t="s">
        <v>0</v>
      </c>
      <c r="C1" s="3"/>
      <c r="D1" s="3"/>
      <c r="E1" s="3"/>
      <c r="F1" s="3"/>
      <c r="G1" s="4"/>
    </row>
    <row r="2" spans="1:7" ht="15.6" x14ac:dyDescent="0.3">
      <c r="A2" s="1"/>
      <c r="B2" s="5" t="s">
        <v>1</v>
      </c>
      <c r="C2" s="6" t="s">
        <v>2</v>
      </c>
      <c r="D2" s="6"/>
      <c r="E2" s="7" t="s">
        <v>3</v>
      </c>
      <c r="F2" s="7"/>
      <c r="G2" s="8"/>
    </row>
    <row r="3" spans="1:7" ht="15.6" x14ac:dyDescent="0.3">
      <c r="A3" s="1"/>
      <c r="B3" s="9" t="s">
        <v>4</v>
      </c>
      <c r="C3" s="10" t="s">
        <v>5</v>
      </c>
      <c r="D3" s="10"/>
      <c r="E3" s="11"/>
      <c r="F3" s="11"/>
      <c r="G3" s="12"/>
    </row>
    <row r="4" spans="1:7" ht="15.6" x14ac:dyDescent="0.3">
      <c r="A4" s="1"/>
      <c r="B4" s="9" t="s">
        <v>6</v>
      </c>
      <c r="C4" s="10" t="s">
        <v>7</v>
      </c>
      <c r="D4" s="10"/>
      <c r="E4" s="11"/>
      <c r="F4" s="11"/>
      <c r="G4" s="12"/>
    </row>
    <row r="5" spans="1:7" ht="15.6" x14ac:dyDescent="0.3">
      <c r="A5" s="1"/>
      <c r="B5" s="9" t="s">
        <v>8</v>
      </c>
      <c r="C5" s="10" t="s">
        <v>9</v>
      </c>
      <c r="D5" s="10"/>
      <c r="E5" s="11"/>
      <c r="F5" s="11"/>
      <c r="G5" s="12"/>
    </row>
    <row r="6" spans="1:7" ht="15.6" x14ac:dyDescent="0.3">
      <c r="A6" s="1"/>
      <c r="B6" s="13" t="s">
        <v>10</v>
      </c>
      <c r="C6" s="14" t="s">
        <v>11</v>
      </c>
      <c r="D6" s="14"/>
      <c r="E6" s="15" t="s">
        <v>12</v>
      </c>
      <c r="F6" s="16">
        <v>45412</v>
      </c>
      <c r="G6" s="17" t="s">
        <v>13</v>
      </c>
    </row>
    <row r="7" spans="1:7" ht="15.6" x14ac:dyDescent="0.3">
      <c r="A7" s="1"/>
      <c r="B7" s="18"/>
      <c r="C7" s="19"/>
      <c r="D7" s="20"/>
      <c r="E7" s="21"/>
      <c r="F7" s="22"/>
      <c r="G7" s="22"/>
    </row>
    <row r="8" spans="1:7" x14ac:dyDescent="0.3">
      <c r="A8" s="23"/>
      <c r="B8" s="24" t="s">
        <v>14</v>
      </c>
      <c r="C8" s="25"/>
      <c r="D8" s="25"/>
      <c r="E8" s="25"/>
      <c r="F8" s="25"/>
      <c r="G8" s="26"/>
    </row>
    <row r="9" spans="1:7" x14ac:dyDescent="0.3">
      <c r="A9" s="27"/>
      <c r="B9" s="28" t="s">
        <v>15</v>
      </c>
      <c r="C9" s="28" t="s">
        <v>16</v>
      </c>
      <c r="D9" s="28" t="s">
        <v>17</v>
      </c>
      <c r="E9" s="29" t="s">
        <v>18</v>
      </c>
      <c r="F9" s="29" t="s">
        <v>19</v>
      </c>
      <c r="G9" s="29" t="s">
        <v>20</v>
      </c>
    </row>
    <row r="10" spans="1:7" x14ac:dyDescent="0.3">
      <c r="B10" s="31">
        <v>493615</v>
      </c>
      <c r="C10" s="32" t="s">
        <v>21</v>
      </c>
      <c r="D10" s="33" t="s">
        <v>22</v>
      </c>
      <c r="E10" s="34">
        <v>13908.48</v>
      </c>
      <c r="F10" s="34">
        <v>12.96</v>
      </c>
      <c r="G10" s="34">
        <f>+E10*F10</f>
        <v>180253.9008</v>
      </c>
    </row>
    <row r="11" spans="1:7" x14ac:dyDescent="0.3">
      <c r="B11" s="35">
        <v>401200</v>
      </c>
      <c r="C11" s="36" t="s">
        <v>23</v>
      </c>
      <c r="D11" s="37" t="s">
        <v>22</v>
      </c>
      <c r="E11" s="38">
        <v>3937.12</v>
      </c>
      <c r="F11" s="38">
        <v>1.81</v>
      </c>
      <c r="G11" s="38">
        <f t="shared" ref="G11:G27" si="0">+E11*F11</f>
        <v>7126.1872000000003</v>
      </c>
    </row>
    <row r="12" spans="1:7" x14ac:dyDescent="0.3">
      <c r="B12" s="35">
        <v>401100</v>
      </c>
      <c r="C12" s="36" t="s">
        <v>24</v>
      </c>
      <c r="D12" s="37" t="s">
        <v>22</v>
      </c>
      <c r="E12" s="38">
        <v>27098.33</v>
      </c>
      <c r="F12" s="38">
        <v>7.81</v>
      </c>
      <c r="G12" s="38">
        <f t="shared" si="0"/>
        <v>211637.95730000001</v>
      </c>
    </row>
    <row r="13" spans="1:7" x14ac:dyDescent="0.3">
      <c r="B13" s="35">
        <v>401025</v>
      </c>
      <c r="C13" s="36" t="s">
        <v>25</v>
      </c>
      <c r="D13" s="37" t="s">
        <v>22</v>
      </c>
      <c r="E13" s="38">
        <v>1617.2</v>
      </c>
      <c r="F13" s="38">
        <v>200.04</v>
      </c>
      <c r="G13" s="38">
        <f t="shared" si="0"/>
        <v>323504.68800000002</v>
      </c>
    </row>
    <row r="14" spans="1:7" x14ac:dyDescent="0.3">
      <c r="B14" s="35">
        <v>400000</v>
      </c>
      <c r="C14" s="36" t="s">
        <v>26</v>
      </c>
      <c r="D14" s="37" t="s">
        <v>27</v>
      </c>
      <c r="E14" s="38">
        <v>361843.22</v>
      </c>
      <c r="F14" s="38">
        <v>1.34</v>
      </c>
      <c r="G14" s="38">
        <f t="shared" si="0"/>
        <v>484869.91479999997</v>
      </c>
    </row>
    <row r="15" spans="1:7" x14ac:dyDescent="0.3">
      <c r="B15" s="35">
        <v>400300</v>
      </c>
      <c r="C15" s="36" t="s">
        <v>28</v>
      </c>
      <c r="D15" s="37" t="s">
        <v>29</v>
      </c>
      <c r="E15" s="38">
        <v>1244</v>
      </c>
      <c r="F15" s="38">
        <v>57.6</v>
      </c>
      <c r="G15" s="38">
        <f t="shared" si="0"/>
        <v>71654.400000000009</v>
      </c>
    </row>
    <row r="16" spans="1:7" x14ac:dyDescent="0.3">
      <c r="B16" s="35">
        <v>410200</v>
      </c>
      <c r="C16" s="36" t="s">
        <v>30</v>
      </c>
      <c r="D16" s="37" t="s">
        <v>22</v>
      </c>
      <c r="E16" s="38">
        <v>48813.13</v>
      </c>
      <c r="F16" s="38">
        <v>9.6300000000000008</v>
      </c>
      <c r="G16" s="38">
        <f t="shared" si="0"/>
        <v>470070.44190000003</v>
      </c>
    </row>
    <row r="17" spans="1:7" x14ac:dyDescent="0.3">
      <c r="B17" s="35">
        <v>410400</v>
      </c>
      <c r="C17" s="36" t="s">
        <v>31</v>
      </c>
      <c r="D17" s="37" t="s">
        <v>22</v>
      </c>
      <c r="E17" s="38">
        <v>25433.17</v>
      </c>
      <c r="F17" s="38">
        <v>10.93</v>
      </c>
      <c r="G17" s="38">
        <f t="shared" si="0"/>
        <v>277984.54809999996</v>
      </c>
    </row>
    <row r="18" spans="1:7" x14ac:dyDescent="0.3">
      <c r="B18" s="35">
        <v>410600</v>
      </c>
      <c r="C18" s="36" t="s">
        <v>32</v>
      </c>
      <c r="D18" s="37" t="s">
        <v>22</v>
      </c>
      <c r="E18" s="38">
        <v>19462.16</v>
      </c>
      <c r="F18" s="38">
        <v>11.4</v>
      </c>
      <c r="G18" s="38">
        <f t="shared" si="0"/>
        <v>221868.62400000001</v>
      </c>
    </row>
    <row r="19" spans="1:7" x14ac:dyDescent="0.3">
      <c r="B19" s="35">
        <v>410800</v>
      </c>
      <c r="C19" s="36" t="s">
        <v>33</v>
      </c>
      <c r="D19" s="39" t="s">
        <v>22</v>
      </c>
      <c r="E19" s="38">
        <v>11703.25</v>
      </c>
      <c r="F19" s="38">
        <v>11.86</v>
      </c>
      <c r="G19" s="38">
        <f t="shared" si="0"/>
        <v>138800.54499999998</v>
      </c>
    </row>
    <row r="20" spans="1:7" x14ac:dyDescent="0.3">
      <c r="B20" s="35">
        <v>411000</v>
      </c>
      <c r="C20" s="36" t="s">
        <v>34</v>
      </c>
      <c r="D20" s="37" t="s">
        <v>22</v>
      </c>
      <c r="E20" s="38">
        <v>15409.89</v>
      </c>
      <c r="F20" s="38">
        <v>12.39</v>
      </c>
      <c r="G20" s="38">
        <f t="shared" si="0"/>
        <v>190928.53710000002</v>
      </c>
    </row>
    <row r="21" spans="1:7" x14ac:dyDescent="0.3">
      <c r="B21" s="35">
        <v>411200</v>
      </c>
      <c r="C21" s="36" t="s">
        <v>35</v>
      </c>
      <c r="D21" s="37" t="s">
        <v>22</v>
      </c>
      <c r="E21" s="38">
        <v>4728.7</v>
      </c>
      <c r="F21" s="38">
        <v>12.85</v>
      </c>
      <c r="G21" s="38">
        <f t="shared" si="0"/>
        <v>60763.794999999998</v>
      </c>
    </row>
    <row r="22" spans="1:7" x14ac:dyDescent="0.3">
      <c r="B22" s="35">
        <v>411400</v>
      </c>
      <c r="C22" s="36" t="s">
        <v>36</v>
      </c>
      <c r="D22" s="37" t="s">
        <v>22</v>
      </c>
      <c r="E22" s="38">
        <v>7281.07</v>
      </c>
      <c r="F22" s="38">
        <v>14.3</v>
      </c>
      <c r="G22" s="38">
        <f t="shared" si="0"/>
        <v>104119.30100000001</v>
      </c>
    </row>
    <row r="23" spans="1:7" x14ac:dyDescent="0.3">
      <c r="B23" s="35">
        <v>411600</v>
      </c>
      <c r="C23" s="36" t="s">
        <v>37</v>
      </c>
      <c r="D23" s="37" t="s">
        <v>22</v>
      </c>
      <c r="E23" s="38">
        <v>3517.27</v>
      </c>
      <c r="F23" s="38">
        <v>14.82</v>
      </c>
      <c r="G23" s="38">
        <f t="shared" si="0"/>
        <v>52125.941400000003</v>
      </c>
    </row>
    <row r="24" spans="1:7" x14ac:dyDescent="0.3">
      <c r="B24" s="35">
        <v>498138</v>
      </c>
      <c r="C24" s="36" t="s">
        <v>38</v>
      </c>
      <c r="D24" s="37" t="s">
        <v>22</v>
      </c>
      <c r="E24" s="38">
        <v>5237.08</v>
      </c>
      <c r="F24" s="38">
        <v>21.56</v>
      </c>
      <c r="G24" s="38">
        <f t="shared" si="0"/>
        <v>112911.4448</v>
      </c>
    </row>
    <row r="25" spans="1:7" x14ac:dyDescent="0.3">
      <c r="B25" s="35">
        <v>498139</v>
      </c>
      <c r="C25" s="36" t="s">
        <v>39</v>
      </c>
      <c r="D25" s="37" t="s">
        <v>22</v>
      </c>
      <c r="E25" s="38">
        <v>8671.4</v>
      </c>
      <c r="F25" s="38">
        <v>2.2000000000000002</v>
      </c>
      <c r="G25" s="38">
        <f t="shared" si="0"/>
        <v>19077.080000000002</v>
      </c>
    </row>
    <row r="26" spans="1:7" x14ac:dyDescent="0.3">
      <c r="B26" s="35">
        <v>494300</v>
      </c>
      <c r="C26" s="36" t="s">
        <v>40</v>
      </c>
      <c r="D26" s="37" t="s">
        <v>22</v>
      </c>
      <c r="E26" s="38">
        <v>105376.64</v>
      </c>
      <c r="F26" s="38">
        <v>0.97</v>
      </c>
      <c r="G26" s="38">
        <f t="shared" si="0"/>
        <v>102215.34079999999</v>
      </c>
    </row>
    <row r="27" spans="1:7" x14ac:dyDescent="0.3">
      <c r="B27" s="40">
        <v>491765</v>
      </c>
      <c r="C27" s="41" t="s">
        <v>41</v>
      </c>
      <c r="D27" s="42" t="s">
        <v>22</v>
      </c>
      <c r="E27" s="43">
        <v>2569.56</v>
      </c>
      <c r="F27" s="43">
        <v>105.06</v>
      </c>
      <c r="G27" s="43">
        <f t="shared" si="0"/>
        <v>269957.97360000003</v>
      </c>
    </row>
    <row r="28" spans="1:7" x14ac:dyDescent="0.3">
      <c r="A28" s="44"/>
      <c r="B28" s="45"/>
      <c r="C28" s="46" t="s">
        <v>42</v>
      </c>
      <c r="D28" s="47"/>
      <c r="E28" s="47"/>
      <c r="F28" s="47"/>
      <c r="G28" s="48">
        <f>SUBTOTAL(9,G10:G27)</f>
        <v>3299870.6207999997</v>
      </c>
    </row>
    <row r="29" spans="1:7" x14ac:dyDescent="0.3">
      <c r="B29" s="49"/>
      <c r="C29" s="49"/>
      <c r="D29" s="50"/>
      <c r="E29" s="51"/>
      <c r="F29" s="51"/>
      <c r="G29" s="51"/>
    </row>
    <row r="30" spans="1:7" x14ac:dyDescent="0.3">
      <c r="A30" s="23"/>
      <c r="B30" s="24" t="s">
        <v>43</v>
      </c>
      <c r="C30" s="25"/>
      <c r="D30" s="25"/>
      <c r="E30" s="25"/>
      <c r="F30" s="25"/>
      <c r="G30" s="26"/>
    </row>
    <row r="31" spans="1:7" x14ac:dyDescent="0.3">
      <c r="A31" s="27"/>
      <c r="B31" s="28" t="s">
        <v>15</v>
      </c>
      <c r="C31" s="28" t="s">
        <v>16</v>
      </c>
      <c r="D31" s="28" t="s">
        <v>17</v>
      </c>
      <c r="E31" s="29" t="s">
        <v>18</v>
      </c>
      <c r="F31" s="29" t="s">
        <v>19</v>
      </c>
      <c r="G31" s="29" t="s">
        <v>20</v>
      </c>
    </row>
    <row r="32" spans="1:7" x14ac:dyDescent="0.3">
      <c r="B32" s="35">
        <v>505415</v>
      </c>
      <c r="C32" s="36" t="s">
        <v>44</v>
      </c>
      <c r="D32" s="37" t="s">
        <v>27</v>
      </c>
      <c r="E32" s="38">
        <v>218515</v>
      </c>
      <c r="F32" s="38">
        <v>9.92</v>
      </c>
      <c r="G32" s="38">
        <f t="shared" ref="G32:G42" si="1">+E32*F32</f>
        <v>2167668.7999999998</v>
      </c>
    </row>
    <row r="33" spans="1:7" x14ac:dyDescent="0.3">
      <c r="B33" s="35">
        <v>505416</v>
      </c>
      <c r="C33" s="36" t="s">
        <v>45</v>
      </c>
      <c r="D33" s="37" t="s">
        <v>27</v>
      </c>
      <c r="E33" s="38">
        <v>218515</v>
      </c>
      <c r="F33" s="52">
        <v>10.99</v>
      </c>
      <c r="G33" s="38">
        <f t="shared" si="1"/>
        <v>2401479.85</v>
      </c>
    </row>
    <row r="34" spans="1:7" x14ac:dyDescent="0.3">
      <c r="B34" s="35">
        <v>504840</v>
      </c>
      <c r="C34" s="36" t="s">
        <v>46</v>
      </c>
      <c r="D34" s="37" t="s">
        <v>47</v>
      </c>
      <c r="E34" s="38">
        <v>27533</v>
      </c>
      <c r="F34" s="38">
        <v>67.53</v>
      </c>
      <c r="G34" s="38">
        <f t="shared" si="1"/>
        <v>1859303.49</v>
      </c>
    </row>
    <row r="35" spans="1:7" x14ac:dyDescent="0.3">
      <c r="B35" s="35">
        <v>507215</v>
      </c>
      <c r="C35" s="36" t="s">
        <v>48</v>
      </c>
      <c r="D35" s="37" t="s">
        <v>47</v>
      </c>
      <c r="E35" s="38">
        <v>192475.79</v>
      </c>
      <c r="F35" s="38">
        <v>7.88</v>
      </c>
      <c r="G35" s="38">
        <f t="shared" si="1"/>
        <v>1516709.2252</v>
      </c>
    </row>
    <row r="36" spans="1:7" x14ac:dyDescent="0.3">
      <c r="B36" s="35">
        <v>507210</v>
      </c>
      <c r="C36" s="36" t="s">
        <v>49</v>
      </c>
      <c r="D36" s="37" t="s">
        <v>47</v>
      </c>
      <c r="E36" s="38">
        <v>25758.799999999999</v>
      </c>
      <c r="F36" s="38">
        <v>7.93</v>
      </c>
      <c r="G36" s="38">
        <f t="shared" si="1"/>
        <v>204267.28399999999</v>
      </c>
    </row>
    <row r="37" spans="1:7" x14ac:dyDescent="0.3">
      <c r="B37" s="35">
        <v>507225</v>
      </c>
      <c r="C37" s="36" t="s">
        <v>50</v>
      </c>
      <c r="D37" s="37" t="s">
        <v>47</v>
      </c>
      <c r="E37" s="38">
        <v>314025.37</v>
      </c>
      <c r="F37" s="38">
        <v>9.7899999999999991</v>
      </c>
      <c r="G37" s="38">
        <f t="shared" si="1"/>
        <v>3074308.3722999995</v>
      </c>
    </row>
    <row r="38" spans="1:7" x14ac:dyDescent="0.3">
      <c r="B38" s="35">
        <v>590280</v>
      </c>
      <c r="C38" s="36" t="s">
        <v>51</v>
      </c>
      <c r="D38" s="37" t="s">
        <v>47</v>
      </c>
      <c r="E38" s="38">
        <v>1605</v>
      </c>
      <c r="F38" s="38">
        <v>11.6</v>
      </c>
      <c r="G38" s="38">
        <f t="shared" si="1"/>
        <v>18618</v>
      </c>
    </row>
    <row r="39" spans="1:7" x14ac:dyDescent="0.3">
      <c r="B39" s="35">
        <v>590285</v>
      </c>
      <c r="C39" s="36" t="s">
        <v>52</v>
      </c>
      <c r="D39" s="37" t="s">
        <v>47</v>
      </c>
      <c r="E39" s="38">
        <v>28954</v>
      </c>
      <c r="F39" s="38">
        <v>14.99</v>
      </c>
      <c r="G39" s="38">
        <f t="shared" si="1"/>
        <v>434020.46</v>
      </c>
    </row>
    <row r="40" spans="1:7" x14ac:dyDescent="0.3">
      <c r="B40" s="35">
        <v>502680</v>
      </c>
      <c r="C40" s="36" t="s">
        <v>53</v>
      </c>
      <c r="D40" s="37" t="s">
        <v>54</v>
      </c>
      <c r="E40" s="38">
        <v>29720.560000000001</v>
      </c>
      <c r="F40" s="38">
        <v>15</v>
      </c>
      <c r="G40" s="38">
        <f t="shared" si="1"/>
        <v>445808.4</v>
      </c>
    </row>
    <row r="41" spans="1:7" x14ac:dyDescent="0.3">
      <c r="B41" s="35">
        <v>502670</v>
      </c>
      <c r="C41" s="36" t="s">
        <v>55</v>
      </c>
      <c r="D41" s="37" t="s">
        <v>54</v>
      </c>
      <c r="E41" s="38">
        <v>48900.959999999999</v>
      </c>
      <c r="F41" s="38">
        <v>19.97</v>
      </c>
      <c r="G41" s="38">
        <f t="shared" si="1"/>
        <v>976552.17119999998</v>
      </c>
    </row>
    <row r="42" spans="1:7" ht="27.6" x14ac:dyDescent="0.3">
      <c r="B42" s="35">
        <v>502645</v>
      </c>
      <c r="C42" s="36" t="s">
        <v>56</v>
      </c>
      <c r="D42" s="37" t="s">
        <v>22</v>
      </c>
      <c r="E42" s="38">
        <v>45888</v>
      </c>
      <c r="F42" s="38">
        <v>493.84</v>
      </c>
      <c r="G42" s="38">
        <f t="shared" si="1"/>
        <v>22661329.919999998</v>
      </c>
    </row>
    <row r="43" spans="1:7" x14ac:dyDescent="0.3">
      <c r="A43" s="44"/>
      <c r="B43" s="45"/>
      <c r="C43" s="46" t="s">
        <v>42</v>
      </c>
      <c r="D43" s="47"/>
      <c r="E43" s="47"/>
      <c r="F43" s="47"/>
      <c r="G43" s="48">
        <f>SUBTOTAL(9,G32:G42)</f>
        <v>35760065.9727</v>
      </c>
    </row>
    <row r="44" spans="1:7" x14ac:dyDescent="0.3">
      <c r="B44" s="49"/>
      <c r="C44" s="49"/>
      <c r="D44" s="50"/>
      <c r="E44" s="51"/>
      <c r="F44" s="51"/>
      <c r="G44" s="51"/>
    </row>
    <row r="45" spans="1:7" x14ac:dyDescent="0.3">
      <c r="A45" s="23"/>
      <c r="B45" s="24" t="s">
        <v>57</v>
      </c>
      <c r="C45" s="25"/>
      <c r="D45" s="25"/>
      <c r="E45" s="25"/>
      <c r="F45" s="25"/>
      <c r="G45" s="26"/>
    </row>
    <row r="46" spans="1:7" x14ac:dyDescent="0.3">
      <c r="A46" s="27"/>
      <c r="B46" s="28" t="s">
        <v>15</v>
      </c>
      <c r="C46" s="28" t="s">
        <v>16</v>
      </c>
      <c r="D46" s="28" t="s">
        <v>17</v>
      </c>
      <c r="E46" s="29" t="s">
        <v>18</v>
      </c>
      <c r="F46" s="29" t="s">
        <v>19</v>
      </c>
      <c r="G46" s="29" t="s">
        <v>20</v>
      </c>
    </row>
    <row r="47" spans="1:7" x14ac:dyDescent="0.3">
      <c r="B47" s="35">
        <v>591036</v>
      </c>
      <c r="C47" s="36" t="s">
        <v>58</v>
      </c>
      <c r="D47" s="37" t="s">
        <v>22</v>
      </c>
      <c r="E47" s="38">
        <v>2277.61</v>
      </c>
      <c r="F47" s="38">
        <v>99.33</v>
      </c>
      <c r="G47" s="38">
        <f t="shared" ref="G47:G59" si="2">+E47*F47</f>
        <v>226235.0013</v>
      </c>
    </row>
    <row r="48" spans="1:7" x14ac:dyDescent="0.3">
      <c r="B48" s="35">
        <v>530200</v>
      </c>
      <c r="C48" s="36" t="s">
        <v>59</v>
      </c>
      <c r="D48" s="37" t="s">
        <v>22</v>
      </c>
      <c r="E48" s="38">
        <v>32778</v>
      </c>
      <c r="F48" s="38">
        <v>169</v>
      </c>
      <c r="G48" s="38">
        <f t="shared" si="2"/>
        <v>5539482</v>
      </c>
    </row>
    <row r="49" spans="1:7" x14ac:dyDescent="0.3">
      <c r="B49" s="35">
        <v>531100</v>
      </c>
      <c r="C49" s="36" t="s">
        <v>60</v>
      </c>
      <c r="D49" s="37" t="s">
        <v>22</v>
      </c>
      <c r="E49" s="38">
        <v>122470</v>
      </c>
      <c r="F49" s="38">
        <v>230.38</v>
      </c>
      <c r="G49" s="38">
        <f t="shared" si="2"/>
        <v>28214638.599999998</v>
      </c>
    </row>
    <row r="50" spans="1:7" x14ac:dyDescent="0.3">
      <c r="B50" s="35">
        <v>570400</v>
      </c>
      <c r="C50" s="36" t="s">
        <v>61</v>
      </c>
      <c r="D50" s="37" t="s">
        <v>62</v>
      </c>
      <c r="E50" s="38">
        <v>48013.53</v>
      </c>
      <c r="F50" s="38">
        <v>250.69</v>
      </c>
      <c r="G50" s="38">
        <f t="shared" si="2"/>
        <v>12036511.8357</v>
      </c>
    </row>
    <row r="51" spans="1:7" x14ac:dyDescent="0.3">
      <c r="B51" s="35">
        <v>512050</v>
      </c>
      <c r="C51" s="36" t="s">
        <v>63</v>
      </c>
      <c r="D51" s="37" t="s">
        <v>22</v>
      </c>
      <c r="E51" s="38">
        <v>61732.6</v>
      </c>
      <c r="F51" s="38">
        <v>56.9</v>
      </c>
      <c r="G51" s="38">
        <f t="shared" si="2"/>
        <v>3512584.94</v>
      </c>
    </row>
    <row r="52" spans="1:7" x14ac:dyDescent="0.3">
      <c r="B52" s="35">
        <v>505000</v>
      </c>
      <c r="C52" s="36" t="s">
        <v>64</v>
      </c>
      <c r="D52" s="37" t="s">
        <v>22</v>
      </c>
      <c r="E52" s="38">
        <v>10327</v>
      </c>
      <c r="F52" s="52">
        <v>241.99</v>
      </c>
      <c r="G52" s="38">
        <f t="shared" si="2"/>
        <v>2499030.73</v>
      </c>
    </row>
    <row r="53" spans="1:7" x14ac:dyDescent="0.3">
      <c r="B53" s="35">
        <v>560100</v>
      </c>
      <c r="C53" s="36" t="s">
        <v>65</v>
      </c>
      <c r="D53" s="37" t="s">
        <v>27</v>
      </c>
      <c r="E53" s="38">
        <v>542577.75</v>
      </c>
      <c r="F53" s="38">
        <v>0.57999999999999996</v>
      </c>
      <c r="G53" s="38">
        <f t="shared" si="2"/>
        <v>314695.09499999997</v>
      </c>
    </row>
    <row r="54" spans="1:7" x14ac:dyDescent="0.3">
      <c r="B54" s="35">
        <v>561100</v>
      </c>
      <c r="C54" s="36" t="s">
        <v>66</v>
      </c>
      <c r="D54" s="37" t="s">
        <v>27</v>
      </c>
      <c r="E54" s="38">
        <v>317573.266</v>
      </c>
      <c r="F54" s="38">
        <v>0.4</v>
      </c>
      <c r="G54" s="38">
        <f t="shared" si="2"/>
        <v>127029.3064</v>
      </c>
    </row>
    <row r="55" spans="1:7" x14ac:dyDescent="0.3">
      <c r="B55" s="35">
        <v>516100</v>
      </c>
      <c r="C55" s="36" t="s">
        <v>67</v>
      </c>
      <c r="D55" s="37" t="s">
        <v>22</v>
      </c>
      <c r="E55" s="38">
        <v>1943.7</v>
      </c>
      <c r="F55" s="38">
        <v>158.38</v>
      </c>
      <c r="G55" s="38">
        <f t="shared" si="2"/>
        <v>307843.20600000001</v>
      </c>
    </row>
    <row r="56" spans="1:7" x14ac:dyDescent="0.3">
      <c r="B56" s="35">
        <v>590360</v>
      </c>
      <c r="C56" s="36" t="s">
        <v>68</v>
      </c>
      <c r="D56" s="37" t="s">
        <v>22</v>
      </c>
      <c r="E56" s="38">
        <v>4788</v>
      </c>
      <c r="F56" s="38">
        <v>105.06</v>
      </c>
      <c r="G56" s="38">
        <f t="shared" si="2"/>
        <v>503027.28</v>
      </c>
    </row>
    <row r="57" spans="1:7" x14ac:dyDescent="0.3">
      <c r="B57" s="35">
        <v>511200</v>
      </c>
      <c r="C57" s="36" t="s">
        <v>69</v>
      </c>
      <c r="D57" s="37" t="s">
        <v>27</v>
      </c>
      <c r="E57" s="38">
        <v>542577.75</v>
      </c>
      <c r="F57" s="38">
        <v>5.24</v>
      </c>
      <c r="G57" s="38">
        <f t="shared" si="2"/>
        <v>2843107.41</v>
      </c>
    </row>
    <row r="58" spans="1:7" x14ac:dyDescent="0.3">
      <c r="B58" s="35">
        <v>581050</v>
      </c>
      <c r="C58" s="36" t="s">
        <v>70</v>
      </c>
      <c r="D58" s="37" t="s">
        <v>71</v>
      </c>
      <c r="E58" s="38">
        <v>289276.69400000002</v>
      </c>
      <c r="F58" s="38">
        <v>1.0900000000000001</v>
      </c>
      <c r="G58" s="38">
        <f t="shared" si="2"/>
        <v>315311.59646000003</v>
      </c>
    </row>
    <row r="59" spans="1:7" x14ac:dyDescent="0.3">
      <c r="B59" s="53">
        <v>581011</v>
      </c>
      <c r="C59" s="54" t="s">
        <v>72</v>
      </c>
      <c r="D59" s="55" t="s">
        <v>71</v>
      </c>
      <c r="E59" s="56">
        <v>98805.237999999998</v>
      </c>
      <c r="F59" s="56">
        <v>0.98</v>
      </c>
      <c r="G59" s="56">
        <f t="shared" si="2"/>
        <v>96829.133239999996</v>
      </c>
    </row>
    <row r="60" spans="1:7" x14ac:dyDescent="0.3">
      <c r="A60" s="44"/>
      <c r="B60" s="45"/>
      <c r="C60" s="46" t="s">
        <v>73</v>
      </c>
      <c r="D60" s="47"/>
      <c r="E60" s="47"/>
      <c r="F60" s="47"/>
      <c r="G60" s="48">
        <f>SUBTOTAL(9,G47:G59)</f>
        <v>56536326.13409999</v>
      </c>
    </row>
    <row r="61" spans="1:7" x14ac:dyDescent="0.3">
      <c r="B61" s="49"/>
      <c r="C61" s="49"/>
      <c r="D61" s="50"/>
      <c r="E61" s="51"/>
      <c r="F61" s="51"/>
      <c r="G61" s="51"/>
    </row>
    <row r="62" spans="1:7" ht="24" x14ac:dyDescent="0.3">
      <c r="B62" s="57" t="s">
        <v>74</v>
      </c>
      <c r="C62" s="58"/>
      <c r="D62" s="58"/>
      <c r="E62" s="58"/>
      <c r="F62" s="58"/>
      <c r="G62" s="59"/>
    </row>
    <row r="63" spans="1:7" x14ac:dyDescent="0.3">
      <c r="A63" s="27"/>
      <c r="B63" s="28" t="s">
        <v>15</v>
      </c>
      <c r="C63" s="28" t="s">
        <v>16</v>
      </c>
      <c r="D63" s="28" t="s">
        <v>17</v>
      </c>
      <c r="E63" s="29" t="s">
        <v>18</v>
      </c>
      <c r="F63" s="29" t="s">
        <v>19</v>
      </c>
      <c r="G63" s="29" t="s">
        <v>20</v>
      </c>
    </row>
    <row r="64" spans="1:7" x14ac:dyDescent="0.3">
      <c r="B64" s="35">
        <v>531000</v>
      </c>
      <c r="C64" s="36" t="s">
        <v>75</v>
      </c>
      <c r="D64" s="37" t="s">
        <v>22</v>
      </c>
      <c r="E64" s="38">
        <v>12511.95</v>
      </c>
      <c r="F64" s="38">
        <v>220.77</v>
      </c>
      <c r="G64" s="38">
        <f t="shared" ref="G64" si="3">+E64*F64</f>
        <v>2762263.2015000004</v>
      </c>
    </row>
    <row r="65" spans="1:7" x14ac:dyDescent="0.3">
      <c r="A65" s="44"/>
      <c r="B65" s="45"/>
      <c r="C65" s="46" t="s">
        <v>73</v>
      </c>
      <c r="D65" s="47"/>
      <c r="E65" s="47"/>
      <c r="F65" s="47"/>
      <c r="G65" s="48">
        <f>SUBTOTAL(9,G64)</f>
        <v>2762263.2015000004</v>
      </c>
    </row>
    <row r="66" spans="1:7" x14ac:dyDescent="0.3">
      <c r="B66" s="49"/>
      <c r="C66" s="49"/>
      <c r="D66" s="50"/>
      <c r="E66" s="51"/>
      <c r="F66" s="51"/>
      <c r="G66" s="51"/>
    </row>
    <row r="67" spans="1:7" x14ac:dyDescent="0.3">
      <c r="A67" s="44"/>
      <c r="B67" s="45"/>
      <c r="C67" s="46" t="s">
        <v>42</v>
      </c>
      <c r="D67" s="47"/>
      <c r="E67" s="47"/>
      <c r="F67" s="47"/>
      <c r="G67" s="48">
        <f>SUBTOTAL(9,G47:G66)</f>
        <v>59298589.335599989</v>
      </c>
    </row>
    <row r="68" spans="1:7" x14ac:dyDescent="0.3">
      <c r="B68" s="49"/>
      <c r="C68" s="49"/>
      <c r="D68" s="50"/>
      <c r="E68" s="51"/>
      <c r="F68" s="51"/>
      <c r="G68" s="51"/>
    </row>
    <row r="69" spans="1:7" x14ac:dyDescent="0.3">
      <c r="A69" s="23"/>
      <c r="B69" s="24" t="s">
        <v>76</v>
      </c>
      <c r="C69" s="25"/>
      <c r="D69" s="25"/>
      <c r="E69" s="25"/>
      <c r="F69" s="25"/>
      <c r="G69" s="26"/>
    </row>
    <row r="70" spans="1:7" x14ac:dyDescent="0.3">
      <c r="A70" s="27"/>
      <c r="B70" s="28" t="s">
        <v>15</v>
      </c>
      <c r="C70" s="28" t="s">
        <v>16</v>
      </c>
      <c r="D70" s="28" t="s">
        <v>17</v>
      </c>
      <c r="E70" s="29" t="s">
        <v>18</v>
      </c>
      <c r="F70" s="29" t="s">
        <v>19</v>
      </c>
      <c r="G70" s="29" t="s">
        <v>20</v>
      </c>
    </row>
    <row r="71" spans="1:7" x14ac:dyDescent="0.3">
      <c r="B71" s="35">
        <v>589000</v>
      </c>
      <c r="C71" s="36" t="s">
        <v>77</v>
      </c>
      <c r="D71" s="37" t="s">
        <v>62</v>
      </c>
      <c r="E71" s="38">
        <v>2736.7710000000002</v>
      </c>
      <c r="F71" s="38">
        <v>4947.12</v>
      </c>
      <c r="G71" s="38">
        <f t="shared" ref="G71:G73" si="4">+E71*F71</f>
        <v>13539134.549520001</v>
      </c>
    </row>
    <row r="72" spans="1:7" x14ac:dyDescent="0.3">
      <c r="B72" s="35">
        <v>589190</v>
      </c>
      <c r="C72" s="36" t="s">
        <v>78</v>
      </c>
      <c r="D72" s="37" t="s">
        <v>62</v>
      </c>
      <c r="E72" s="38">
        <v>651.09299999999996</v>
      </c>
      <c r="F72" s="38">
        <v>3969.06</v>
      </c>
      <c r="G72" s="38">
        <f t="shared" si="4"/>
        <v>2584227.1825799998</v>
      </c>
    </row>
    <row r="73" spans="1:7" x14ac:dyDescent="0.3">
      <c r="B73" s="35">
        <v>589420</v>
      </c>
      <c r="C73" s="36" t="s">
        <v>79</v>
      </c>
      <c r="D73" s="37" t="s">
        <v>62</v>
      </c>
      <c r="E73" s="38">
        <v>158.786</v>
      </c>
      <c r="F73" s="38">
        <v>3730.81</v>
      </c>
      <c r="G73" s="38">
        <f t="shared" si="4"/>
        <v>592400.39665999997</v>
      </c>
    </row>
    <row r="74" spans="1:7" x14ac:dyDescent="0.3">
      <c r="A74" s="44"/>
      <c r="B74" s="45"/>
      <c r="C74" s="46" t="s">
        <v>42</v>
      </c>
      <c r="D74" s="47"/>
      <c r="E74" s="47"/>
      <c r="F74" s="47"/>
      <c r="G74" s="48">
        <f>SUBTOTAL(9,G71:G73)</f>
        <v>16715762.128760001</v>
      </c>
    </row>
    <row r="75" spans="1:7" x14ac:dyDescent="0.3">
      <c r="B75" s="49"/>
      <c r="C75" s="49"/>
      <c r="D75" s="50"/>
      <c r="E75" s="51"/>
      <c r="F75" s="51"/>
      <c r="G75" s="51"/>
    </row>
    <row r="76" spans="1:7" x14ac:dyDescent="0.3">
      <c r="A76" s="23"/>
      <c r="B76" s="24" t="s">
        <v>80</v>
      </c>
      <c r="C76" s="25"/>
      <c r="D76" s="25"/>
      <c r="E76" s="25"/>
      <c r="F76" s="25"/>
      <c r="G76" s="26"/>
    </row>
    <row r="77" spans="1:7" x14ac:dyDescent="0.3">
      <c r="A77" s="27"/>
      <c r="B77" s="28" t="s">
        <v>15</v>
      </c>
      <c r="C77" s="28" t="s">
        <v>16</v>
      </c>
      <c r="D77" s="28" t="s">
        <v>17</v>
      </c>
      <c r="E77" s="29" t="s">
        <v>18</v>
      </c>
      <c r="F77" s="29" t="s">
        <v>19</v>
      </c>
      <c r="G77" s="29" t="s">
        <v>20</v>
      </c>
    </row>
    <row r="78" spans="1:7" x14ac:dyDescent="0.3">
      <c r="B78" s="35">
        <v>699045</v>
      </c>
      <c r="C78" s="36" t="s">
        <v>81</v>
      </c>
      <c r="D78" s="37" t="s">
        <v>22</v>
      </c>
      <c r="E78" s="38">
        <v>44200</v>
      </c>
      <c r="F78" s="38">
        <v>181.43</v>
      </c>
      <c r="G78" s="38">
        <f t="shared" ref="G78:G99" si="5">+E78*F78</f>
        <v>8019206</v>
      </c>
    </row>
    <row r="79" spans="1:7" x14ac:dyDescent="0.3">
      <c r="B79" s="35">
        <v>693615</v>
      </c>
      <c r="C79" s="36" t="s">
        <v>82</v>
      </c>
      <c r="D79" s="37" t="s">
        <v>22</v>
      </c>
      <c r="E79" s="38">
        <v>2962.08</v>
      </c>
      <c r="F79" s="38">
        <v>21.24</v>
      </c>
      <c r="G79" s="38">
        <f t="shared" si="5"/>
        <v>62914.579199999993</v>
      </c>
    </row>
    <row r="80" spans="1:7" x14ac:dyDescent="0.3">
      <c r="B80" s="35">
        <v>692355</v>
      </c>
      <c r="C80" s="36" t="s">
        <v>83</v>
      </c>
      <c r="D80" s="37" t="s">
        <v>22</v>
      </c>
      <c r="E80" s="38">
        <v>1640.38</v>
      </c>
      <c r="F80" s="38">
        <v>92.7</v>
      </c>
      <c r="G80" s="38">
        <f t="shared" si="5"/>
        <v>152063.22600000002</v>
      </c>
    </row>
    <row r="81" spans="2:7" x14ac:dyDescent="0.3">
      <c r="B81" s="35">
        <v>697125</v>
      </c>
      <c r="C81" s="36" t="s">
        <v>84</v>
      </c>
      <c r="D81" s="37" t="s">
        <v>22</v>
      </c>
      <c r="E81" s="38">
        <v>4937.12</v>
      </c>
      <c r="F81" s="38">
        <v>20.64</v>
      </c>
      <c r="G81" s="38">
        <f t="shared" si="5"/>
        <v>101902.1568</v>
      </c>
    </row>
    <row r="82" spans="2:7" x14ac:dyDescent="0.3">
      <c r="B82" s="35">
        <v>606700</v>
      </c>
      <c r="C82" s="36" t="s">
        <v>85</v>
      </c>
      <c r="D82" s="37" t="s">
        <v>22</v>
      </c>
      <c r="E82" s="38">
        <v>1260</v>
      </c>
      <c r="F82" s="38">
        <v>160.91</v>
      </c>
      <c r="G82" s="38">
        <f t="shared" si="5"/>
        <v>202746.6</v>
      </c>
    </row>
    <row r="83" spans="2:7" x14ac:dyDescent="0.3">
      <c r="B83" s="35">
        <v>644100</v>
      </c>
      <c r="C83" s="36" t="s">
        <v>86</v>
      </c>
      <c r="D83" s="37" t="s">
        <v>54</v>
      </c>
      <c r="E83" s="38">
        <v>27171</v>
      </c>
      <c r="F83" s="38">
        <v>22.74</v>
      </c>
      <c r="G83" s="38">
        <f t="shared" si="5"/>
        <v>617868.53999999992</v>
      </c>
    </row>
    <row r="84" spans="2:7" x14ac:dyDescent="0.3">
      <c r="B84" s="35">
        <v>600300</v>
      </c>
      <c r="C84" s="36" t="s">
        <v>87</v>
      </c>
      <c r="D84" s="37" t="s">
        <v>22</v>
      </c>
      <c r="E84" s="38">
        <v>24635.200000000001</v>
      </c>
      <c r="F84" s="38">
        <v>10.4</v>
      </c>
      <c r="G84" s="38">
        <f t="shared" si="5"/>
        <v>256206.08000000002</v>
      </c>
    </row>
    <row r="85" spans="2:7" x14ac:dyDescent="0.3">
      <c r="B85" s="35">
        <v>694301</v>
      </c>
      <c r="C85" s="36" t="s">
        <v>40</v>
      </c>
      <c r="D85" s="37" t="s">
        <v>22</v>
      </c>
      <c r="E85" s="38">
        <v>2962.08</v>
      </c>
      <c r="F85" s="38">
        <v>0.97</v>
      </c>
      <c r="G85" s="38">
        <f t="shared" si="5"/>
        <v>2873.2175999999999</v>
      </c>
    </row>
    <row r="86" spans="2:7" x14ac:dyDescent="0.3">
      <c r="B86" s="35">
        <v>694220</v>
      </c>
      <c r="C86" s="36" t="s">
        <v>88</v>
      </c>
      <c r="D86" s="37" t="s">
        <v>27</v>
      </c>
      <c r="E86" s="38">
        <v>108245.8</v>
      </c>
      <c r="F86" s="38">
        <v>68.14</v>
      </c>
      <c r="G86" s="38">
        <f t="shared" si="5"/>
        <v>7375868.8119999999</v>
      </c>
    </row>
    <row r="87" spans="2:7" x14ac:dyDescent="0.3">
      <c r="B87" s="35">
        <v>810200</v>
      </c>
      <c r="C87" s="36" t="s">
        <v>89</v>
      </c>
      <c r="D87" s="37" t="s">
        <v>54</v>
      </c>
      <c r="E87" s="38">
        <v>48181</v>
      </c>
      <c r="F87" s="38">
        <v>39.11</v>
      </c>
      <c r="G87" s="38">
        <f t="shared" si="5"/>
        <v>1884358.91</v>
      </c>
    </row>
    <row r="88" spans="2:7" x14ac:dyDescent="0.3">
      <c r="B88" s="35">
        <v>810300</v>
      </c>
      <c r="C88" s="36" t="s">
        <v>90</v>
      </c>
      <c r="D88" s="37" t="s">
        <v>54</v>
      </c>
      <c r="E88" s="38">
        <v>28569</v>
      </c>
      <c r="F88" s="38">
        <v>30.52</v>
      </c>
      <c r="G88" s="38">
        <f t="shared" si="5"/>
        <v>871925.88</v>
      </c>
    </row>
    <row r="89" spans="2:7" x14ac:dyDescent="0.3">
      <c r="B89" s="35">
        <v>810700</v>
      </c>
      <c r="C89" s="36" t="s">
        <v>91</v>
      </c>
      <c r="D89" s="37" t="s">
        <v>54</v>
      </c>
      <c r="E89" s="38">
        <v>6490.5</v>
      </c>
      <c r="F89" s="38">
        <v>31.37</v>
      </c>
      <c r="G89" s="38">
        <f t="shared" si="5"/>
        <v>203606.98500000002</v>
      </c>
    </row>
    <row r="90" spans="2:7" x14ac:dyDescent="0.3">
      <c r="B90" s="35">
        <v>601200</v>
      </c>
      <c r="C90" s="36" t="s">
        <v>92</v>
      </c>
      <c r="D90" s="37" t="s">
        <v>22</v>
      </c>
      <c r="E90" s="38">
        <v>16736</v>
      </c>
      <c r="F90" s="38">
        <v>30.29</v>
      </c>
      <c r="G90" s="38">
        <f t="shared" si="5"/>
        <v>506933.44</v>
      </c>
    </row>
    <row r="91" spans="2:7" x14ac:dyDescent="0.3">
      <c r="B91" s="35">
        <v>692632</v>
      </c>
      <c r="C91" s="36" t="s">
        <v>93</v>
      </c>
      <c r="D91" s="37" t="s">
        <v>94</v>
      </c>
      <c r="E91" s="38">
        <v>12</v>
      </c>
      <c r="F91" s="38">
        <v>48289.440000000002</v>
      </c>
      <c r="G91" s="38">
        <f t="shared" si="5"/>
        <v>579473.28</v>
      </c>
    </row>
    <row r="92" spans="2:7" x14ac:dyDescent="0.3">
      <c r="B92" s="35">
        <v>692633</v>
      </c>
      <c r="C92" s="36" t="s">
        <v>95</v>
      </c>
      <c r="D92" s="37" t="s">
        <v>94</v>
      </c>
      <c r="E92" s="38">
        <v>12</v>
      </c>
      <c r="F92" s="38">
        <v>60013.84</v>
      </c>
      <c r="G92" s="38">
        <f t="shared" si="5"/>
        <v>720166.08</v>
      </c>
    </row>
    <row r="93" spans="2:7" x14ac:dyDescent="0.3">
      <c r="B93" s="35">
        <v>692634</v>
      </c>
      <c r="C93" s="36" t="s">
        <v>96</v>
      </c>
      <c r="D93" s="37" t="s">
        <v>94</v>
      </c>
      <c r="E93" s="38">
        <v>12</v>
      </c>
      <c r="F93" s="38">
        <v>75833.59</v>
      </c>
      <c r="G93" s="38">
        <f t="shared" si="5"/>
        <v>910003.08</v>
      </c>
    </row>
    <row r="94" spans="2:7" x14ac:dyDescent="0.3">
      <c r="B94" s="35">
        <v>891265</v>
      </c>
      <c r="C94" s="36" t="s">
        <v>97</v>
      </c>
      <c r="D94" s="37" t="s">
        <v>22</v>
      </c>
      <c r="E94" s="38">
        <v>1640.38</v>
      </c>
      <c r="F94" s="38">
        <v>42.41</v>
      </c>
      <c r="G94" s="38">
        <f t="shared" si="5"/>
        <v>69568.515799999994</v>
      </c>
    </row>
    <row r="95" spans="2:7" x14ac:dyDescent="0.3">
      <c r="B95" s="35">
        <v>630400</v>
      </c>
      <c r="C95" s="36" t="s">
        <v>98</v>
      </c>
      <c r="D95" s="37" t="s">
        <v>54</v>
      </c>
      <c r="E95" s="38">
        <v>480</v>
      </c>
      <c r="F95" s="38">
        <v>21.96</v>
      </c>
      <c r="G95" s="38">
        <f t="shared" si="5"/>
        <v>10540.800000000001</v>
      </c>
    </row>
    <row r="96" spans="2:7" x14ac:dyDescent="0.3">
      <c r="B96" s="35">
        <v>630600</v>
      </c>
      <c r="C96" s="36" t="s">
        <v>99</v>
      </c>
      <c r="D96" s="37" t="s">
        <v>54</v>
      </c>
      <c r="E96" s="38">
        <v>390</v>
      </c>
      <c r="F96" s="38">
        <v>26.35</v>
      </c>
      <c r="G96" s="38">
        <f t="shared" si="5"/>
        <v>10276.5</v>
      </c>
    </row>
    <row r="97" spans="1:7" x14ac:dyDescent="0.3">
      <c r="B97" s="35">
        <v>630800</v>
      </c>
      <c r="C97" s="36" t="s">
        <v>100</v>
      </c>
      <c r="D97" s="37" t="s">
        <v>54</v>
      </c>
      <c r="E97" s="38">
        <v>180</v>
      </c>
      <c r="F97" s="38">
        <v>52.71</v>
      </c>
      <c r="G97" s="38">
        <f t="shared" si="5"/>
        <v>9487.7999999999993</v>
      </c>
    </row>
    <row r="98" spans="1:7" x14ac:dyDescent="0.3">
      <c r="B98" s="35">
        <v>650600</v>
      </c>
      <c r="C98" s="36" t="s">
        <v>101</v>
      </c>
      <c r="D98" s="37" t="s">
        <v>54</v>
      </c>
      <c r="E98" s="38">
        <v>100</v>
      </c>
      <c r="F98" s="38">
        <v>76.28</v>
      </c>
      <c r="G98" s="38">
        <f t="shared" si="5"/>
        <v>7628</v>
      </c>
    </row>
    <row r="99" spans="1:7" x14ac:dyDescent="0.3">
      <c r="B99" s="35">
        <v>660300</v>
      </c>
      <c r="C99" s="36" t="s">
        <v>102</v>
      </c>
      <c r="D99" s="37" t="s">
        <v>54</v>
      </c>
      <c r="E99" s="38">
        <v>50</v>
      </c>
      <c r="F99" s="38">
        <v>225.8</v>
      </c>
      <c r="G99" s="38">
        <f t="shared" si="5"/>
        <v>11290</v>
      </c>
    </row>
    <row r="100" spans="1:7" x14ac:dyDescent="0.3">
      <c r="A100" s="44"/>
      <c r="B100" s="45"/>
      <c r="C100" s="46" t="s">
        <v>73</v>
      </c>
      <c r="D100" s="47"/>
      <c r="E100" s="47"/>
      <c r="F100" s="47"/>
      <c r="G100" s="48">
        <f>SUBTOTAL(9,G78:G99)</f>
        <v>22586908.482399996</v>
      </c>
    </row>
    <row r="101" spans="1:7" x14ac:dyDescent="0.3">
      <c r="B101" s="49"/>
      <c r="C101" s="49"/>
      <c r="D101" s="50"/>
      <c r="E101" s="51"/>
      <c r="F101" s="51"/>
      <c r="G101" s="51"/>
    </row>
    <row r="102" spans="1:7" x14ac:dyDescent="0.3">
      <c r="A102" s="23"/>
      <c r="B102" s="24" t="s">
        <v>103</v>
      </c>
      <c r="C102" s="25"/>
      <c r="D102" s="25"/>
      <c r="E102" s="25"/>
      <c r="F102" s="25"/>
      <c r="G102" s="26"/>
    </row>
    <row r="103" spans="1:7" x14ac:dyDescent="0.3">
      <c r="A103" s="27"/>
      <c r="B103" s="28" t="s">
        <v>15</v>
      </c>
      <c r="C103" s="28" t="s">
        <v>16</v>
      </c>
      <c r="D103" s="28" t="s">
        <v>17</v>
      </c>
      <c r="E103" s="29" t="s">
        <v>18</v>
      </c>
      <c r="F103" s="29" t="s">
        <v>19</v>
      </c>
      <c r="G103" s="29" t="s">
        <v>20</v>
      </c>
    </row>
    <row r="104" spans="1:7" x14ac:dyDescent="0.3">
      <c r="B104" s="35">
        <v>603000</v>
      </c>
      <c r="C104" s="36" t="s">
        <v>104</v>
      </c>
      <c r="D104" s="37" t="s">
        <v>47</v>
      </c>
      <c r="E104" s="38">
        <v>1280635.6399999999</v>
      </c>
      <c r="F104" s="38">
        <v>17.079999999999998</v>
      </c>
      <c r="G104" s="38">
        <f t="shared" ref="G104:G124" si="6">+E104*F104</f>
        <v>21873256.731199995</v>
      </c>
    </row>
    <row r="105" spans="1:7" x14ac:dyDescent="0.3">
      <c r="B105" s="35">
        <v>603600</v>
      </c>
      <c r="C105" s="36" t="s">
        <v>105</v>
      </c>
      <c r="D105" s="37" t="s">
        <v>22</v>
      </c>
      <c r="E105" s="38">
        <v>1.1599999999999999</v>
      </c>
      <c r="F105" s="38">
        <v>383.04</v>
      </c>
      <c r="G105" s="38">
        <f t="shared" si="6"/>
        <v>444.32639999999998</v>
      </c>
    </row>
    <row r="106" spans="1:7" x14ac:dyDescent="0.3">
      <c r="B106" s="35">
        <v>601100</v>
      </c>
      <c r="C106" s="36" t="s">
        <v>106</v>
      </c>
      <c r="D106" s="37" t="s">
        <v>22</v>
      </c>
      <c r="E106" s="38">
        <v>6.32</v>
      </c>
      <c r="F106" s="38">
        <v>52.71</v>
      </c>
      <c r="G106" s="38">
        <f t="shared" si="6"/>
        <v>333.12720000000002</v>
      </c>
    </row>
    <row r="107" spans="1:7" x14ac:dyDescent="0.3">
      <c r="B107" s="35">
        <v>695360</v>
      </c>
      <c r="C107" s="36" t="s">
        <v>107</v>
      </c>
      <c r="D107" s="37" t="s">
        <v>22</v>
      </c>
      <c r="E107" s="38">
        <v>29933.45</v>
      </c>
      <c r="F107" s="38">
        <v>51.64</v>
      </c>
      <c r="G107" s="38">
        <f t="shared" si="6"/>
        <v>1545763.358</v>
      </c>
    </row>
    <row r="108" spans="1:7" x14ac:dyDescent="0.3">
      <c r="B108" s="35">
        <v>693615</v>
      </c>
      <c r="C108" s="36" t="s">
        <v>82</v>
      </c>
      <c r="D108" s="37" t="s">
        <v>22</v>
      </c>
      <c r="E108" s="38">
        <v>144939.87</v>
      </c>
      <c r="F108" s="38">
        <v>21.24</v>
      </c>
      <c r="G108" s="38">
        <f t="shared" si="6"/>
        <v>3078522.8387999996</v>
      </c>
    </row>
    <row r="109" spans="1:7" x14ac:dyDescent="0.3">
      <c r="B109" s="35">
        <v>691331</v>
      </c>
      <c r="C109" s="36" t="s">
        <v>108</v>
      </c>
      <c r="D109" s="37" t="s">
        <v>29</v>
      </c>
      <c r="E109" s="38">
        <v>23196</v>
      </c>
      <c r="F109" s="38">
        <v>66.8</v>
      </c>
      <c r="G109" s="38">
        <f t="shared" si="6"/>
        <v>1549492.8</v>
      </c>
    </row>
    <row r="110" spans="1:7" x14ac:dyDescent="0.3">
      <c r="B110" s="35">
        <v>691333</v>
      </c>
      <c r="C110" s="36" t="s">
        <v>109</v>
      </c>
      <c r="D110" s="37" t="s">
        <v>29</v>
      </c>
      <c r="E110" s="38">
        <v>2349</v>
      </c>
      <c r="F110" s="38">
        <v>108.56</v>
      </c>
      <c r="G110" s="38">
        <f t="shared" si="6"/>
        <v>255007.44</v>
      </c>
    </row>
    <row r="111" spans="1:7" x14ac:dyDescent="0.3">
      <c r="B111" s="35">
        <v>691334</v>
      </c>
      <c r="C111" s="36" t="s">
        <v>110</v>
      </c>
      <c r="D111" s="37" t="s">
        <v>29</v>
      </c>
      <c r="E111" s="38">
        <v>8887</v>
      </c>
      <c r="F111" s="38">
        <v>130.27000000000001</v>
      </c>
      <c r="G111" s="38">
        <f t="shared" si="6"/>
        <v>1157709.49</v>
      </c>
    </row>
    <row r="112" spans="1:7" x14ac:dyDescent="0.3">
      <c r="B112" s="35">
        <v>691335</v>
      </c>
      <c r="C112" s="36" t="s">
        <v>111</v>
      </c>
      <c r="D112" s="37" t="s">
        <v>29</v>
      </c>
      <c r="E112" s="38">
        <v>14540</v>
      </c>
      <c r="F112" s="38">
        <v>160.59</v>
      </c>
      <c r="G112" s="38">
        <f t="shared" si="6"/>
        <v>2334978.6</v>
      </c>
    </row>
    <row r="113" spans="1:7" x14ac:dyDescent="0.3">
      <c r="B113" s="35">
        <v>691336</v>
      </c>
      <c r="C113" s="36" t="s">
        <v>112</v>
      </c>
      <c r="D113" s="37" t="s">
        <v>29</v>
      </c>
      <c r="E113" s="38">
        <v>281</v>
      </c>
      <c r="F113" s="38">
        <v>180.66</v>
      </c>
      <c r="G113" s="38">
        <f t="shared" si="6"/>
        <v>50765.46</v>
      </c>
    </row>
    <row r="114" spans="1:7" x14ac:dyDescent="0.3">
      <c r="B114" s="35">
        <v>691332</v>
      </c>
      <c r="C114" s="36" t="s">
        <v>113</v>
      </c>
      <c r="D114" s="37" t="s">
        <v>29</v>
      </c>
      <c r="E114" s="38">
        <v>21979</v>
      </c>
      <c r="F114" s="38">
        <v>93.05</v>
      </c>
      <c r="G114" s="38">
        <f t="shared" si="6"/>
        <v>2045145.95</v>
      </c>
    </row>
    <row r="115" spans="1:7" x14ac:dyDescent="0.3">
      <c r="B115" s="35">
        <v>697125</v>
      </c>
      <c r="C115" s="36" t="s">
        <v>84</v>
      </c>
      <c r="D115" s="37" t="s">
        <v>22</v>
      </c>
      <c r="E115" s="38">
        <v>9013.6</v>
      </c>
      <c r="F115" s="38">
        <v>20.64</v>
      </c>
      <c r="G115" s="38">
        <f t="shared" si="6"/>
        <v>186040.70400000003</v>
      </c>
    </row>
    <row r="116" spans="1:7" x14ac:dyDescent="0.3">
      <c r="B116" s="35">
        <v>693320</v>
      </c>
      <c r="C116" s="36" t="s">
        <v>114</v>
      </c>
      <c r="D116" s="37" t="s">
        <v>22</v>
      </c>
      <c r="E116" s="38">
        <v>29933.45</v>
      </c>
      <c r="F116" s="38">
        <v>607.24</v>
      </c>
      <c r="G116" s="38">
        <f t="shared" si="6"/>
        <v>18176788.177999999</v>
      </c>
    </row>
    <row r="117" spans="1:7" x14ac:dyDescent="0.3">
      <c r="B117" s="35">
        <v>692360</v>
      </c>
      <c r="C117" s="36" t="s">
        <v>115</v>
      </c>
      <c r="D117" s="37" t="s">
        <v>22</v>
      </c>
      <c r="E117" s="38">
        <v>370.77</v>
      </c>
      <c r="F117" s="38">
        <v>565.47</v>
      </c>
      <c r="G117" s="38">
        <f t="shared" si="6"/>
        <v>209659.3119</v>
      </c>
    </row>
    <row r="118" spans="1:7" x14ac:dyDescent="0.3">
      <c r="B118" s="35">
        <v>600300</v>
      </c>
      <c r="C118" s="36" t="s">
        <v>87</v>
      </c>
      <c r="D118" s="37" t="s">
        <v>22</v>
      </c>
      <c r="E118" s="38">
        <v>202381.33</v>
      </c>
      <c r="F118" s="38">
        <v>10.4</v>
      </c>
      <c r="G118" s="38">
        <f t="shared" si="6"/>
        <v>2104765.8319999999</v>
      </c>
    </row>
    <row r="119" spans="1:7" x14ac:dyDescent="0.3">
      <c r="B119" s="35">
        <v>602200</v>
      </c>
      <c r="C119" s="36" t="s">
        <v>116</v>
      </c>
      <c r="D119" s="37" t="s">
        <v>27</v>
      </c>
      <c r="E119" s="38">
        <v>27733</v>
      </c>
      <c r="F119" s="38">
        <v>121.73</v>
      </c>
      <c r="G119" s="38">
        <f t="shared" si="6"/>
        <v>3375938.0900000003</v>
      </c>
    </row>
    <row r="120" spans="1:7" x14ac:dyDescent="0.3">
      <c r="B120" s="35">
        <v>494300</v>
      </c>
      <c r="C120" s="36" t="s">
        <v>40</v>
      </c>
      <c r="D120" s="37" t="s">
        <v>22</v>
      </c>
      <c r="E120" s="38">
        <v>144939.87</v>
      </c>
      <c r="F120" s="38">
        <v>0.97</v>
      </c>
      <c r="G120" s="38">
        <f t="shared" si="6"/>
        <v>140591.67389999999</v>
      </c>
    </row>
    <row r="121" spans="1:7" x14ac:dyDescent="0.3">
      <c r="B121" s="35">
        <v>602000</v>
      </c>
      <c r="C121" s="36" t="s">
        <v>117</v>
      </c>
      <c r="D121" s="37" t="s">
        <v>27</v>
      </c>
      <c r="E121" s="38">
        <v>9023.84</v>
      </c>
      <c r="F121" s="38">
        <v>69.27</v>
      </c>
      <c r="G121" s="38">
        <f t="shared" si="6"/>
        <v>625081.39679999999</v>
      </c>
    </row>
    <row r="122" spans="1:7" x14ac:dyDescent="0.3">
      <c r="B122" s="35">
        <v>693061</v>
      </c>
      <c r="C122" s="36" t="s">
        <v>118</v>
      </c>
      <c r="D122" s="37" t="s">
        <v>27</v>
      </c>
      <c r="E122" s="38">
        <v>226965.04</v>
      </c>
      <c r="F122" s="38">
        <v>20.56</v>
      </c>
      <c r="G122" s="38">
        <f t="shared" si="6"/>
        <v>4666401.2224000003</v>
      </c>
    </row>
    <row r="123" spans="1:7" x14ac:dyDescent="0.3">
      <c r="B123" s="35">
        <v>603900</v>
      </c>
      <c r="C123" s="36" t="s">
        <v>119</v>
      </c>
      <c r="D123" s="37" t="s">
        <v>22</v>
      </c>
      <c r="E123" s="38">
        <v>9013.6</v>
      </c>
      <c r="F123" s="38">
        <v>181.43</v>
      </c>
      <c r="G123" s="38">
        <f t="shared" si="6"/>
        <v>1635337.4480000001</v>
      </c>
    </row>
    <row r="124" spans="1:7" x14ac:dyDescent="0.3">
      <c r="B124" s="35">
        <v>601200</v>
      </c>
      <c r="C124" s="36" t="s">
        <v>92</v>
      </c>
      <c r="D124" s="37" t="s">
        <v>22</v>
      </c>
      <c r="E124" s="38">
        <v>57426.87</v>
      </c>
      <c r="F124" s="38">
        <v>30.29</v>
      </c>
      <c r="G124" s="38">
        <f t="shared" si="6"/>
        <v>1739459.8922999999</v>
      </c>
    </row>
    <row r="125" spans="1:7" x14ac:dyDescent="0.3">
      <c r="A125" s="44"/>
      <c r="B125" s="45"/>
      <c r="C125" s="46" t="s">
        <v>73</v>
      </c>
      <c r="D125" s="47"/>
      <c r="E125" s="47"/>
      <c r="F125" s="47"/>
      <c r="G125" s="48">
        <f>SUBTOTAL(9,G104:G124)</f>
        <v>66751483.870900005</v>
      </c>
    </row>
    <row r="126" spans="1:7" x14ac:dyDescent="0.3">
      <c r="B126" s="49"/>
      <c r="C126" s="49"/>
      <c r="D126" s="50"/>
      <c r="E126" s="51"/>
      <c r="F126" s="51"/>
      <c r="G126" s="51"/>
    </row>
    <row r="127" spans="1:7" x14ac:dyDescent="0.3">
      <c r="A127" s="23"/>
      <c r="B127" s="24" t="s">
        <v>120</v>
      </c>
      <c r="C127" s="25"/>
      <c r="D127" s="25"/>
      <c r="E127" s="25"/>
      <c r="F127" s="25"/>
      <c r="G127" s="26"/>
    </row>
    <row r="128" spans="1:7" x14ac:dyDescent="0.3">
      <c r="A128" s="27"/>
      <c r="B128" s="28" t="s">
        <v>15</v>
      </c>
      <c r="C128" s="28" t="s">
        <v>16</v>
      </c>
      <c r="D128" s="28" t="s">
        <v>17</v>
      </c>
      <c r="E128" s="29" t="s">
        <v>18</v>
      </c>
      <c r="F128" s="29" t="s">
        <v>19</v>
      </c>
      <c r="G128" s="29" t="s">
        <v>20</v>
      </c>
    </row>
    <row r="129" spans="1:7" x14ac:dyDescent="0.3">
      <c r="B129" s="35">
        <v>603000</v>
      </c>
      <c r="C129" s="36" t="s">
        <v>104</v>
      </c>
      <c r="D129" s="37" t="s">
        <v>47</v>
      </c>
      <c r="E129" s="38">
        <v>39678</v>
      </c>
      <c r="F129" s="38">
        <v>17.079999999999998</v>
      </c>
      <c r="G129" s="38">
        <f t="shared" ref="G129:G136" si="7">+E129*F129</f>
        <v>677700.23999999987</v>
      </c>
    </row>
    <row r="130" spans="1:7" x14ac:dyDescent="0.3">
      <c r="B130" s="35">
        <v>695360</v>
      </c>
      <c r="C130" s="36" t="s">
        <v>107</v>
      </c>
      <c r="D130" s="37" t="s">
        <v>22</v>
      </c>
      <c r="E130" s="38">
        <v>892.08</v>
      </c>
      <c r="F130" s="38">
        <v>51.64</v>
      </c>
      <c r="G130" s="38">
        <f t="shared" si="7"/>
        <v>46067.011200000001</v>
      </c>
    </row>
    <row r="131" spans="1:7" x14ac:dyDescent="0.3">
      <c r="B131" s="35">
        <v>691331</v>
      </c>
      <c r="C131" s="36" t="s">
        <v>108</v>
      </c>
      <c r="D131" s="37" t="s">
        <v>29</v>
      </c>
      <c r="E131" s="38">
        <v>8300</v>
      </c>
      <c r="F131" s="38">
        <v>66.8</v>
      </c>
      <c r="G131" s="38">
        <f t="shared" si="7"/>
        <v>554440</v>
      </c>
    </row>
    <row r="132" spans="1:7" x14ac:dyDescent="0.3">
      <c r="B132" s="35">
        <v>696200</v>
      </c>
      <c r="C132" s="36" t="s">
        <v>121</v>
      </c>
      <c r="D132" s="37" t="s">
        <v>22</v>
      </c>
      <c r="E132" s="38">
        <v>892.08</v>
      </c>
      <c r="F132" s="38">
        <v>585.75</v>
      </c>
      <c r="G132" s="38">
        <f t="shared" si="7"/>
        <v>522535.86000000004</v>
      </c>
    </row>
    <row r="133" spans="1:7" x14ac:dyDescent="0.3">
      <c r="B133" s="35">
        <v>600600</v>
      </c>
      <c r="C133" s="36" t="s">
        <v>122</v>
      </c>
      <c r="D133" s="37" t="s">
        <v>22</v>
      </c>
      <c r="E133" s="38">
        <v>10668.52</v>
      </c>
      <c r="F133" s="38">
        <v>20.75</v>
      </c>
      <c r="G133" s="38">
        <f t="shared" si="7"/>
        <v>221371.79</v>
      </c>
    </row>
    <row r="134" spans="1:7" x14ac:dyDescent="0.3">
      <c r="B134" s="35">
        <v>693061</v>
      </c>
      <c r="C134" s="36" t="s">
        <v>118</v>
      </c>
      <c r="D134" s="37" t="s">
        <v>27</v>
      </c>
      <c r="E134" s="38">
        <v>10580.8</v>
      </c>
      <c r="F134" s="38">
        <v>20.56</v>
      </c>
      <c r="G134" s="38">
        <f t="shared" si="7"/>
        <v>217541.24799999996</v>
      </c>
    </row>
    <row r="135" spans="1:7" x14ac:dyDescent="0.3">
      <c r="B135" s="35">
        <v>694220</v>
      </c>
      <c r="C135" s="36" t="s">
        <v>88</v>
      </c>
      <c r="D135" s="37" t="s">
        <v>27</v>
      </c>
      <c r="E135" s="38">
        <v>14110</v>
      </c>
      <c r="F135" s="38">
        <v>68.14</v>
      </c>
      <c r="G135" s="38">
        <f t="shared" si="7"/>
        <v>961455.4</v>
      </c>
    </row>
    <row r="136" spans="1:7" x14ac:dyDescent="0.3">
      <c r="B136" s="35">
        <v>601200</v>
      </c>
      <c r="C136" s="36" t="s">
        <v>92</v>
      </c>
      <c r="D136" s="37" t="s">
        <v>22</v>
      </c>
      <c r="E136" s="38">
        <v>9776.44</v>
      </c>
      <c r="F136" s="38">
        <v>30.29</v>
      </c>
      <c r="G136" s="38">
        <f t="shared" si="7"/>
        <v>296128.3676</v>
      </c>
    </row>
    <row r="137" spans="1:7" x14ac:dyDescent="0.3">
      <c r="A137" s="44"/>
      <c r="B137" s="45"/>
      <c r="C137" s="46" t="s">
        <v>73</v>
      </c>
      <c r="D137" s="47"/>
      <c r="E137" s="47"/>
      <c r="F137" s="47"/>
      <c r="G137" s="48">
        <f>SUBTOTAL(9,G129:G136)</f>
        <v>3497239.9167999998</v>
      </c>
    </row>
    <row r="138" spans="1:7" x14ac:dyDescent="0.3">
      <c r="B138" s="49"/>
      <c r="C138" s="49"/>
      <c r="D138" s="50"/>
      <c r="E138" s="51"/>
      <c r="F138" s="51"/>
      <c r="G138" s="51"/>
    </row>
    <row r="139" spans="1:7" x14ac:dyDescent="0.3">
      <c r="A139" s="44"/>
      <c r="B139" s="45"/>
      <c r="C139" s="46" t="s">
        <v>42</v>
      </c>
      <c r="D139" s="47"/>
      <c r="E139" s="47"/>
      <c r="F139" s="47"/>
      <c r="G139" s="48">
        <f>SUBTOTAL(9,G78:G138)</f>
        <v>92835632.270099983</v>
      </c>
    </row>
    <row r="140" spans="1:7" x14ac:dyDescent="0.3">
      <c r="B140" s="49"/>
      <c r="C140" s="49"/>
      <c r="D140" s="50"/>
      <c r="E140" s="51"/>
      <c r="F140" s="51"/>
      <c r="G140" s="51"/>
    </row>
    <row r="141" spans="1:7" x14ac:dyDescent="0.3">
      <c r="A141" s="23"/>
      <c r="B141" s="24" t="s">
        <v>123</v>
      </c>
      <c r="C141" s="25"/>
      <c r="D141" s="25"/>
      <c r="E141" s="25"/>
      <c r="F141" s="25"/>
      <c r="G141" s="26"/>
    </row>
    <row r="142" spans="1:7" x14ac:dyDescent="0.3">
      <c r="A142" s="27"/>
      <c r="B142" s="28" t="s">
        <v>15</v>
      </c>
      <c r="C142" s="28" t="s">
        <v>16</v>
      </c>
      <c r="D142" s="28" t="s">
        <v>17</v>
      </c>
      <c r="E142" s="29" t="s">
        <v>18</v>
      </c>
      <c r="F142" s="29" t="s">
        <v>19</v>
      </c>
      <c r="G142" s="29" t="s">
        <v>20</v>
      </c>
    </row>
    <row r="143" spans="1:7" x14ac:dyDescent="0.3">
      <c r="B143" s="35">
        <v>706600</v>
      </c>
      <c r="C143" s="36" t="s">
        <v>124</v>
      </c>
      <c r="D143" s="37" t="s">
        <v>22</v>
      </c>
      <c r="E143" s="38">
        <v>240.98</v>
      </c>
      <c r="F143" s="38">
        <v>334.74</v>
      </c>
      <c r="G143" s="38">
        <f t="shared" ref="G143:G145" si="8">+E143*F143</f>
        <v>80665.645199999999</v>
      </c>
    </row>
    <row r="144" spans="1:7" x14ac:dyDescent="0.3">
      <c r="B144" s="35">
        <v>711000</v>
      </c>
      <c r="C144" s="36" t="s">
        <v>125</v>
      </c>
      <c r="D144" s="37" t="s">
        <v>27</v>
      </c>
      <c r="E144" s="38">
        <v>310.32</v>
      </c>
      <c r="F144" s="38">
        <v>89.48</v>
      </c>
      <c r="G144" s="38">
        <f t="shared" si="8"/>
        <v>27767.4336</v>
      </c>
    </row>
    <row r="145" spans="1:7" x14ac:dyDescent="0.3">
      <c r="B145" s="35">
        <v>743900</v>
      </c>
      <c r="C145" s="36" t="s">
        <v>119</v>
      </c>
      <c r="D145" s="37" t="s">
        <v>22</v>
      </c>
      <c r="E145" s="38">
        <v>13.5</v>
      </c>
      <c r="F145" s="38">
        <v>181.43</v>
      </c>
      <c r="G145" s="38">
        <f t="shared" si="8"/>
        <v>2449.3050000000003</v>
      </c>
    </row>
    <row r="146" spans="1:7" x14ac:dyDescent="0.3">
      <c r="A146" s="44"/>
      <c r="B146" s="45"/>
      <c r="C146" s="46" t="s">
        <v>42</v>
      </c>
      <c r="D146" s="47"/>
      <c r="E146" s="47"/>
      <c r="F146" s="47"/>
      <c r="G146" s="48">
        <f>SUBTOTAL(9,G143:G145)</f>
        <v>110882.38380000001</v>
      </c>
    </row>
    <row r="147" spans="1:7" x14ac:dyDescent="0.3">
      <c r="B147" s="49"/>
      <c r="C147" s="49"/>
      <c r="D147" s="50"/>
      <c r="E147" s="51"/>
      <c r="F147" s="51"/>
      <c r="G147" s="51"/>
    </row>
    <row r="148" spans="1:7" x14ac:dyDescent="0.3">
      <c r="A148" s="23"/>
      <c r="B148" s="24" t="s">
        <v>126</v>
      </c>
      <c r="C148" s="25"/>
      <c r="D148" s="25"/>
      <c r="E148" s="25"/>
      <c r="F148" s="25"/>
      <c r="G148" s="26"/>
    </row>
    <row r="149" spans="1:7" x14ac:dyDescent="0.3">
      <c r="A149" s="27"/>
      <c r="B149" s="28" t="s">
        <v>127</v>
      </c>
      <c r="C149" s="28" t="s">
        <v>128</v>
      </c>
      <c r="D149" s="28" t="s">
        <v>129</v>
      </c>
      <c r="E149" s="29" t="s">
        <v>130</v>
      </c>
      <c r="F149" s="29" t="s">
        <v>131</v>
      </c>
      <c r="G149" s="29" t="s">
        <v>132</v>
      </c>
    </row>
    <row r="150" spans="1:7" x14ac:dyDescent="0.3">
      <c r="B150" s="35">
        <v>730000</v>
      </c>
      <c r="C150" s="36" t="s">
        <v>104</v>
      </c>
      <c r="D150" s="37" t="s">
        <v>47</v>
      </c>
      <c r="E150" s="38">
        <v>10378.08</v>
      </c>
      <c r="F150" s="38">
        <v>16.95</v>
      </c>
      <c r="G150" s="38">
        <f t="shared" ref="G150:G154" si="9">+E150*F150</f>
        <v>175908.45600000001</v>
      </c>
    </row>
    <row r="151" spans="1:7" x14ac:dyDescent="0.3">
      <c r="B151" s="35">
        <v>791591</v>
      </c>
      <c r="C151" s="36" t="s">
        <v>83</v>
      </c>
      <c r="D151" s="37" t="s">
        <v>22</v>
      </c>
      <c r="E151" s="38">
        <v>301.22000000000003</v>
      </c>
      <c r="F151" s="38">
        <v>92.7</v>
      </c>
      <c r="G151" s="38">
        <f t="shared" si="9"/>
        <v>27923.094000000005</v>
      </c>
    </row>
    <row r="152" spans="1:7" x14ac:dyDescent="0.3">
      <c r="B152" s="35">
        <v>792340</v>
      </c>
      <c r="C152" s="36" t="s">
        <v>133</v>
      </c>
      <c r="D152" s="37" t="s">
        <v>22</v>
      </c>
      <c r="E152" s="38">
        <v>40.5</v>
      </c>
      <c r="F152" s="38">
        <v>549.44000000000005</v>
      </c>
      <c r="G152" s="38">
        <f t="shared" si="9"/>
        <v>22252.320000000003</v>
      </c>
    </row>
    <row r="153" spans="1:7" x14ac:dyDescent="0.3">
      <c r="B153" s="35">
        <v>792350</v>
      </c>
      <c r="C153" s="36" t="s">
        <v>134</v>
      </c>
      <c r="D153" s="37" t="s">
        <v>22</v>
      </c>
      <c r="E153" s="38">
        <v>129.6</v>
      </c>
      <c r="F153" s="38">
        <v>565.47</v>
      </c>
      <c r="G153" s="38">
        <f t="shared" si="9"/>
        <v>73284.911999999997</v>
      </c>
    </row>
    <row r="154" spans="1:7" x14ac:dyDescent="0.3">
      <c r="B154" s="35">
        <v>891265</v>
      </c>
      <c r="C154" s="36" t="s">
        <v>97</v>
      </c>
      <c r="D154" s="37" t="s">
        <v>22</v>
      </c>
      <c r="E154" s="38">
        <v>301.22000000000003</v>
      </c>
      <c r="F154" s="38">
        <v>42.41</v>
      </c>
      <c r="G154" s="38">
        <f t="shared" si="9"/>
        <v>12774.7402</v>
      </c>
    </row>
    <row r="155" spans="1:7" x14ac:dyDescent="0.3">
      <c r="A155" s="44"/>
      <c r="B155" s="45"/>
      <c r="C155" s="46" t="s">
        <v>42</v>
      </c>
      <c r="D155" s="47"/>
      <c r="E155" s="47"/>
      <c r="F155" s="47"/>
      <c r="G155" s="48">
        <f>SUBTOTAL(9,G150:G154)</f>
        <v>312143.52220000001</v>
      </c>
    </row>
    <row r="156" spans="1:7" x14ac:dyDescent="0.3">
      <c r="B156" s="49"/>
      <c r="C156" s="49"/>
      <c r="D156" s="50"/>
      <c r="E156" s="51"/>
      <c r="F156" s="51"/>
      <c r="G156" s="51"/>
    </row>
    <row r="157" spans="1:7" x14ac:dyDescent="0.3">
      <c r="A157" s="23"/>
      <c r="B157" s="24" t="s">
        <v>135</v>
      </c>
      <c r="C157" s="25"/>
      <c r="D157" s="25"/>
      <c r="E157" s="25"/>
      <c r="F157" s="25"/>
      <c r="G157" s="26"/>
    </row>
    <row r="158" spans="1:7" x14ac:dyDescent="0.3">
      <c r="A158" s="23"/>
      <c r="B158" s="24" t="s">
        <v>136</v>
      </c>
      <c r="C158" s="25"/>
      <c r="D158" s="25"/>
      <c r="E158" s="25"/>
      <c r="F158" s="25"/>
      <c r="G158" s="26"/>
    </row>
    <row r="159" spans="1:7" x14ac:dyDescent="0.3">
      <c r="A159" s="27"/>
      <c r="B159" s="28" t="s">
        <v>127</v>
      </c>
      <c r="C159" s="28" t="s">
        <v>128</v>
      </c>
      <c r="D159" s="28" t="s">
        <v>129</v>
      </c>
      <c r="E159" s="29" t="s">
        <v>130</v>
      </c>
      <c r="F159" s="29" t="s">
        <v>131</v>
      </c>
      <c r="G159" s="29" t="s">
        <v>132</v>
      </c>
    </row>
    <row r="160" spans="1:7" x14ac:dyDescent="0.3">
      <c r="B160" s="35">
        <v>730000</v>
      </c>
      <c r="C160" s="36" t="s">
        <v>104</v>
      </c>
      <c r="D160" s="37" t="s">
        <v>47</v>
      </c>
      <c r="E160" s="38">
        <v>11205.21</v>
      </c>
      <c r="F160" s="38">
        <v>16.95</v>
      </c>
      <c r="G160" s="38">
        <f t="shared" ref="G160:G170" si="10">+E160*F160</f>
        <v>189928.30949999997</v>
      </c>
    </row>
    <row r="161" spans="1:7" x14ac:dyDescent="0.3">
      <c r="B161" s="35">
        <v>722500</v>
      </c>
      <c r="C161" s="36" t="s">
        <v>137</v>
      </c>
      <c r="D161" s="37" t="s">
        <v>22</v>
      </c>
      <c r="E161" s="38">
        <v>18.11</v>
      </c>
      <c r="F161" s="38">
        <v>1143.8</v>
      </c>
      <c r="G161" s="38">
        <f t="shared" si="10"/>
        <v>20714.217999999997</v>
      </c>
    </row>
    <row r="162" spans="1:7" x14ac:dyDescent="0.3">
      <c r="B162" s="35">
        <v>794337</v>
      </c>
      <c r="C162" s="36" t="s">
        <v>138</v>
      </c>
      <c r="D162" s="39" t="s">
        <v>139</v>
      </c>
      <c r="E162" s="38">
        <v>24</v>
      </c>
      <c r="F162" s="38">
        <v>63.69</v>
      </c>
      <c r="G162" s="38">
        <f t="shared" si="10"/>
        <v>1528.56</v>
      </c>
    </row>
    <row r="163" spans="1:7" x14ac:dyDescent="0.3">
      <c r="B163" s="35">
        <v>795890</v>
      </c>
      <c r="C163" s="36" t="s">
        <v>107</v>
      </c>
      <c r="D163" s="37" t="s">
        <v>22</v>
      </c>
      <c r="E163" s="38">
        <v>39.96</v>
      </c>
      <c r="F163" s="38">
        <v>51.64</v>
      </c>
      <c r="G163" s="38">
        <f t="shared" si="10"/>
        <v>2063.5344</v>
      </c>
    </row>
    <row r="164" spans="1:7" x14ac:dyDescent="0.3">
      <c r="B164" s="35">
        <v>792350</v>
      </c>
      <c r="C164" s="36" t="s">
        <v>134</v>
      </c>
      <c r="D164" s="37" t="s">
        <v>22</v>
      </c>
      <c r="E164" s="38">
        <v>4.92</v>
      </c>
      <c r="F164" s="38">
        <v>565.47</v>
      </c>
      <c r="G164" s="38">
        <f t="shared" si="10"/>
        <v>2782.1124</v>
      </c>
    </row>
    <row r="165" spans="1:7" x14ac:dyDescent="0.3">
      <c r="B165" s="35">
        <v>792330</v>
      </c>
      <c r="C165" s="36" t="s">
        <v>140</v>
      </c>
      <c r="D165" s="37" t="s">
        <v>22</v>
      </c>
      <c r="E165" s="38">
        <v>39.96</v>
      </c>
      <c r="F165" s="38">
        <v>632.45000000000005</v>
      </c>
      <c r="G165" s="38">
        <f t="shared" si="10"/>
        <v>25272.702000000001</v>
      </c>
    </row>
    <row r="166" spans="1:7" x14ac:dyDescent="0.3">
      <c r="B166" s="35">
        <v>702100</v>
      </c>
      <c r="C166" s="36" t="s">
        <v>141</v>
      </c>
      <c r="D166" s="37" t="s">
        <v>22</v>
      </c>
      <c r="E166" s="38">
        <v>312.55</v>
      </c>
      <c r="F166" s="38">
        <v>49.77</v>
      </c>
      <c r="G166" s="38">
        <f t="shared" si="10"/>
        <v>15555.613500000001</v>
      </c>
    </row>
    <row r="167" spans="1:7" x14ac:dyDescent="0.3">
      <c r="B167" s="35">
        <v>712000</v>
      </c>
      <c r="C167" s="36" t="s">
        <v>142</v>
      </c>
      <c r="D167" s="37" t="s">
        <v>22</v>
      </c>
      <c r="E167" s="38">
        <v>110.23</v>
      </c>
      <c r="F167" s="38">
        <v>145.72</v>
      </c>
      <c r="G167" s="38">
        <f t="shared" si="10"/>
        <v>16062.715600000001</v>
      </c>
    </row>
    <row r="168" spans="1:7" x14ac:dyDescent="0.3">
      <c r="B168" s="35">
        <v>793580</v>
      </c>
      <c r="C168" s="36" t="s">
        <v>143</v>
      </c>
      <c r="D168" s="37" t="s">
        <v>54</v>
      </c>
      <c r="E168" s="38">
        <v>240</v>
      </c>
      <c r="F168" s="38">
        <v>514.24</v>
      </c>
      <c r="G168" s="38">
        <f t="shared" si="10"/>
        <v>123417.60000000001</v>
      </c>
    </row>
    <row r="169" spans="1:7" x14ac:dyDescent="0.3">
      <c r="B169" s="35">
        <v>711000</v>
      </c>
      <c r="C169" s="36" t="s">
        <v>125</v>
      </c>
      <c r="D169" s="37" t="s">
        <v>27</v>
      </c>
      <c r="E169" s="38">
        <v>59.29</v>
      </c>
      <c r="F169" s="38">
        <v>89.48</v>
      </c>
      <c r="G169" s="38">
        <f t="shared" si="10"/>
        <v>5305.2691999999997</v>
      </c>
    </row>
    <row r="170" spans="1:7" x14ac:dyDescent="0.3">
      <c r="B170" s="35">
        <v>705000</v>
      </c>
      <c r="C170" s="36" t="s">
        <v>92</v>
      </c>
      <c r="D170" s="37" t="s">
        <v>22</v>
      </c>
      <c r="E170" s="38">
        <v>264.98</v>
      </c>
      <c r="F170" s="38">
        <v>30.29</v>
      </c>
      <c r="G170" s="38">
        <f t="shared" si="10"/>
        <v>8026.2442000000001</v>
      </c>
    </row>
    <row r="171" spans="1:7" x14ac:dyDescent="0.3">
      <c r="A171" s="44"/>
      <c r="B171" s="45"/>
      <c r="C171" s="46" t="s">
        <v>73</v>
      </c>
      <c r="D171" s="47"/>
      <c r="E171" s="47"/>
      <c r="F171" s="47"/>
      <c r="G171" s="48">
        <f>SUBTOTAL(9,G160:G170)</f>
        <v>410656.87880000001</v>
      </c>
    </row>
    <row r="172" spans="1:7" x14ac:dyDescent="0.3">
      <c r="B172" s="49"/>
      <c r="C172" s="49"/>
      <c r="D172" s="50"/>
      <c r="E172" s="51"/>
      <c r="F172" s="51"/>
      <c r="G172" s="51"/>
    </row>
    <row r="173" spans="1:7" x14ac:dyDescent="0.3">
      <c r="A173" s="23"/>
      <c r="B173" s="24" t="s">
        <v>144</v>
      </c>
      <c r="C173" s="25"/>
      <c r="D173" s="25"/>
      <c r="E173" s="25"/>
      <c r="F173" s="25"/>
      <c r="G173" s="26"/>
    </row>
    <row r="174" spans="1:7" x14ac:dyDescent="0.3">
      <c r="A174" s="27"/>
      <c r="B174" s="28" t="s">
        <v>127</v>
      </c>
      <c r="C174" s="28" t="s">
        <v>128</v>
      </c>
      <c r="D174" s="28" t="s">
        <v>129</v>
      </c>
      <c r="E174" s="29" t="s">
        <v>130</v>
      </c>
      <c r="F174" s="29" t="s">
        <v>131</v>
      </c>
      <c r="G174" s="29" t="s">
        <v>132</v>
      </c>
    </row>
    <row r="175" spans="1:7" x14ac:dyDescent="0.3">
      <c r="B175" s="35">
        <v>730000</v>
      </c>
      <c r="C175" s="36" t="s">
        <v>104</v>
      </c>
      <c r="D175" s="37" t="s">
        <v>47</v>
      </c>
      <c r="E175" s="38">
        <v>2389.16</v>
      </c>
      <c r="F175" s="38">
        <v>16.95</v>
      </c>
      <c r="G175" s="38">
        <f t="shared" ref="G175:G181" si="11">+E175*F175</f>
        <v>40496.261999999995</v>
      </c>
    </row>
    <row r="176" spans="1:7" x14ac:dyDescent="0.3">
      <c r="B176" s="35">
        <v>756000</v>
      </c>
      <c r="C176" s="36" t="s">
        <v>145</v>
      </c>
      <c r="D176" s="37" t="s">
        <v>47</v>
      </c>
      <c r="E176" s="38">
        <v>154.97999999999999</v>
      </c>
      <c r="F176" s="38">
        <v>148.55000000000001</v>
      </c>
      <c r="G176" s="38">
        <f t="shared" si="11"/>
        <v>23022.278999999999</v>
      </c>
    </row>
    <row r="177" spans="1:7" x14ac:dyDescent="0.3">
      <c r="B177" s="35">
        <v>795890</v>
      </c>
      <c r="C177" s="36" t="s">
        <v>107</v>
      </c>
      <c r="D177" s="37" t="s">
        <v>22</v>
      </c>
      <c r="E177" s="38">
        <v>18.38</v>
      </c>
      <c r="F177" s="38">
        <v>51.64</v>
      </c>
      <c r="G177" s="38">
        <f t="shared" si="11"/>
        <v>949.14319999999998</v>
      </c>
    </row>
    <row r="178" spans="1:7" x14ac:dyDescent="0.3">
      <c r="B178" s="35">
        <v>792330</v>
      </c>
      <c r="C178" s="36" t="s">
        <v>140</v>
      </c>
      <c r="D178" s="37" t="s">
        <v>22</v>
      </c>
      <c r="E178" s="38">
        <v>18.38</v>
      </c>
      <c r="F178" s="38">
        <v>632.45000000000005</v>
      </c>
      <c r="G178" s="38">
        <f t="shared" si="11"/>
        <v>11624.431</v>
      </c>
    </row>
    <row r="179" spans="1:7" x14ac:dyDescent="0.3">
      <c r="B179" s="35">
        <v>712000</v>
      </c>
      <c r="C179" s="36" t="s">
        <v>142</v>
      </c>
      <c r="D179" s="37" t="s">
        <v>22</v>
      </c>
      <c r="E179" s="38">
        <v>107.62</v>
      </c>
      <c r="F179" s="38">
        <v>145.72</v>
      </c>
      <c r="G179" s="38">
        <f t="shared" si="11"/>
        <v>15682.386400000001</v>
      </c>
    </row>
    <row r="180" spans="1:7" x14ac:dyDescent="0.3">
      <c r="B180" s="35">
        <v>711000</v>
      </c>
      <c r="C180" s="36" t="s">
        <v>125</v>
      </c>
      <c r="D180" s="37" t="s">
        <v>27</v>
      </c>
      <c r="E180" s="38">
        <v>115.64</v>
      </c>
      <c r="F180" s="38">
        <v>89.48</v>
      </c>
      <c r="G180" s="38">
        <f t="shared" si="11"/>
        <v>10347.467200000001</v>
      </c>
    </row>
    <row r="181" spans="1:7" ht="27.6" x14ac:dyDescent="0.3">
      <c r="B181" s="35">
        <v>795010</v>
      </c>
      <c r="C181" s="36" t="s">
        <v>146</v>
      </c>
      <c r="D181" s="37" t="s">
        <v>22</v>
      </c>
      <c r="E181" s="38">
        <v>0.18</v>
      </c>
      <c r="F181" s="38">
        <v>3892.28</v>
      </c>
      <c r="G181" s="38">
        <f t="shared" si="11"/>
        <v>700.61040000000003</v>
      </c>
    </row>
    <row r="182" spans="1:7" x14ac:dyDescent="0.3">
      <c r="A182" s="44"/>
      <c r="B182" s="45"/>
      <c r="C182" s="46" t="s">
        <v>73</v>
      </c>
      <c r="D182" s="47"/>
      <c r="E182" s="47"/>
      <c r="F182" s="47"/>
      <c r="G182" s="48">
        <f>SUBTOTAL(9,G175:G181)</f>
        <v>102822.57920000001</v>
      </c>
    </row>
    <row r="183" spans="1:7" x14ac:dyDescent="0.3">
      <c r="B183" s="49"/>
      <c r="C183" s="49"/>
      <c r="D183" s="50"/>
      <c r="E183" s="51"/>
      <c r="F183" s="51"/>
      <c r="G183" s="51"/>
    </row>
    <row r="184" spans="1:7" x14ac:dyDescent="0.3">
      <c r="A184" s="23"/>
      <c r="B184" s="24" t="s">
        <v>147</v>
      </c>
      <c r="C184" s="25"/>
      <c r="D184" s="25"/>
      <c r="E184" s="25"/>
      <c r="F184" s="25"/>
      <c r="G184" s="26"/>
    </row>
    <row r="185" spans="1:7" x14ac:dyDescent="0.3">
      <c r="A185" s="27"/>
      <c r="B185" s="28" t="s">
        <v>127</v>
      </c>
      <c r="C185" s="28" t="s">
        <v>128</v>
      </c>
      <c r="D185" s="28" t="s">
        <v>129</v>
      </c>
      <c r="E185" s="29" t="s">
        <v>130</v>
      </c>
      <c r="F185" s="29" t="s">
        <v>131</v>
      </c>
      <c r="G185" s="29" t="s">
        <v>132</v>
      </c>
    </row>
    <row r="186" spans="1:7" x14ac:dyDescent="0.3">
      <c r="B186" s="35">
        <v>730000</v>
      </c>
      <c r="C186" s="36" t="s">
        <v>104</v>
      </c>
      <c r="D186" s="37" t="s">
        <v>47</v>
      </c>
      <c r="E186" s="38">
        <v>22305.31</v>
      </c>
      <c r="F186" s="38">
        <v>16.95</v>
      </c>
      <c r="G186" s="38">
        <f t="shared" ref="G186:G209" si="12">+E186*F186</f>
        <v>378075.00449999998</v>
      </c>
    </row>
    <row r="187" spans="1:7" x14ac:dyDescent="0.3">
      <c r="B187" s="35">
        <v>707000</v>
      </c>
      <c r="C187" s="36" t="s">
        <v>148</v>
      </c>
      <c r="D187" s="37" t="s">
        <v>27</v>
      </c>
      <c r="E187" s="38">
        <v>6.27</v>
      </c>
      <c r="F187" s="38">
        <v>54.56</v>
      </c>
      <c r="G187" s="38">
        <f t="shared" si="12"/>
        <v>342.09120000000001</v>
      </c>
    </row>
    <row r="188" spans="1:7" x14ac:dyDescent="0.3">
      <c r="B188" s="35">
        <v>745000</v>
      </c>
      <c r="C188" s="36" t="s">
        <v>149</v>
      </c>
      <c r="D188" s="37" t="s">
        <v>22</v>
      </c>
      <c r="E188" s="38">
        <v>0.09</v>
      </c>
      <c r="F188" s="38">
        <v>683.65</v>
      </c>
      <c r="G188" s="38">
        <f t="shared" si="12"/>
        <v>61.528499999999994</v>
      </c>
    </row>
    <row r="189" spans="1:7" x14ac:dyDescent="0.3">
      <c r="B189" s="35">
        <v>795890</v>
      </c>
      <c r="C189" s="36" t="s">
        <v>107</v>
      </c>
      <c r="D189" s="37" t="s">
        <v>22</v>
      </c>
      <c r="E189" s="38">
        <v>207</v>
      </c>
      <c r="F189" s="38">
        <v>51.64</v>
      </c>
      <c r="G189" s="38">
        <f t="shared" si="12"/>
        <v>10689.48</v>
      </c>
    </row>
    <row r="190" spans="1:7" x14ac:dyDescent="0.3">
      <c r="B190" s="35">
        <v>795651</v>
      </c>
      <c r="C190" s="36" t="s">
        <v>150</v>
      </c>
      <c r="D190" s="39" t="s">
        <v>139</v>
      </c>
      <c r="E190" s="38">
        <v>134</v>
      </c>
      <c r="F190" s="38">
        <v>29.16</v>
      </c>
      <c r="G190" s="38">
        <f t="shared" si="12"/>
        <v>3907.44</v>
      </c>
    </row>
    <row r="191" spans="1:7" x14ac:dyDescent="0.3">
      <c r="B191" s="35">
        <v>795648</v>
      </c>
      <c r="C191" s="36" t="s">
        <v>151</v>
      </c>
      <c r="D191" s="37" t="s">
        <v>29</v>
      </c>
      <c r="E191" s="38">
        <v>270</v>
      </c>
      <c r="F191" s="38">
        <v>64.81</v>
      </c>
      <c r="G191" s="38">
        <f t="shared" si="12"/>
        <v>17498.7</v>
      </c>
    </row>
    <row r="192" spans="1:7" ht="27.6" x14ac:dyDescent="0.3">
      <c r="B192" s="35">
        <v>792590</v>
      </c>
      <c r="C192" s="36" t="s">
        <v>152</v>
      </c>
      <c r="D192" s="37" t="s">
        <v>29</v>
      </c>
      <c r="E192" s="38">
        <v>6</v>
      </c>
      <c r="F192" s="38">
        <v>17112.91</v>
      </c>
      <c r="G192" s="38">
        <f t="shared" si="12"/>
        <v>102677.45999999999</v>
      </c>
    </row>
    <row r="193" spans="2:7" x14ac:dyDescent="0.3">
      <c r="B193" s="35">
        <v>792350</v>
      </c>
      <c r="C193" s="36" t="s">
        <v>134</v>
      </c>
      <c r="D193" s="37" t="s">
        <v>22</v>
      </c>
      <c r="E193" s="38">
        <v>10</v>
      </c>
      <c r="F193" s="38">
        <v>565.47</v>
      </c>
      <c r="G193" s="38">
        <f t="shared" si="12"/>
        <v>5654.7000000000007</v>
      </c>
    </row>
    <row r="194" spans="2:7" x14ac:dyDescent="0.3">
      <c r="B194" s="35">
        <v>792330</v>
      </c>
      <c r="C194" s="36" t="s">
        <v>140</v>
      </c>
      <c r="D194" s="37" t="s">
        <v>22</v>
      </c>
      <c r="E194" s="38">
        <v>29.04</v>
      </c>
      <c r="F194" s="38">
        <v>632.45000000000005</v>
      </c>
      <c r="G194" s="38">
        <f t="shared" si="12"/>
        <v>18366.348000000002</v>
      </c>
    </row>
    <row r="195" spans="2:7" x14ac:dyDescent="0.3">
      <c r="B195" s="35">
        <v>795850</v>
      </c>
      <c r="C195" s="36" t="s">
        <v>153</v>
      </c>
      <c r="D195" s="37" t="s">
        <v>22</v>
      </c>
      <c r="E195" s="38">
        <v>102.6</v>
      </c>
      <c r="F195" s="38">
        <v>658.85</v>
      </c>
      <c r="G195" s="38">
        <f t="shared" si="12"/>
        <v>67598.009999999995</v>
      </c>
    </row>
    <row r="196" spans="2:7" x14ac:dyDescent="0.3">
      <c r="B196" s="35">
        <v>793650</v>
      </c>
      <c r="C196" s="36" t="s">
        <v>154</v>
      </c>
      <c r="D196" s="37" t="s">
        <v>22</v>
      </c>
      <c r="E196" s="38">
        <v>75.36</v>
      </c>
      <c r="F196" s="38">
        <v>764.65</v>
      </c>
      <c r="G196" s="38">
        <f t="shared" si="12"/>
        <v>57624.023999999998</v>
      </c>
    </row>
    <row r="197" spans="2:7" x14ac:dyDescent="0.3">
      <c r="B197" s="35">
        <v>713000</v>
      </c>
      <c r="C197" s="36" t="s">
        <v>155</v>
      </c>
      <c r="D197" s="37" t="s">
        <v>22</v>
      </c>
      <c r="E197" s="38">
        <v>39.17</v>
      </c>
      <c r="F197" s="38">
        <v>91.35</v>
      </c>
      <c r="G197" s="38">
        <f t="shared" si="12"/>
        <v>3578.1794999999997</v>
      </c>
    </row>
    <row r="198" spans="2:7" x14ac:dyDescent="0.3">
      <c r="B198" s="35">
        <v>711000</v>
      </c>
      <c r="C198" s="36" t="s">
        <v>125</v>
      </c>
      <c r="D198" s="37" t="s">
        <v>27</v>
      </c>
      <c r="E198" s="38">
        <v>1083.6099999999999</v>
      </c>
      <c r="F198" s="38">
        <v>89.48</v>
      </c>
      <c r="G198" s="38">
        <f t="shared" si="12"/>
        <v>96961.4228</v>
      </c>
    </row>
    <row r="199" spans="2:7" x14ac:dyDescent="0.3">
      <c r="B199" s="35">
        <v>796310</v>
      </c>
      <c r="C199" s="36" t="s">
        <v>156</v>
      </c>
      <c r="D199" s="37" t="s">
        <v>47</v>
      </c>
      <c r="E199" s="38">
        <v>7427.82</v>
      </c>
      <c r="F199" s="38">
        <v>15.53</v>
      </c>
      <c r="G199" s="38">
        <f t="shared" si="12"/>
        <v>115354.04459999999</v>
      </c>
    </row>
    <row r="200" spans="2:7" x14ac:dyDescent="0.3">
      <c r="B200" s="35">
        <v>796882</v>
      </c>
      <c r="C200" s="36" t="s">
        <v>157</v>
      </c>
      <c r="D200" s="37" t="s">
        <v>29</v>
      </c>
      <c r="E200" s="38">
        <v>24</v>
      </c>
      <c r="F200" s="38">
        <v>1483.14</v>
      </c>
      <c r="G200" s="38">
        <f t="shared" si="12"/>
        <v>35595.360000000001</v>
      </c>
    </row>
    <row r="201" spans="2:7" x14ac:dyDescent="0.3">
      <c r="B201" s="35">
        <v>795990</v>
      </c>
      <c r="C201" s="36" t="s">
        <v>158</v>
      </c>
      <c r="D201" s="37" t="s">
        <v>29</v>
      </c>
      <c r="E201" s="38">
        <v>4</v>
      </c>
      <c r="F201" s="38">
        <v>526.32000000000005</v>
      </c>
      <c r="G201" s="38">
        <f t="shared" si="12"/>
        <v>2105.2800000000002</v>
      </c>
    </row>
    <row r="202" spans="2:7" x14ac:dyDescent="0.3">
      <c r="B202" s="35">
        <v>796430</v>
      </c>
      <c r="C202" s="36" t="s">
        <v>159</v>
      </c>
      <c r="D202" s="37" t="s">
        <v>54</v>
      </c>
      <c r="E202" s="38">
        <v>25</v>
      </c>
      <c r="F202" s="38">
        <v>22.32</v>
      </c>
      <c r="G202" s="38">
        <f t="shared" si="12"/>
        <v>558</v>
      </c>
    </row>
    <row r="203" spans="2:7" x14ac:dyDescent="0.3">
      <c r="B203" s="35">
        <v>796110</v>
      </c>
      <c r="C203" s="36" t="s">
        <v>160</v>
      </c>
      <c r="D203" s="37" t="s">
        <v>54</v>
      </c>
      <c r="E203" s="38">
        <v>514.79999999999995</v>
      </c>
      <c r="F203" s="38">
        <v>38.799999999999997</v>
      </c>
      <c r="G203" s="38">
        <f t="shared" si="12"/>
        <v>19974.239999999998</v>
      </c>
    </row>
    <row r="204" spans="2:7" x14ac:dyDescent="0.3">
      <c r="B204" s="35">
        <v>791462</v>
      </c>
      <c r="C204" s="36" t="s">
        <v>161</v>
      </c>
      <c r="D204" s="37" t="s">
        <v>29</v>
      </c>
      <c r="E204" s="38">
        <v>16</v>
      </c>
      <c r="F204" s="38">
        <v>63.14</v>
      </c>
      <c r="G204" s="38">
        <f t="shared" si="12"/>
        <v>1010.24</v>
      </c>
    </row>
    <row r="205" spans="2:7" x14ac:dyDescent="0.3">
      <c r="B205" s="35">
        <v>796892</v>
      </c>
      <c r="C205" s="36" t="s">
        <v>162</v>
      </c>
      <c r="D205" s="37" t="s">
        <v>29</v>
      </c>
      <c r="E205" s="38">
        <v>12</v>
      </c>
      <c r="F205" s="38">
        <v>272.85000000000002</v>
      </c>
      <c r="G205" s="38">
        <f t="shared" si="12"/>
        <v>3274.2000000000003</v>
      </c>
    </row>
    <row r="206" spans="2:7" ht="27.6" x14ac:dyDescent="0.3">
      <c r="B206" s="35">
        <v>797880</v>
      </c>
      <c r="C206" s="36" t="s">
        <v>163</v>
      </c>
      <c r="D206" s="37" t="s">
        <v>54</v>
      </c>
      <c r="E206" s="38">
        <v>26.2</v>
      </c>
      <c r="F206" s="38">
        <v>1217.6400000000001</v>
      </c>
      <c r="G206" s="38">
        <f t="shared" si="12"/>
        <v>31902.168000000001</v>
      </c>
    </row>
    <row r="207" spans="2:7" x14ac:dyDescent="0.3">
      <c r="B207" s="35">
        <v>757000</v>
      </c>
      <c r="C207" s="36" t="s">
        <v>164</v>
      </c>
      <c r="D207" s="37" t="s">
        <v>54</v>
      </c>
      <c r="E207" s="38">
        <v>35</v>
      </c>
      <c r="F207" s="38">
        <v>267.08999999999997</v>
      </c>
      <c r="G207" s="38">
        <f t="shared" si="12"/>
        <v>9348.15</v>
      </c>
    </row>
    <row r="208" spans="2:7" x14ac:dyDescent="0.3">
      <c r="B208" s="35">
        <v>707100</v>
      </c>
      <c r="C208" s="36" t="s">
        <v>165</v>
      </c>
      <c r="D208" s="37" t="s">
        <v>27</v>
      </c>
      <c r="E208" s="38">
        <v>6.27</v>
      </c>
      <c r="F208" s="38">
        <v>17.22</v>
      </c>
      <c r="G208" s="38">
        <f t="shared" si="12"/>
        <v>107.96939999999998</v>
      </c>
    </row>
    <row r="209" spans="1:7" ht="27.6" x14ac:dyDescent="0.3">
      <c r="B209" s="35">
        <v>798880</v>
      </c>
      <c r="C209" s="36" t="s">
        <v>166</v>
      </c>
      <c r="D209" s="37" t="s">
        <v>27</v>
      </c>
      <c r="E209" s="38">
        <v>17.46</v>
      </c>
      <c r="F209" s="38">
        <v>76.83</v>
      </c>
      <c r="G209" s="38">
        <f t="shared" si="12"/>
        <v>1341.4518</v>
      </c>
    </row>
    <row r="210" spans="1:7" x14ac:dyDescent="0.3">
      <c r="A210" s="44"/>
      <c r="B210" s="45"/>
      <c r="C210" s="46" t="s">
        <v>73</v>
      </c>
      <c r="D210" s="47"/>
      <c r="E210" s="47"/>
      <c r="F210" s="47"/>
      <c r="G210" s="48">
        <f>SUBTOTAL(9,G186:G209)</f>
        <v>983605.49230000004</v>
      </c>
    </row>
    <row r="211" spans="1:7" x14ac:dyDescent="0.3">
      <c r="B211" s="49"/>
      <c r="C211" s="49"/>
      <c r="D211" s="50"/>
      <c r="E211" s="51"/>
      <c r="F211" s="51"/>
      <c r="G211" s="51"/>
    </row>
    <row r="212" spans="1:7" x14ac:dyDescent="0.3">
      <c r="A212" s="44"/>
      <c r="B212" s="45"/>
      <c r="C212" s="46" t="s">
        <v>42</v>
      </c>
      <c r="D212" s="47"/>
      <c r="E212" s="47"/>
      <c r="F212" s="47"/>
      <c r="G212" s="48">
        <f>SUBTOTAL(9,G160:G211)</f>
        <v>1497084.9502999999</v>
      </c>
    </row>
    <row r="213" spans="1:7" x14ac:dyDescent="0.3">
      <c r="B213" s="49"/>
      <c r="C213" s="49"/>
      <c r="D213" s="50"/>
      <c r="E213" s="51"/>
      <c r="F213" s="51"/>
      <c r="G213" s="51"/>
    </row>
    <row r="214" spans="1:7" x14ac:dyDescent="0.3">
      <c r="A214" s="23"/>
      <c r="B214" s="24" t="s">
        <v>167</v>
      </c>
      <c r="C214" s="25"/>
      <c r="D214" s="25"/>
      <c r="E214" s="25"/>
      <c r="F214" s="25"/>
      <c r="G214" s="26"/>
    </row>
    <row r="215" spans="1:7" x14ac:dyDescent="0.3">
      <c r="A215" s="23"/>
      <c r="B215" s="24" t="s">
        <v>168</v>
      </c>
      <c r="C215" s="25"/>
      <c r="D215" s="25"/>
      <c r="E215" s="25"/>
      <c r="F215" s="25"/>
      <c r="G215" s="26"/>
    </row>
    <row r="216" spans="1:7" x14ac:dyDescent="0.3">
      <c r="A216" s="27"/>
      <c r="B216" s="28" t="s">
        <v>127</v>
      </c>
      <c r="C216" s="28" t="s">
        <v>128</v>
      </c>
      <c r="D216" s="28" t="s">
        <v>129</v>
      </c>
      <c r="E216" s="29" t="s">
        <v>130</v>
      </c>
      <c r="F216" s="29" t="s">
        <v>131</v>
      </c>
      <c r="G216" s="29" t="s">
        <v>132</v>
      </c>
    </row>
    <row r="217" spans="1:7" x14ac:dyDescent="0.3">
      <c r="B217" s="35">
        <v>730000</v>
      </c>
      <c r="C217" s="36" t="s">
        <v>104</v>
      </c>
      <c r="D217" s="37" t="s">
        <v>47</v>
      </c>
      <c r="E217" s="38">
        <v>11205.21</v>
      </c>
      <c r="F217" s="38">
        <v>16.95</v>
      </c>
      <c r="G217" s="38">
        <f t="shared" ref="G217:G227" si="13">+E217*F217</f>
        <v>189928.30949999997</v>
      </c>
    </row>
    <row r="218" spans="1:7" x14ac:dyDescent="0.3">
      <c r="B218" s="35">
        <v>722500</v>
      </c>
      <c r="C218" s="36" t="s">
        <v>137</v>
      </c>
      <c r="D218" s="37" t="s">
        <v>22</v>
      </c>
      <c r="E218" s="38">
        <v>18.11</v>
      </c>
      <c r="F218" s="38">
        <v>1143.8</v>
      </c>
      <c r="G218" s="38">
        <f t="shared" si="13"/>
        <v>20714.217999999997</v>
      </c>
    </row>
    <row r="219" spans="1:7" x14ac:dyDescent="0.3">
      <c r="B219" s="35">
        <v>794337</v>
      </c>
      <c r="C219" s="36" t="s">
        <v>138</v>
      </c>
      <c r="D219" s="39" t="s">
        <v>139</v>
      </c>
      <c r="E219" s="38">
        <v>24</v>
      </c>
      <c r="F219" s="38">
        <v>63.69</v>
      </c>
      <c r="G219" s="38">
        <f t="shared" si="13"/>
        <v>1528.56</v>
      </c>
    </row>
    <row r="220" spans="1:7" x14ac:dyDescent="0.3">
      <c r="B220" s="35">
        <v>795890</v>
      </c>
      <c r="C220" s="36" t="s">
        <v>107</v>
      </c>
      <c r="D220" s="37" t="s">
        <v>22</v>
      </c>
      <c r="E220" s="38">
        <v>39.96</v>
      </c>
      <c r="F220" s="38">
        <v>51.64</v>
      </c>
      <c r="G220" s="38">
        <f t="shared" si="13"/>
        <v>2063.5344</v>
      </c>
    </row>
    <row r="221" spans="1:7" x14ac:dyDescent="0.3">
      <c r="B221" s="35">
        <v>792350</v>
      </c>
      <c r="C221" s="36" t="s">
        <v>134</v>
      </c>
      <c r="D221" s="37" t="s">
        <v>22</v>
      </c>
      <c r="E221" s="38">
        <v>4.92</v>
      </c>
      <c r="F221" s="38">
        <v>565.47</v>
      </c>
      <c r="G221" s="38">
        <f t="shared" si="13"/>
        <v>2782.1124</v>
      </c>
    </row>
    <row r="222" spans="1:7" x14ac:dyDescent="0.3">
      <c r="B222" s="35">
        <v>792330</v>
      </c>
      <c r="C222" s="36" t="s">
        <v>140</v>
      </c>
      <c r="D222" s="37" t="s">
        <v>22</v>
      </c>
      <c r="E222" s="38">
        <v>39.96</v>
      </c>
      <c r="F222" s="38">
        <v>632.45000000000005</v>
      </c>
      <c r="G222" s="38">
        <f t="shared" si="13"/>
        <v>25272.702000000001</v>
      </c>
    </row>
    <row r="223" spans="1:7" x14ac:dyDescent="0.3">
      <c r="B223" s="35">
        <v>702100</v>
      </c>
      <c r="C223" s="36" t="s">
        <v>141</v>
      </c>
      <c r="D223" s="37" t="s">
        <v>22</v>
      </c>
      <c r="E223" s="38">
        <v>469.44</v>
      </c>
      <c r="F223" s="38">
        <v>49.77</v>
      </c>
      <c r="G223" s="38">
        <f t="shared" si="13"/>
        <v>23364.0288</v>
      </c>
    </row>
    <row r="224" spans="1:7" x14ac:dyDescent="0.3">
      <c r="B224" s="35">
        <v>712000</v>
      </c>
      <c r="C224" s="36" t="s">
        <v>142</v>
      </c>
      <c r="D224" s="37" t="s">
        <v>22</v>
      </c>
      <c r="E224" s="38">
        <v>110.23</v>
      </c>
      <c r="F224" s="38">
        <v>145.72</v>
      </c>
      <c r="G224" s="38">
        <f t="shared" si="13"/>
        <v>16062.715600000001</v>
      </c>
    </row>
    <row r="225" spans="1:7" x14ac:dyDescent="0.3">
      <c r="B225" s="35">
        <v>793580</v>
      </c>
      <c r="C225" s="36" t="s">
        <v>143</v>
      </c>
      <c r="D225" s="37" t="s">
        <v>54</v>
      </c>
      <c r="E225" s="38">
        <v>240</v>
      </c>
      <c r="F225" s="38">
        <v>514.24</v>
      </c>
      <c r="G225" s="38">
        <f t="shared" si="13"/>
        <v>123417.60000000001</v>
      </c>
    </row>
    <row r="226" spans="1:7" x14ac:dyDescent="0.3">
      <c r="B226" s="35">
        <v>711000</v>
      </c>
      <c r="C226" s="36" t="s">
        <v>125</v>
      </c>
      <c r="D226" s="37" t="s">
        <v>27</v>
      </c>
      <c r="E226" s="38">
        <v>59.29</v>
      </c>
      <c r="F226" s="38">
        <v>89.48</v>
      </c>
      <c r="G226" s="38">
        <f t="shared" si="13"/>
        <v>5305.2691999999997</v>
      </c>
    </row>
    <row r="227" spans="1:7" x14ac:dyDescent="0.3">
      <c r="B227" s="35">
        <v>705000</v>
      </c>
      <c r="C227" s="36" t="s">
        <v>92</v>
      </c>
      <c r="D227" s="37" t="s">
        <v>22</v>
      </c>
      <c r="E227" s="38">
        <v>371.87</v>
      </c>
      <c r="F227" s="38">
        <v>30.29</v>
      </c>
      <c r="G227" s="38">
        <f t="shared" si="13"/>
        <v>11263.942300000001</v>
      </c>
    </row>
    <row r="228" spans="1:7" x14ac:dyDescent="0.3">
      <c r="A228" s="44"/>
      <c r="B228" s="45"/>
      <c r="C228" s="46" t="s">
        <v>73</v>
      </c>
      <c r="D228" s="47"/>
      <c r="E228" s="47"/>
      <c r="F228" s="47"/>
      <c r="G228" s="48">
        <f>SUBTOTAL(9,G217:G227)</f>
        <v>421702.99219999998</v>
      </c>
    </row>
    <row r="229" spans="1:7" x14ac:dyDescent="0.3">
      <c r="B229" s="49"/>
      <c r="C229" s="49"/>
      <c r="D229" s="50"/>
      <c r="E229" s="51"/>
      <c r="F229" s="51"/>
      <c r="G229" s="51"/>
    </row>
    <row r="230" spans="1:7" x14ac:dyDescent="0.3">
      <c r="A230" s="23"/>
      <c r="B230" s="24" t="s">
        <v>169</v>
      </c>
      <c r="C230" s="25"/>
      <c r="D230" s="25"/>
      <c r="E230" s="25"/>
      <c r="F230" s="25"/>
      <c r="G230" s="26"/>
    </row>
    <row r="231" spans="1:7" x14ac:dyDescent="0.3">
      <c r="A231" s="27"/>
      <c r="B231" s="28" t="s">
        <v>127</v>
      </c>
      <c r="C231" s="28" t="s">
        <v>128</v>
      </c>
      <c r="D231" s="28" t="s">
        <v>129</v>
      </c>
      <c r="E231" s="29" t="s">
        <v>130</v>
      </c>
      <c r="F231" s="29" t="s">
        <v>131</v>
      </c>
      <c r="G231" s="29" t="s">
        <v>132</v>
      </c>
    </row>
    <row r="232" spans="1:7" x14ac:dyDescent="0.3">
      <c r="B232" s="35">
        <v>730000</v>
      </c>
      <c r="C232" s="36" t="s">
        <v>104</v>
      </c>
      <c r="D232" s="37" t="s">
        <v>47</v>
      </c>
      <c r="E232" s="38">
        <v>2389.16</v>
      </c>
      <c r="F232" s="38">
        <v>16.95</v>
      </c>
      <c r="G232" s="38">
        <f t="shared" ref="G232:G238" si="14">+E232*F232</f>
        <v>40496.261999999995</v>
      </c>
    </row>
    <row r="233" spans="1:7" x14ac:dyDescent="0.3">
      <c r="B233" s="35">
        <v>756000</v>
      </c>
      <c r="C233" s="36" t="s">
        <v>145</v>
      </c>
      <c r="D233" s="37" t="s">
        <v>47</v>
      </c>
      <c r="E233" s="38">
        <v>154.97999999999999</v>
      </c>
      <c r="F233" s="38">
        <v>148.55000000000001</v>
      </c>
      <c r="G233" s="38">
        <f t="shared" si="14"/>
        <v>23022.278999999999</v>
      </c>
    </row>
    <row r="234" spans="1:7" x14ac:dyDescent="0.3">
      <c r="B234" s="35">
        <v>795890</v>
      </c>
      <c r="C234" s="36" t="s">
        <v>107</v>
      </c>
      <c r="D234" s="37" t="s">
        <v>22</v>
      </c>
      <c r="E234" s="38">
        <v>18.38</v>
      </c>
      <c r="F234" s="38">
        <v>51.64</v>
      </c>
      <c r="G234" s="38">
        <f t="shared" si="14"/>
        <v>949.14319999999998</v>
      </c>
    </row>
    <row r="235" spans="1:7" x14ac:dyDescent="0.3">
      <c r="B235" s="35">
        <v>792330</v>
      </c>
      <c r="C235" s="36" t="s">
        <v>140</v>
      </c>
      <c r="D235" s="37" t="s">
        <v>22</v>
      </c>
      <c r="E235" s="38">
        <v>18.38</v>
      </c>
      <c r="F235" s="38">
        <v>632.45000000000005</v>
      </c>
      <c r="G235" s="38">
        <f t="shared" si="14"/>
        <v>11624.431</v>
      </c>
    </row>
    <row r="236" spans="1:7" x14ac:dyDescent="0.3">
      <c r="B236" s="35">
        <v>712000</v>
      </c>
      <c r="C236" s="36" t="s">
        <v>142</v>
      </c>
      <c r="D236" s="37" t="s">
        <v>22</v>
      </c>
      <c r="E236" s="38">
        <v>107.62</v>
      </c>
      <c r="F236" s="38">
        <v>145.72</v>
      </c>
      <c r="G236" s="38">
        <f t="shared" si="14"/>
        <v>15682.386400000001</v>
      </c>
    </row>
    <row r="237" spans="1:7" x14ac:dyDescent="0.3">
      <c r="B237" s="35">
        <v>711000</v>
      </c>
      <c r="C237" s="36" t="s">
        <v>125</v>
      </c>
      <c r="D237" s="37" t="s">
        <v>27</v>
      </c>
      <c r="E237" s="38">
        <v>115.64</v>
      </c>
      <c r="F237" s="38">
        <v>89.48</v>
      </c>
      <c r="G237" s="38">
        <f t="shared" si="14"/>
        <v>10347.467200000001</v>
      </c>
    </row>
    <row r="238" spans="1:7" ht="27.6" x14ac:dyDescent="0.3">
      <c r="B238" s="35">
        <v>795010</v>
      </c>
      <c r="C238" s="36" t="s">
        <v>146</v>
      </c>
      <c r="D238" s="37" t="s">
        <v>22</v>
      </c>
      <c r="E238" s="38">
        <v>0.18</v>
      </c>
      <c r="F238" s="38">
        <v>3892.28</v>
      </c>
      <c r="G238" s="38">
        <f t="shared" si="14"/>
        <v>700.61040000000003</v>
      </c>
    </row>
    <row r="239" spans="1:7" x14ac:dyDescent="0.3">
      <c r="A239" s="44"/>
      <c r="B239" s="45"/>
      <c r="C239" s="46" t="s">
        <v>73</v>
      </c>
      <c r="D239" s="47"/>
      <c r="E239" s="47"/>
      <c r="F239" s="47"/>
      <c r="G239" s="48">
        <f>SUBTOTAL(9,G232:G238)</f>
        <v>102822.57920000001</v>
      </c>
    </row>
    <row r="240" spans="1:7" x14ac:dyDescent="0.3">
      <c r="B240" s="49"/>
      <c r="C240" s="49"/>
      <c r="D240" s="50"/>
      <c r="E240" s="51"/>
      <c r="F240" s="51"/>
      <c r="G240" s="51"/>
    </row>
    <row r="241" spans="1:7" x14ac:dyDescent="0.3">
      <c r="A241" s="23"/>
      <c r="B241" s="24" t="s">
        <v>170</v>
      </c>
      <c r="C241" s="25"/>
      <c r="D241" s="25"/>
      <c r="E241" s="25"/>
      <c r="F241" s="25"/>
      <c r="G241" s="26"/>
    </row>
    <row r="242" spans="1:7" x14ac:dyDescent="0.3">
      <c r="A242" s="27"/>
      <c r="B242" s="28" t="s">
        <v>127</v>
      </c>
      <c r="C242" s="28" t="s">
        <v>128</v>
      </c>
      <c r="D242" s="28" t="s">
        <v>129</v>
      </c>
      <c r="E242" s="29" t="s">
        <v>130</v>
      </c>
      <c r="F242" s="29" t="s">
        <v>131</v>
      </c>
      <c r="G242" s="29" t="s">
        <v>132</v>
      </c>
    </row>
    <row r="243" spans="1:7" x14ac:dyDescent="0.3">
      <c r="B243" s="35">
        <v>730000</v>
      </c>
      <c r="C243" s="36" t="s">
        <v>104</v>
      </c>
      <c r="D243" s="37" t="s">
        <v>47</v>
      </c>
      <c r="E243" s="38">
        <v>22305.360000000001</v>
      </c>
      <c r="F243" s="38">
        <v>16.95</v>
      </c>
      <c r="G243" s="38">
        <f t="shared" ref="G243:G266" si="15">+E243*F243</f>
        <v>378075.85200000001</v>
      </c>
    </row>
    <row r="244" spans="1:7" x14ac:dyDescent="0.3">
      <c r="B244" s="35">
        <v>707000</v>
      </c>
      <c r="C244" s="36" t="s">
        <v>148</v>
      </c>
      <c r="D244" s="37" t="s">
        <v>27</v>
      </c>
      <c r="E244" s="38">
        <v>6.27</v>
      </c>
      <c r="F244" s="38">
        <v>54.56</v>
      </c>
      <c r="G244" s="38">
        <f t="shared" si="15"/>
        <v>342.09120000000001</v>
      </c>
    </row>
    <row r="245" spans="1:7" x14ac:dyDescent="0.3">
      <c r="B245" s="35">
        <v>745000</v>
      </c>
      <c r="C245" s="36" t="s">
        <v>149</v>
      </c>
      <c r="D245" s="37" t="s">
        <v>22</v>
      </c>
      <c r="E245" s="38">
        <v>0.09</v>
      </c>
      <c r="F245" s="38">
        <v>683.65</v>
      </c>
      <c r="G245" s="38">
        <f t="shared" si="15"/>
        <v>61.528499999999994</v>
      </c>
    </row>
    <row r="246" spans="1:7" x14ac:dyDescent="0.3">
      <c r="B246" s="35">
        <v>795890</v>
      </c>
      <c r="C246" s="36" t="s">
        <v>107</v>
      </c>
      <c r="D246" s="37" t="s">
        <v>22</v>
      </c>
      <c r="E246" s="38">
        <v>207</v>
      </c>
      <c r="F246" s="38">
        <v>51.64</v>
      </c>
      <c r="G246" s="38">
        <f t="shared" si="15"/>
        <v>10689.48</v>
      </c>
    </row>
    <row r="247" spans="1:7" x14ac:dyDescent="0.3">
      <c r="B247" s="35">
        <v>795651</v>
      </c>
      <c r="C247" s="36" t="s">
        <v>150</v>
      </c>
      <c r="D247" s="39" t="s">
        <v>139</v>
      </c>
      <c r="E247" s="38">
        <v>134</v>
      </c>
      <c r="F247" s="38">
        <v>29.16</v>
      </c>
      <c r="G247" s="38">
        <f t="shared" si="15"/>
        <v>3907.44</v>
      </c>
    </row>
    <row r="248" spans="1:7" x14ac:dyDescent="0.3">
      <c r="B248" s="35">
        <v>795648</v>
      </c>
      <c r="C248" s="36" t="s">
        <v>151</v>
      </c>
      <c r="D248" s="37" t="s">
        <v>29</v>
      </c>
      <c r="E248" s="38">
        <v>270</v>
      </c>
      <c r="F248" s="38">
        <v>64.81</v>
      </c>
      <c r="G248" s="38">
        <f t="shared" si="15"/>
        <v>17498.7</v>
      </c>
    </row>
    <row r="249" spans="1:7" ht="27.6" x14ac:dyDescent="0.3">
      <c r="B249" s="35">
        <v>792590</v>
      </c>
      <c r="C249" s="36" t="s">
        <v>171</v>
      </c>
      <c r="D249" s="37" t="s">
        <v>29</v>
      </c>
      <c r="E249" s="38">
        <v>6</v>
      </c>
      <c r="F249" s="38">
        <v>17112.91</v>
      </c>
      <c r="G249" s="38">
        <f t="shared" si="15"/>
        <v>102677.45999999999</v>
      </c>
    </row>
    <row r="250" spans="1:7" x14ac:dyDescent="0.3">
      <c r="B250" s="35">
        <v>792350</v>
      </c>
      <c r="C250" s="36" t="s">
        <v>134</v>
      </c>
      <c r="D250" s="37" t="s">
        <v>22</v>
      </c>
      <c r="E250" s="38">
        <v>10</v>
      </c>
      <c r="F250" s="38">
        <v>565.47</v>
      </c>
      <c r="G250" s="38">
        <f t="shared" si="15"/>
        <v>5654.7000000000007</v>
      </c>
    </row>
    <row r="251" spans="1:7" x14ac:dyDescent="0.3">
      <c r="B251" s="35">
        <v>792330</v>
      </c>
      <c r="C251" s="36" t="s">
        <v>140</v>
      </c>
      <c r="D251" s="37" t="s">
        <v>22</v>
      </c>
      <c r="E251" s="38">
        <v>29.04</v>
      </c>
      <c r="F251" s="38">
        <v>632.45000000000005</v>
      </c>
      <c r="G251" s="38">
        <f t="shared" si="15"/>
        <v>18366.348000000002</v>
      </c>
    </row>
    <row r="252" spans="1:7" x14ac:dyDescent="0.3">
      <c r="B252" s="35">
        <v>795850</v>
      </c>
      <c r="C252" s="36" t="s">
        <v>153</v>
      </c>
      <c r="D252" s="37" t="s">
        <v>22</v>
      </c>
      <c r="E252" s="38">
        <v>102.6</v>
      </c>
      <c r="F252" s="38">
        <v>658.85</v>
      </c>
      <c r="G252" s="38">
        <f t="shared" si="15"/>
        <v>67598.009999999995</v>
      </c>
    </row>
    <row r="253" spans="1:7" x14ac:dyDescent="0.3">
      <c r="B253" s="35">
        <v>793650</v>
      </c>
      <c r="C253" s="36" t="s">
        <v>154</v>
      </c>
      <c r="D253" s="37" t="s">
        <v>22</v>
      </c>
      <c r="E253" s="38">
        <v>75.36</v>
      </c>
      <c r="F253" s="38">
        <v>764.65</v>
      </c>
      <c r="G253" s="38">
        <f t="shared" si="15"/>
        <v>57624.023999999998</v>
      </c>
    </row>
    <row r="254" spans="1:7" x14ac:dyDescent="0.3">
      <c r="B254" s="35">
        <v>713000</v>
      </c>
      <c r="C254" s="36" t="s">
        <v>155</v>
      </c>
      <c r="D254" s="37" t="s">
        <v>22</v>
      </c>
      <c r="E254" s="38">
        <v>39.17</v>
      </c>
      <c r="F254" s="38">
        <v>91.35</v>
      </c>
      <c r="G254" s="38">
        <f t="shared" si="15"/>
        <v>3578.1794999999997</v>
      </c>
    </row>
    <row r="255" spans="1:7" x14ac:dyDescent="0.3">
      <c r="B255" s="35">
        <v>711000</v>
      </c>
      <c r="C255" s="36" t="s">
        <v>125</v>
      </c>
      <c r="D255" s="37" t="s">
        <v>27</v>
      </c>
      <c r="E255" s="38">
        <v>1083.6099999999999</v>
      </c>
      <c r="F255" s="38">
        <v>89.48</v>
      </c>
      <c r="G255" s="38">
        <f t="shared" si="15"/>
        <v>96961.4228</v>
      </c>
    </row>
    <row r="256" spans="1:7" x14ac:dyDescent="0.3">
      <c r="B256" s="35">
        <v>796310</v>
      </c>
      <c r="C256" s="36" t="s">
        <v>156</v>
      </c>
      <c r="D256" s="37" t="s">
        <v>47</v>
      </c>
      <c r="E256" s="38">
        <v>7427.82</v>
      </c>
      <c r="F256" s="38">
        <v>15.53</v>
      </c>
      <c r="G256" s="38">
        <f t="shared" si="15"/>
        <v>115354.04459999999</v>
      </c>
    </row>
    <row r="257" spans="1:7" x14ac:dyDescent="0.3">
      <c r="B257" s="35">
        <v>796882</v>
      </c>
      <c r="C257" s="36" t="s">
        <v>157</v>
      </c>
      <c r="D257" s="37" t="s">
        <v>29</v>
      </c>
      <c r="E257" s="38">
        <v>24</v>
      </c>
      <c r="F257" s="38">
        <v>1483.14</v>
      </c>
      <c r="G257" s="38">
        <f t="shared" si="15"/>
        <v>35595.360000000001</v>
      </c>
    </row>
    <row r="258" spans="1:7" x14ac:dyDescent="0.3">
      <c r="B258" s="35">
        <v>795990</v>
      </c>
      <c r="C258" s="36" t="s">
        <v>158</v>
      </c>
      <c r="D258" s="37" t="s">
        <v>29</v>
      </c>
      <c r="E258" s="38">
        <v>4</v>
      </c>
      <c r="F258" s="38">
        <v>526.32000000000005</v>
      </c>
      <c r="G258" s="38">
        <f t="shared" si="15"/>
        <v>2105.2800000000002</v>
      </c>
    </row>
    <row r="259" spans="1:7" x14ac:dyDescent="0.3">
      <c r="B259" s="35">
        <v>796430</v>
      </c>
      <c r="C259" s="36" t="s">
        <v>159</v>
      </c>
      <c r="D259" s="37" t="s">
        <v>54</v>
      </c>
      <c r="E259" s="38">
        <v>25</v>
      </c>
      <c r="F259" s="38">
        <v>22.32</v>
      </c>
      <c r="G259" s="38">
        <f t="shared" si="15"/>
        <v>558</v>
      </c>
    </row>
    <row r="260" spans="1:7" x14ac:dyDescent="0.3">
      <c r="B260" s="35">
        <v>796110</v>
      </c>
      <c r="C260" s="36" t="s">
        <v>160</v>
      </c>
      <c r="D260" s="37" t="s">
        <v>54</v>
      </c>
      <c r="E260" s="38">
        <v>514.79999999999995</v>
      </c>
      <c r="F260" s="38">
        <v>38.799999999999997</v>
      </c>
      <c r="G260" s="38">
        <f t="shared" si="15"/>
        <v>19974.239999999998</v>
      </c>
    </row>
    <row r="261" spans="1:7" x14ac:dyDescent="0.3">
      <c r="B261" s="35">
        <v>791462</v>
      </c>
      <c r="C261" s="36" t="s">
        <v>161</v>
      </c>
      <c r="D261" s="37" t="s">
        <v>29</v>
      </c>
      <c r="E261" s="38">
        <v>16</v>
      </c>
      <c r="F261" s="38">
        <v>63.14</v>
      </c>
      <c r="G261" s="38">
        <f t="shared" si="15"/>
        <v>1010.24</v>
      </c>
    </row>
    <row r="262" spans="1:7" x14ac:dyDescent="0.3">
      <c r="B262" s="35">
        <v>796892</v>
      </c>
      <c r="C262" s="36" t="s">
        <v>162</v>
      </c>
      <c r="D262" s="37" t="s">
        <v>29</v>
      </c>
      <c r="E262" s="38">
        <v>12</v>
      </c>
      <c r="F262" s="38">
        <v>272.85000000000002</v>
      </c>
      <c r="G262" s="38">
        <f t="shared" si="15"/>
        <v>3274.2000000000003</v>
      </c>
    </row>
    <row r="263" spans="1:7" ht="27.6" x14ac:dyDescent="0.3">
      <c r="B263" s="35">
        <v>797880</v>
      </c>
      <c r="C263" s="36" t="s">
        <v>163</v>
      </c>
      <c r="D263" s="37" t="s">
        <v>54</v>
      </c>
      <c r="E263" s="38">
        <v>26.2</v>
      </c>
      <c r="F263" s="38">
        <v>1217.6400000000001</v>
      </c>
      <c r="G263" s="38">
        <f t="shared" si="15"/>
        <v>31902.168000000001</v>
      </c>
    </row>
    <row r="264" spans="1:7" x14ac:dyDescent="0.3">
      <c r="B264" s="35">
        <v>757000</v>
      </c>
      <c r="C264" s="36" t="s">
        <v>164</v>
      </c>
      <c r="D264" s="37" t="s">
        <v>54</v>
      </c>
      <c r="E264" s="38">
        <v>35</v>
      </c>
      <c r="F264" s="38">
        <v>267.08999999999997</v>
      </c>
      <c r="G264" s="38">
        <f t="shared" si="15"/>
        <v>9348.15</v>
      </c>
    </row>
    <row r="265" spans="1:7" x14ac:dyDescent="0.3">
      <c r="B265" s="35">
        <v>707100</v>
      </c>
      <c r="C265" s="36" t="s">
        <v>165</v>
      </c>
      <c r="D265" s="37" t="s">
        <v>27</v>
      </c>
      <c r="E265" s="38">
        <v>6.27</v>
      </c>
      <c r="F265" s="38">
        <v>17.22</v>
      </c>
      <c r="G265" s="38">
        <f t="shared" si="15"/>
        <v>107.96939999999998</v>
      </c>
    </row>
    <row r="266" spans="1:7" ht="27.6" x14ac:dyDescent="0.3">
      <c r="B266" s="35">
        <v>798880</v>
      </c>
      <c r="C266" s="36" t="s">
        <v>166</v>
      </c>
      <c r="D266" s="37" t="s">
        <v>27</v>
      </c>
      <c r="E266" s="38">
        <v>17.46</v>
      </c>
      <c r="F266" s="38">
        <v>76.83</v>
      </c>
      <c r="G266" s="38">
        <f t="shared" si="15"/>
        <v>1341.4518</v>
      </c>
    </row>
    <row r="267" spans="1:7" x14ac:dyDescent="0.3">
      <c r="A267" s="44"/>
      <c r="B267" s="45"/>
      <c r="C267" s="46" t="s">
        <v>73</v>
      </c>
      <c r="D267" s="47"/>
      <c r="E267" s="47"/>
      <c r="F267" s="47"/>
      <c r="G267" s="48">
        <f>SUBTOTAL(9,G243:G266)</f>
        <v>983606.33979999996</v>
      </c>
    </row>
    <row r="268" spans="1:7" x14ac:dyDescent="0.3">
      <c r="B268" s="49"/>
      <c r="C268" s="49"/>
      <c r="D268" s="50"/>
      <c r="E268" s="51"/>
      <c r="F268" s="51"/>
      <c r="G268" s="51"/>
    </row>
    <row r="269" spans="1:7" x14ac:dyDescent="0.3">
      <c r="A269" s="44"/>
      <c r="B269" s="45"/>
      <c r="C269" s="46" t="s">
        <v>42</v>
      </c>
      <c r="D269" s="47"/>
      <c r="E269" s="47"/>
      <c r="F269" s="47"/>
      <c r="G269" s="48">
        <f>SUBTOTAL(9,G217:G268)</f>
        <v>1508131.9112</v>
      </c>
    </row>
    <row r="270" spans="1:7" x14ac:dyDescent="0.3">
      <c r="B270" s="49"/>
      <c r="C270" s="49"/>
      <c r="D270" s="50"/>
      <c r="E270" s="51"/>
      <c r="F270" s="51"/>
      <c r="G270" s="51"/>
    </row>
    <row r="271" spans="1:7" x14ac:dyDescent="0.3">
      <c r="A271" s="23"/>
      <c r="B271" s="24" t="s">
        <v>172</v>
      </c>
      <c r="C271" s="25"/>
      <c r="D271" s="25"/>
      <c r="E271" s="25"/>
      <c r="F271" s="25"/>
      <c r="G271" s="26"/>
    </row>
    <row r="272" spans="1:7" x14ac:dyDescent="0.3">
      <c r="A272" s="23"/>
      <c r="B272" s="24" t="s">
        <v>173</v>
      </c>
      <c r="C272" s="25"/>
      <c r="D272" s="25"/>
      <c r="E272" s="25"/>
      <c r="F272" s="25"/>
      <c r="G272" s="26"/>
    </row>
    <row r="273" spans="1:7" x14ac:dyDescent="0.3">
      <c r="A273" s="27"/>
      <c r="B273" s="28" t="s">
        <v>127</v>
      </c>
      <c r="C273" s="28" t="s">
        <v>128</v>
      </c>
      <c r="D273" s="28" t="s">
        <v>129</v>
      </c>
      <c r="E273" s="29" t="s">
        <v>130</v>
      </c>
      <c r="F273" s="29" t="s">
        <v>131</v>
      </c>
      <c r="G273" s="29" t="s">
        <v>132</v>
      </c>
    </row>
    <row r="274" spans="1:7" x14ac:dyDescent="0.3">
      <c r="B274" s="35">
        <v>730000</v>
      </c>
      <c r="C274" s="36" t="s">
        <v>104</v>
      </c>
      <c r="D274" s="39" t="s">
        <v>174</v>
      </c>
      <c r="E274" s="38">
        <v>11205.21</v>
      </c>
      <c r="F274" s="38">
        <v>16.95</v>
      </c>
      <c r="G274" s="38">
        <f t="shared" ref="G274:G284" si="16">+E274*F274</f>
        <v>189928.30949999997</v>
      </c>
    </row>
    <row r="275" spans="1:7" x14ac:dyDescent="0.3">
      <c r="B275" s="35">
        <v>722500</v>
      </c>
      <c r="C275" s="36" t="s">
        <v>137</v>
      </c>
      <c r="D275" s="39" t="s">
        <v>175</v>
      </c>
      <c r="E275" s="38">
        <v>18.11</v>
      </c>
      <c r="F275" s="38">
        <v>1143.8</v>
      </c>
      <c r="G275" s="38">
        <f t="shared" si="16"/>
        <v>20714.217999999997</v>
      </c>
    </row>
    <row r="276" spans="1:7" x14ac:dyDescent="0.3">
      <c r="B276" s="35">
        <v>794337</v>
      </c>
      <c r="C276" s="36" t="s">
        <v>138</v>
      </c>
      <c r="D276" s="39" t="s">
        <v>139</v>
      </c>
      <c r="E276" s="38">
        <v>24</v>
      </c>
      <c r="F276" s="38">
        <v>63.69</v>
      </c>
      <c r="G276" s="38">
        <f t="shared" si="16"/>
        <v>1528.56</v>
      </c>
    </row>
    <row r="277" spans="1:7" x14ac:dyDescent="0.3">
      <c r="B277" s="35">
        <v>795890</v>
      </c>
      <c r="C277" s="36" t="s">
        <v>107</v>
      </c>
      <c r="D277" s="39" t="s">
        <v>175</v>
      </c>
      <c r="E277" s="38">
        <v>39.96</v>
      </c>
      <c r="F277" s="38">
        <v>51.64</v>
      </c>
      <c r="G277" s="38">
        <f t="shared" si="16"/>
        <v>2063.5344</v>
      </c>
    </row>
    <row r="278" spans="1:7" x14ac:dyDescent="0.3">
      <c r="B278" s="35">
        <v>792350</v>
      </c>
      <c r="C278" s="36" t="s">
        <v>134</v>
      </c>
      <c r="D278" s="39" t="s">
        <v>175</v>
      </c>
      <c r="E278" s="38">
        <v>4.92</v>
      </c>
      <c r="F278" s="38">
        <v>565.47</v>
      </c>
      <c r="G278" s="38">
        <f t="shared" si="16"/>
        <v>2782.1124</v>
      </c>
    </row>
    <row r="279" spans="1:7" x14ac:dyDescent="0.3">
      <c r="B279" s="35">
        <v>792330</v>
      </c>
      <c r="C279" s="36" t="s">
        <v>140</v>
      </c>
      <c r="D279" s="39" t="s">
        <v>175</v>
      </c>
      <c r="E279" s="38">
        <v>39.96</v>
      </c>
      <c r="F279" s="38">
        <v>632.45000000000005</v>
      </c>
      <c r="G279" s="38">
        <f t="shared" si="16"/>
        <v>25272.702000000001</v>
      </c>
    </row>
    <row r="280" spans="1:7" x14ac:dyDescent="0.3">
      <c r="B280" s="35">
        <v>702100</v>
      </c>
      <c r="C280" s="36" t="s">
        <v>141</v>
      </c>
      <c r="D280" s="39" t="s">
        <v>175</v>
      </c>
      <c r="E280" s="38">
        <v>447.79</v>
      </c>
      <c r="F280" s="38">
        <v>49.77</v>
      </c>
      <c r="G280" s="38">
        <f t="shared" si="16"/>
        <v>22286.508300000001</v>
      </c>
    </row>
    <row r="281" spans="1:7" x14ac:dyDescent="0.3">
      <c r="B281" s="35">
        <v>712000</v>
      </c>
      <c r="C281" s="36" t="s">
        <v>142</v>
      </c>
      <c r="D281" s="39" t="s">
        <v>175</v>
      </c>
      <c r="E281" s="38">
        <v>110.23</v>
      </c>
      <c r="F281" s="38">
        <v>145.72</v>
      </c>
      <c r="G281" s="38">
        <f t="shared" si="16"/>
        <v>16062.715600000001</v>
      </c>
    </row>
    <row r="282" spans="1:7" x14ac:dyDescent="0.3">
      <c r="B282" s="35">
        <v>793580</v>
      </c>
      <c r="C282" s="36" t="s">
        <v>143</v>
      </c>
      <c r="D282" s="39" t="s">
        <v>176</v>
      </c>
      <c r="E282" s="38">
        <v>240</v>
      </c>
      <c r="F282" s="38">
        <v>514.24</v>
      </c>
      <c r="G282" s="38">
        <f t="shared" si="16"/>
        <v>123417.60000000001</v>
      </c>
    </row>
    <row r="283" spans="1:7" x14ac:dyDescent="0.3">
      <c r="B283" s="35">
        <v>711000</v>
      </c>
      <c r="C283" s="36" t="s">
        <v>125</v>
      </c>
      <c r="D283" s="39" t="s">
        <v>177</v>
      </c>
      <c r="E283" s="38">
        <v>59.29</v>
      </c>
      <c r="F283" s="38">
        <v>89.48</v>
      </c>
      <c r="G283" s="38">
        <f t="shared" si="16"/>
        <v>5305.2691999999997</v>
      </c>
    </row>
    <row r="284" spans="1:7" x14ac:dyDescent="0.3">
      <c r="B284" s="35">
        <v>705000</v>
      </c>
      <c r="C284" s="36" t="s">
        <v>92</v>
      </c>
      <c r="D284" s="39" t="s">
        <v>175</v>
      </c>
      <c r="E284" s="38">
        <v>202.46</v>
      </c>
      <c r="F284" s="38">
        <v>30.29</v>
      </c>
      <c r="G284" s="38">
        <f t="shared" si="16"/>
        <v>6132.5133999999998</v>
      </c>
    </row>
    <row r="285" spans="1:7" x14ac:dyDescent="0.3">
      <c r="A285" s="44"/>
      <c r="B285" s="45"/>
      <c r="C285" s="46" t="s">
        <v>73</v>
      </c>
      <c r="D285" s="47"/>
      <c r="E285" s="47"/>
      <c r="F285" s="47"/>
      <c r="G285" s="48">
        <f>SUBTOTAL(9,G274:G284)</f>
        <v>415494.0428</v>
      </c>
    </row>
    <row r="286" spans="1:7" x14ac:dyDescent="0.3">
      <c r="B286" s="49"/>
      <c r="C286" s="49"/>
      <c r="D286" s="50"/>
      <c r="E286" s="51"/>
      <c r="F286" s="51"/>
      <c r="G286" s="51"/>
    </row>
    <row r="287" spans="1:7" x14ac:dyDescent="0.3">
      <c r="A287" s="23"/>
      <c r="B287" s="24" t="s">
        <v>178</v>
      </c>
      <c r="C287" s="25"/>
      <c r="D287" s="25"/>
      <c r="E287" s="25"/>
      <c r="F287" s="25"/>
      <c r="G287" s="26"/>
    </row>
    <row r="288" spans="1:7" x14ac:dyDescent="0.3">
      <c r="A288" s="27"/>
      <c r="B288" s="28" t="s">
        <v>127</v>
      </c>
      <c r="C288" s="28" t="s">
        <v>128</v>
      </c>
      <c r="D288" s="28" t="s">
        <v>129</v>
      </c>
      <c r="E288" s="29" t="s">
        <v>130</v>
      </c>
      <c r="F288" s="29" t="s">
        <v>131</v>
      </c>
      <c r="G288" s="29" t="s">
        <v>132</v>
      </c>
    </row>
    <row r="289" spans="1:7" x14ac:dyDescent="0.3">
      <c r="B289" s="35">
        <v>730000</v>
      </c>
      <c r="C289" s="36" t="s">
        <v>104</v>
      </c>
      <c r="D289" s="39" t="s">
        <v>174</v>
      </c>
      <c r="E289" s="38">
        <v>2389.16</v>
      </c>
      <c r="F289" s="38">
        <v>16.95</v>
      </c>
      <c r="G289" s="38">
        <f t="shared" ref="G289:G295" si="17">+E289*F289</f>
        <v>40496.261999999995</v>
      </c>
    </row>
    <row r="290" spans="1:7" x14ac:dyDescent="0.3">
      <c r="B290" s="35">
        <v>756000</v>
      </c>
      <c r="C290" s="36" t="s">
        <v>145</v>
      </c>
      <c r="D290" s="39" t="s">
        <v>174</v>
      </c>
      <c r="E290" s="38">
        <v>154.97999999999999</v>
      </c>
      <c r="F290" s="38">
        <v>148.55000000000001</v>
      </c>
      <c r="G290" s="38">
        <f t="shared" si="17"/>
        <v>23022.278999999999</v>
      </c>
    </row>
    <row r="291" spans="1:7" x14ac:dyDescent="0.3">
      <c r="B291" s="35">
        <v>795890</v>
      </c>
      <c r="C291" s="36" t="s">
        <v>107</v>
      </c>
      <c r="D291" s="39" t="s">
        <v>175</v>
      </c>
      <c r="E291" s="38">
        <v>18.38</v>
      </c>
      <c r="F291" s="38">
        <v>51.64</v>
      </c>
      <c r="G291" s="38">
        <f t="shared" si="17"/>
        <v>949.14319999999998</v>
      </c>
    </row>
    <row r="292" spans="1:7" x14ac:dyDescent="0.3">
      <c r="B292" s="35">
        <v>792330</v>
      </c>
      <c r="C292" s="36" t="s">
        <v>140</v>
      </c>
      <c r="D292" s="39" t="s">
        <v>175</v>
      </c>
      <c r="E292" s="38">
        <v>18.38</v>
      </c>
      <c r="F292" s="38">
        <v>632.45000000000005</v>
      </c>
      <c r="G292" s="38">
        <f t="shared" si="17"/>
        <v>11624.431</v>
      </c>
    </row>
    <row r="293" spans="1:7" x14ac:dyDescent="0.3">
      <c r="B293" s="35">
        <v>712000</v>
      </c>
      <c r="C293" s="36" t="s">
        <v>142</v>
      </c>
      <c r="D293" s="39" t="s">
        <v>175</v>
      </c>
      <c r="E293" s="38">
        <v>107.62</v>
      </c>
      <c r="F293" s="38">
        <v>145.72</v>
      </c>
      <c r="G293" s="38">
        <f t="shared" si="17"/>
        <v>15682.386400000001</v>
      </c>
    </row>
    <row r="294" spans="1:7" x14ac:dyDescent="0.3">
      <c r="B294" s="35">
        <v>711000</v>
      </c>
      <c r="C294" s="36" t="s">
        <v>125</v>
      </c>
      <c r="D294" s="39" t="s">
        <v>177</v>
      </c>
      <c r="E294" s="38">
        <v>115.64</v>
      </c>
      <c r="F294" s="38">
        <v>89.48</v>
      </c>
      <c r="G294" s="38">
        <f t="shared" si="17"/>
        <v>10347.467200000001</v>
      </c>
    </row>
    <row r="295" spans="1:7" ht="27.6" x14ac:dyDescent="0.3">
      <c r="B295" s="35">
        <v>795010</v>
      </c>
      <c r="C295" s="36" t="s">
        <v>146</v>
      </c>
      <c r="D295" s="39" t="s">
        <v>175</v>
      </c>
      <c r="E295" s="38">
        <v>0.18</v>
      </c>
      <c r="F295" s="38">
        <v>3892.28</v>
      </c>
      <c r="G295" s="38">
        <f t="shared" si="17"/>
        <v>700.61040000000003</v>
      </c>
    </row>
    <row r="296" spans="1:7" x14ac:dyDescent="0.3">
      <c r="A296" s="44"/>
      <c r="B296" s="45"/>
      <c r="C296" s="46" t="s">
        <v>73</v>
      </c>
      <c r="D296" s="47"/>
      <c r="E296" s="47"/>
      <c r="F296" s="47"/>
      <c r="G296" s="48">
        <f>SUBTOTAL(9,G289:G295)</f>
        <v>102822.57920000001</v>
      </c>
    </row>
    <row r="297" spans="1:7" x14ac:dyDescent="0.3">
      <c r="B297" s="49"/>
      <c r="C297" s="49"/>
      <c r="D297" s="50"/>
      <c r="E297" s="51"/>
      <c r="F297" s="51"/>
      <c r="G297" s="51"/>
    </row>
    <row r="298" spans="1:7" x14ac:dyDescent="0.3">
      <c r="A298" s="23"/>
      <c r="B298" s="24" t="s">
        <v>179</v>
      </c>
      <c r="C298" s="25"/>
      <c r="D298" s="25"/>
      <c r="E298" s="25"/>
      <c r="F298" s="25"/>
      <c r="G298" s="26"/>
    </row>
    <row r="299" spans="1:7" x14ac:dyDescent="0.3">
      <c r="A299" s="27"/>
      <c r="B299" s="28" t="s">
        <v>127</v>
      </c>
      <c r="C299" s="28" t="s">
        <v>128</v>
      </c>
      <c r="D299" s="28" t="s">
        <v>129</v>
      </c>
      <c r="E299" s="29" t="s">
        <v>130</v>
      </c>
      <c r="F299" s="29" t="s">
        <v>131</v>
      </c>
      <c r="G299" s="29" t="s">
        <v>132</v>
      </c>
    </row>
    <row r="300" spans="1:7" x14ac:dyDescent="0.3">
      <c r="B300" s="35">
        <v>730000</v>
      </c>
      <c r="C300" s="36" t="s">
        <v>104</v>
      </c>
      <c r="D300" s="39" t="s">
        <v>174</v>
      </c>
      <c r="E300" s="38">
        <v>16858.45</v>
      </c>
      <c r="F300" s="38">
        <v>16.95</v>
      </c>
      <c r="G300" s="38">
        <f t="shared" ref="G300:G323" si="18">+E300*F300</f>
        <v>285750.72749999998</v>
      </c>
    </row>
    <row r="301" spans="1:7" x14ac:dyDescent="0.3">
      <c r="B301" s="35">
        <v>707000</v>
      </c>
      <c r="C301" s="36" t="s">
        <v>148</v>
      </c>
      <c r="D301" s="39" t="s">
        <v>177</v>
      </c>
      <c r="E301" s="38">
        <v>6.27</v>
      </c>
      <c r="F301" s="38">
        <v>54.56</v>
      </c>
      <c r="G301" s="38">
        <f t="shared" si="18"/>
        <v>342.09120000000001</v>
      </c>
    </row>
    <row r="302" spans="1:7" x14ac:dyDescent="0.3">
      <c r="B302" s="35">
        <v>745000</v>
      </c>
      <c r="C302" s="36" t="s">
        <v>149</v>
      </c>
      <c r="D302" s="39" t="s">
        <v>175</v>
      </c>
      <c r="E302" s="38">
        <v>0.06</v>
      </c>
      <c r="F302" s="38">
        <v>683.65</v>
      </c>
      <c r="G302" s="38">
        <f t="shared" si="18"/>
        <v>41.018999999999998</v>
      </c>
    </row>
    <row r="303" spans="1:7" x14ac:dyDescent="0.3">
      <c r="B303" s="35">
        <v>795890</v>
      </c>
      <c r="C303" s="36" t="s">
        <v>107</v>
      </c>
      <c r="D303" s="39" t="s">
        <v>175</v>
      </c>
      <c r="E303" s="38">
        <v>149.97</v>
      </c>
      <c r="F303" s="38">
        <v>51.64</v>
      </c>
      <c r="G303" s="38">
        <f t="shared" si="18"/>
        <v>7744.4507999999996</v>
      </c>
    </row>
    <row r="304" spans="1:7" x14ac:dyDescent="0.3">
      <c r="B304" s="35">
        <v>795651</v>
      </c>
      <c r="C304" s="36" t="s">
        <v>150</v>
      </c>
      <c r="D304" s="39" t="s">
        <v>139</v>
      </c>
      <c r="E304" s="38">
        <v>88</v>
      </c>
      <c r="F304" s="38">
        <v>29.16</v>
      </c>
      <c r="G304" s="38">
        <f t="shared" si="18"/>
        <v>2566.08</v>
      </c>
    </row>
    <row r="305" spans="2:7" x14ac:dyDescent="0.3">
      <c r="B305" s="35">
        <v>795648</v>
      </c>
      <c r="C305" s="36" t="s">
        <v>151</v>
      </c>
      <c r="D305" s="39" t="s">
        <v>139</v>
      </c>
      <c r="E305" s="38">
        <v>170</v>
      </c>
      <c r="F305" s="38">
        <v>64.81</v>
      </c>
      <c r="G305" s="38">
        <f t="shared" si="18"/>
        <v>11017.7</v>
      </c>
    </row>
    <row r="306" spans="2:7" ht="27.6" x14ac:dyDescent="0.3">
      <c r="B306" s="35">
        <v>792589</v>
      </c>
      <c r="C306" s="36" t="s">
        <v>180</v>
      </c>
      <c r="D306" s="39" t="s">
        <v>139</v>
      </c>
      <c r="E306" s="38">
        <v>6</v>
      </c>
      <c r="F306" s="38">
        <v>17077.45</v>
      </c>
      <c r="G306" s="38">
        <f t="shared" si="18"/>
        <v>102464.70000000001</v>
      </c>
    </row>
    <row r="307" spans="2:7" x14ac:dyDescent="0.3">
      <c r="B307" s="35">
        <v>792350</v>
      </c>
      <c r="C307" s="36" t="s">
        <v>134</v>
      </c>
      <c r="D307" s="39" t="s">
        <v>175</v>
      </c>
      <c r="E307" s="38">
        <v>10</v>
      </c>
      <c r="F307" s="38">
        <v>565.47</v>
      </c>
      <c r="G307" s="38">
        <f t="shared" si="18"/>
        <v>5654.7000000000007</v>
      </c>
    </row>
    <row r="308" spans="2:7" x14ac:dyDescent="0.3">
      <c r="B308" s="35">
        <v>792330</v>
      </c>
      <c r="C308" s="36" t="s">
        <v>140</v>
      </c>
      <c r="D308" s="39" t="s">
        <v>175</v>
      </c>
      <c r="E308" s="38">
        <v>29.04</v>
      </c>
      <c r="F308" s="38">
        <v>632.45000000000005</v>
      </c>
      <c r="G308" s="38">
        <f t="shared" si="18"/>
        <v>18366.348000000002</v>
      </c>
    </row>
    <row r="309" spans="2:7" x14ac:dyDescent="0.3">
      <c r="B309" s="35">
        <v>795850</v>
      </c>
      <c r="C309" s="36" t="s">
        <v>153</v>
      </c>
      <c r="D309" s="39" t="s">
        <v>175</v>
      </c>
      <c r="E309" s="38">
        <v>69.33</v>
      </c>
      <c r="F309" s="38">
        <v>658.85</v>
      </c>
      <c r="G309" s="38">
        <f t="shared" si="18"/>
        <v>45678.070500000002</v>
      </c>
    </row>
    <row r="310" spans="2:7" x14ac:dyDescent="0.3">
      <c r="B310" s="35">
        <v>793650</v>
      </c>
      <c r="C310" s="36" t="s">
        <v>154</v>
      </c>
      <c r="D310" s="39" t="s">
        <v>175</v>
      </c>
      <c r="E310" s="38">
        <v>51.6</v>
      </c>
      <c r="F310" s="38">
        <v>764.65</v>
      </c>
      <c r="G310" s="38">
        <f t="shared" si="18"/>
        <v>39455.94</v>
      </c>
    </row>
    <row r="311" spans="2:7" x14ac:dyDescent="0.3">
      <c r="B311" s="35">
        <v>713000</v>
      </c>
      <c r="C311" s="36" t="s">
        <v>155</v>
      </c>
      <c r="D311" s="39" t="s">
        <v>175</v>
      </c>
      <c r="E311" s="38">
        <v>39.17</v>
      </c>
      <c r="F311" s="38">
        <v>91.35</v>
      </c>
      <c r="G311" s="38">
        <f t="shared" si="18"/>
        <v>3578.1794999999997</v>
      </c>
    </row>
    <row r="312" spans="2:7" x14ac:dyDescent="0.3">
      <c r="B312" s="35">
        <v>711000</v>
      </c>
      <c r="C312" s="36" t="s">
        <v>125</v>
      </c>
      <c r="D312" s="39" t="s">
        <v>177</v>
      </c>
      <c r="E312" s="38">
        <v>734</v>
      </c>
      <c r="F312" s="38">
        <v>89.48</v>
      </c>
      <c r="G312" s="38">
        <f t="shared" si="18"/>
        <v>65678.320000000007</v>
      </c>
    </row>
    <row r="313" spans="2:7" x14ac:dyDescent="0.3">
      <c r="B313" s="35">
        <v>796310</v>
      </c>
      <c r="C313" s="36" t="s">
        <v>156</v>
      </c>
      <c r="D313" s="39" t="s">
        <v>174</v>
      </c>
      <c r="E313" s="38">
        <v>2566.02</v>
      </c>
      <c r="F313" s="38">
        <v>15.53</v>
      </c>
      <c r="G313" s="38">
        <f t="shared" si="18"/>
        <v>39850.2906</v>
      </c>
    </row>
    <row r="314" spans="2:7" x14ac:dyDescent="0.3">
      <c r="B314" s="35">
        <v>795996</v>
      </c>
      <c r="C314" s="36" t="s">
        <v>181</v>
      </c>
      <c r="D314" s="39" t="s">
        <v>139</v>
      </c>
      <c r="E314" s="38">
        <v>24</v>
      </c>
      <c r="F314" s="38">
        <v>709.91</v>
      </c>
      <c r="G314" s="38">
        <f t="shared" si="18"/>
        <v>17037.84</v>
      </c>
    </row>
    <row r="315" spans="2:7" x14ac:dyDescent="0.3">
      <c r="B315" s="35">
        <v>795990</v>
      </c>
      <c r="C315" s="36" t="s">
        <v>158</v>
      </c>
      <c r="D315" s="39" t="s">
        <v>139</v>
      </c>
      <c r="E315" s="38">
        <v>4</v>
      </c>
      <c r="F315" s="38">
        <v>526.32000000000005</v>
      </c>
      <c r="G315" s="38">
        <f t="shared" si="18"/>
        <v>2105.2800000000002</v>
      </c>
    </row>
    <row r="316" spans="2:7" x14ac:dyDescent="0.3">
      <c r="B316" s="35">
        <v>796386</v>
      </c>
      <c r="C316" s="36" t="s">
        <v>182</v>
      </c>
      <c r="D316" s="39" t="s">
        <v>139</v>
      </c>
      <c r="E316" s="38">
        <v>12</v>
      </c>
      <c r="F316" s="38">
        <v>161.38999999999999</v>
      </c>
      <c r="G316" s="38">
        <f t="shared" si="18"/>
        <v>1936.6799999999998</v>
      </c>
    </row>
    <row r="317" spans="2:7" x14ac:dyDescent="0.3">
      <c r="B317" s="35">
        <v>796470</v>
      </c>
      <c r="C317" s="36" t="s">
        <v>183</v>
      </c>
      <c r="D317" s="39" t="s">
        <v>176</v>
      </c>
      <c r="E317" s="38">
        <v>334.8</v>
      </c>
      <c r="F317" s="38">
        <v>28.85</v>
      </c>
      <c r="G317" s="38">
        <f t="shared" si="18"/>
        <v>9658.9800000000014</v>
      </c>
    </row>
    <row r="318" spans="2:7" x14ac:dyDescent="0.3">
      <c r="B318" s="35">
        <v>796430</v>
      </c>
      <c r="C318" s="36" t="s">
        <v>159</v>
      </c>
      <c r="D318" s="39" t="s">
        <v>176</v>
      </c>
      <c r="E318" s="38">
        <v>25</v>
      </c>
      <c r="F318" s="38">
        <v>22.32</v>
      </c>
      <c r="G318" s="38">
        <f t="shared" si="18"/>
        <v>558</v>
      </c>
    </row>
    <row r="319" spans="2:7" x14ac:dyDescent="0.3">
      <c r="B319" s="35">
        <v>791462</v>
      </c>
      <c r="C319" s="36" t="s">
        <v>161</v>
      </c>
      <c r="D319" s="39" t="s">
        <v>139</v>
      </c>
      <c r="E319" s="38">
        <v>10</v>
      </c>
      <c r="F319" s="38">
        <v>63.14</v>
      </c>
      <c r="G319" s="38">
        <f t="shared" si="18"/>
        <v>631.4</v>
      </c>
    </row>
    <row r="320" spans="2:7" ht="27.6" x14ac:dyDescent="0.3">
      <c r="B320" s="35">
        <v>797880</v>
      </c>
      <c r="C320" s="36" t="s">
        <v>163</v>
      </c>
      <c r="D320" s="39" t="s">
        <v>176</v>
      </c>
      <c r="E320" s="38">
        <v>26.2</v>
      </c>
      <c r="F320" s="38">
        <v>1217.6400000000001</v>
      </c>
      <c r="G320" s="38">
        <f t="shared" si="18"/>
        <v>31902.168000000001</v>
      </c>
    </row>
    <row r="321" spans="1:7" x14ac:dyDescent="0.3">
      <c r="B321" s="35">
        <v>757000</v>
      </c>
      <c r="C321" s="36" t="s">
        <v>164</v>
      </c>
      <c r="D321" s="39" t="s">
        <v>176</v>
      </c>
      <c r="E321" s="38">
        <v>25</v>
      </c>
      <c r="F321" s="38">
        <v>267.08999999999997</v>
      </c>
      <c r="G321" s="38">
        <f t="shared" si="18"/>
        <v>6677.2499999999991</v>
      </c>
    </row>
    <row r="322" spans="1:7" x14ac:dyDescent="0.3">
      <c r="B322" s="35">
        <v>707100</v>
      </c>
      <c r="C322" s="36" t="s">
        <v>165</v>
      </c>
      <c r="D322" s="39" t="s">
        <v>177</v>
      </c>
      <c r="E322" s="38">
        <v>6.27</v>
      </c>
      <c r="F322" s="38">
        <v>17.22</v>
      </c>
      <c r="G322" s="38">
        <f t="shared" si="18"/>
        <v>107.96939999999998</v>
      </c>
    </row>
    <row r="323" spans="1:7" ht="27.6" x14ac:dyDescent="0.3">
      <c r="B323" s="35">
        <v>798880</v>
      </c>
      <c r="C323" s="36" t="s">
        <v>166</v>
      </c>
      <c r="D323" s="39" t="s">
        <v>177</v>
      </c>
      <c r="E323" s="38">
        <v>17.46</v>
      </c>
      <c r="F323" s="38">
        <v>76.83</v>
      </c>
      <c r="G323" s="38">
        <f t="shared" si="18"/>
        <v>1341.4518</v>
      </c>
    </row>
    <row r="324" spans="1:7" x14ac:dyDescent="0.3">
      <c r="A324" s="44"/>
      <c r="B324" s="45"/>
      <c r="C324" s="46" t="s">
        <v>73</v>
      </c>
      <c r="D324" s="47"/>
      <c r="E324" s="47"/>
      <c r="F324" s="47"/>
      <c r="G324" s="48">
        <f>SUBTOTAL(9,G300:G323)</f>
        <v>700145.6362999999</v>
      </c>
    </row>
    <row r="325" spans="1:7" x14ac:dyDescent="0.3">
      <c r="B325" s="49"/>
      <c r="C325" s="49"/>
      <c r="D325" s="50"/>
      <c r="E325" s="51"/>
      <c r="F325" s="51"/>
      <c r="G325" s="51"/>
    </row>
    <row r="326" spans="1:7" x14ac:dyDescent="0.3">
      <c r="A326" s="44"/>
      <c r="B326" s="45"/>
      <c r="C326" s="46" t="s">
        <v>42</v>
      </c>
      <c r="D326" s="47"/>
      <c r="E326" s="47"/>
      <c r="F326" s="47"/>
      <c r="G326" s="48">
        <f>SUBTOTAL(9,G274:G325)</f>
        <v>1218462.2582999999</v>
      </c>
    </row>
    <row r="327" spans="1:7" x14ac:dyDescent="0.3">
      <c r="B327" s="49"/>
      <c r="C327" s="49"/>
      <c r="D327" s="50"/>
      <c r="E327" s="51"/>
      <c r="F327" s="51"/>
      <c r="G327" s="51"/>
    </row>
    <row r="328" spans="1:7" x14ac:dyDescent="0.3">
      <c r="A328" s="23"/>
      <c r="B328" s="24" t="s">
        <v>184</v>
      </c>
      <c r="C328" s="25"/>
      <c r="D328" s="25"/>
      <c r="E328" s="25"/>
      <c r="F328" s="25"/>
      <c r="G328" s="26"/>
    </row>
    <row r="329" spans="1:7" x14ac:dyDescent="0.3">
      <c r="A329" s="23"/>
      <c r="B329" s="24" t="s">
        <v>185</v>
      </c>
      <c r="C329" s="25"/>
      <c r="D329" s="25"/>
      <c r="E329" s="25"/>
      <c r="F329" s="25"/>
      <c r="G329" s="26"/>
    </row>
    <row r="330" spans="1:7" x14ac:dyDescent="0.3">
      <c r="A330" s="27"/>
      <c r="B330" s="28" t="s">
        <v>127</v>
      </c>
      <c r="C330" s="28" t="s">
        <v>128</v>
      </c>
      <c r="D330" s="28" t="s">
        <v>129</v>
      </c>
      <c r="E330" s="29" t="s">
        <v>130</v>
      </c>
      <c r="F330" s="29" t="s">
        <v>131</v>
      </c>
      <c r="G330" s="29" t="s">
        <v>132</v>
      </c>
    </row>
    <row r="331" spans="1:7" x14ac:dyDescent="0.3">
      <c r="B331" s="35">
        <v>730000</v>
      </c>
      <c r="C331" s="36" t="s">
        <v>104</v>
      </c>
      <c r="D331" s="39" t="s">
        <v>174</v>
      </c>
      <c r="E331" s="38">
        <v>11205.21</v>
      </c>
      <c r="F331" s="38">
        <v>16.95</v>
      </c>
      <c r="G331" s="38">
        <f t="shared" ref="G331:G341" si="19">+E331*F331</f>
        <v>189928.30949999997</v>
      </c>
    </row>
    <row r="332" spans="1:7" x14ac:dyDescent="0.3">
      <c r="B332" s="35">
        <v>722500</v>
      </c>
      <c r="C332" s="36" t="s">
        <v>137</v>
      </c>
      <c r="D332" s="39" t="s">
        <v>175</v>
      </c>
      <c r="E332" s="38">
        <v>18.11</v>
      </c>
      <c r="F332" s="38">
        <v>1143.8</v>
      </c>
      <c r="G332" s="38">
        <f t="shared" si="19"/>
        <v>20714.217999999997</v>
      </c>
    </row>
    <row r="333" spans="1:7" x14ac:dyDescent="0.3">
      <c r="B333" s="35">
        <v>794337</v>
      </c>
      <c r="C333" s="36" t="s">
        <v>138</v>
      </c>
      <c r="D333" s="39" t="s">
        <v>139</v>
      </c>
      <c r="E333" s="38">
        <v>24</v>
      </c>
      <c r="F333" s="38">
        <v>63.69</v>
      </c>
      <c r="G333" s="38">
        <f t="shared" si="19"/>
        <v>1528.56</v>
      </c>
    </row>
    <row r="334" spans="1:7" x14ac:dyDescent="0.3">
      <c r="B334" s="35">
        <v>795890</v>
      </c>
      <c r="C334" s="36" t="s">
        <v>107</v>
      </c>
      <c r="D334" s="39" t="s">
        <v>175</v>
      </c>
      <c r="E334" s="38">
        <v>39.96</v>
      </c>
      <c r="F334" s="38">
        <v>51.64</v>
      </c>
      <c r="G334" s="38">
        <f t="shared" si="19"/>
        <v>2063.5344</v>
      </c>
    </row>
    <row r="335" spans="1:7" x14ac:dyDescent="0.3">
      <c r="B335" s="35">
        <v>792350</v>
      </c>
      <c r="C335" s="36" t="s">
        <v>134</v>
      </c>
      <c r="D335" s="39" t="s">
        <v>175</v>
      </c>
      <c r="E335" s="38">
        <v>4.92</v>
      </c>
      <c r="F335" s="38">
        <v>565.47</v>
      </c>
      <c r="G335" s="38">
        <f t="shared" si="19"/>
        <v>2782.1124</v>
      </c>
    </row>
    <row r="336" spans="1:7" x14ac:dyDescent="0.3">
      <c r="B336" s="35">
        <v>792330</v>
      </c>
      <c r="C336" s="36" t="s">
        <v>140</v>
      </c>
      <c r="D336" s="39" t="s">
        <v>175</v>
      </c>
      <c r="E336" s="38">
        <v>39.96</v>
      </c>
      <c r="F336" s="38">
        <v>632.45000000000005</v>
      </c>
      <c r="G336" s="38">
        <f t="shared" si="19"/>
        <v>25272.702000000001</v>
      </c>
    </row>
    <row r="337" spans="1:7" x14ac:dyDescent="0.3">
      <c r="B337" s="35">
        <v>702100</v>
      </c>
      <c r="C337" s="36" t="s">
        <v>141</v>
      </c>
      <c r="D337" s="39" t="s">
        <v>175</v>
      </c>
      <c r="E337" s="38">
        <v>480.48</v>
      </c>
      <c r="F337" s="38">
        <v>49.77</v>
      </c>
      <c r="G337" s="38">
        <f t="shared" si="19"/>
        <v>23913.489600000001</v>
      </c>
    </row>
    <row r="338" spans="1:7" x14ac:dyDescent="0.3">
      <c r="B338" s="35">
        <v>712000</v>
      </c>
      <c r="C338" s="36" t="s">
        <v>142</v>
      </c>
      <c r="D338" s="39" t="s">
        <v>175</v>
      </c>
      <c r="E338" s="38">
        <v>110.23</v>
      </c>
      <c r="F338" s="38">
        <v>145.72</v>
      </c>
      <c r="G338" s="38">
        <f t="shared" si="19"/>
        <v>16062.715600000001</v>
      </c>
    </row>
    <row r="339" spans="1:7" x14ac:dyDescent="0.3">
      <c r="B339" s="35">
        <v>793580</v>
      </c>
      <c r="C339" s="36" t="s">
        <v>143</v>
      </c>
      <c r="D339" s="39" t="s">
        <v>176</v>
      </c>
      <c r="E339" s="38">
        <v>240</v>
      </c>
      <c r="F339" s="38">
        <v>514.24</v>
      </c>
      <c r="G339" s="38">
        <f t="shared" si="19"/>
        <v>123417.60000000001</v>
      </c>
    </row>
    <row r="340" spans="1:7" x14ac:dyDescent="0.3">
      <c r="B340" s="35">
        <v>711000</v>
      </c>
      <c r="C340" s="36" t="s">
        <v>125</v>
      </c>
      <c r="D340" s="39" t="s">
        <v>177</v>
      </c>
      <c r="E340" s="38">
        <v>59.29</v>
      </c>
      <c r="F340" s="38">
        <v>89.48</v>
      </c>
      <c r="G340" s="38">
        <f t="shared" si="19"/>
        <v>5305.2691999999997</v>
      </c>
    </row>
    <row r="341" spans="1:7" x14ac:dyDescent="0.3">
      <c r="B341" s="35">
        <v>705000</v>
      </c>
      <c r="C341" s="36" t="s">
        <v>92</v>
      </c>
      <c r="D341" s="39" t="s">
        <v>175</v>
      </c>
      <c r="E341" s="38">
        <v>202.46</v>
      </c>
      <c r="F341" s="38">
        <v>30.29</v>
      </c>
      <c r="G341" s="38">
        <f t="shared" si="19"/>
        <v>6132.5133999999998</v>
      </c>
    </row>
    <row r="342" spans="1:7" x14ac:dyDescent="0.3">
      <c r="A342" s="44"/>
      <c r="B342" s="45"/>
      <c r="C342" s="46" t="s">
        <v>73</v>
      </c>
      <c r="D342" s="47"/>
      <c r="E342" s="47"/>
      <c r="F342" s="47"/>
      <c r="G342" s="48">
        <f>SUBTOTAL(9,G331:G341)</f>
        <v>417121.02409999998</v>
      </c>
    </row>
    <row r="343" spans="1:7" x14ac:dyDescent="0.3">
      <c r="B343" s="49"/>
      <c r="C343" s="49"/>
      <c r="D343" s="50"/>
      <c r="E343" s="51"/>
      <c r="F343" s="51"/>
      <c r="G343" s="51"/>
    </row>
    <row r="344" spans="1:7" x14ac:dyDescent="0.3">
      <c r="A344" s="23"/>
      <c r="B344" s="24" t="s">
        <v>186</v>
      </c>
      <c r="C344" s="25"/>
      <c r="D344" s="25"/>
      <c r="E344" s="25"/>
      <c r="F344" s="25"/>
      <c r="G344" s="26"/>
    </row>
    <row r="345" spans="1:7" x14ac:dyDescent="0.3">
      <c r="A345" s="27"/>
      <c r="B345" s="28" t="s">
        <v>127</v>
      </c>
      <c r="C345" s="28" t="s">
        <v>128</v>
      </c>
      <c r="D345" s="28" t="s">
        <v>129</v>
      </c>
      <c r="E345" s="29" t="s">
        <v>130</v>
      </c>
      <c r="F345" s="29" t="s">
        <v>131</v>
      </c>
      <c r="G345" s="29" t="s">
        <v>132</v>
      </c>
    </row>
    <row r="346" spans="1:7" x14ac:dyDescent="0.3">
      <c r="B346" s="35">
        <v>730000</v>
      </c>
      <c r="C346" s="36" t="s">
        <v>104</v>
      </c>
      <c r="D346" s="39" t="s">
        <v>174</v>
      </c>
      <c r="E346" s="38">
        <v>2389.16</v>
      </c>
      <c r="F346" s="38">
        <v>16.95</v>
      </c>
      <c r="G346" s="38">
        <f t="shared" ref="G346:G352" si="20">+E346*F346</f>
        <v>40496.261999999995</v>
      </c>
    </row>
    <row r="347" spans="1:7" x14ac:dyDescent="0.3">
      <c r="B347" s="35">
        <v>756000</v>
      </c>
      <c r="C347" s="36" t="s">
        <v>145</v>
      </c>
      <c r="D347" s="39" t="s">
        <v>174</v>
      </c>
      <c r="E347" s="38">
        <v>154.97999999999999</v>
      </c>
      <c r="F347" s="38">
        <v>148.55000000000001</v>
      </c>
      <c r="G347" s="38">
        <f t="shared" si="20"/>
        <v>23022.278999999999</v>
      </c>
    </row>
    <row r="348" spans="1:7" x14ac:dyDescent="0.3">
      <c r="B348" s="35">
        <v>795890</v>
      </c>
      <c r="C348" s="36" t="s">
        <v>107</v>
      </c>
      <c r="D348" s="39" t="s">
        <v>175</v>
      </c>
      <c r="E348" s="38">
        <v>18.38</v>
      </c>
      <c r="F348" s="38">
        <v>51.64</v>
      </c>
      <c r="G348" s="38">
        <f t="shared" si="20"/>
        <v>949.14319999999998</v>
      </c>
    </row>
    <row r="349" spans="1:7" x14ac:dyDescent="0.3">
      <c r="B349" s="35">
        <v>792330</v>
      </c>
      <c r="C349" s="36" t="s">
        <v>140</v>
      </c>
      <c r="D349" s="39" t="s">
        <v>175</v>
      </c>
      <c r="E349" s="38">
        <v>18.38</v>
      </c>
      <c r="F349" s="38">
        <v>632.45000000000005</v>
      </c>
      <c r="G349" s="38">
        <f t="shared" si="20"/>
        <v>11624.431</v>
      </c>
    </row>
    <row r="350" spans="1:7" x14ac:dyDescent="0.3">
      <c r="B350" s="35">
        <v>712000</v>
      </c>
      <c r="C350" s="36" t="s">
        <v>142</v>
      </c>
      <c r="D350" s="39" t="s">
        <v>175</v>
      </c>
      <c r="E350" s="38">
        <v>107.62</v>
      </c>
      <c r="F350" s="38">
        <v>145.72</v>
      </c>
      <c r="G350" s="38">
        <f t="shared" si="20"/>
        <v>15682.386400000001</v>
      </c>
    </row>
    <row r="351" spans="1:7" x14ac:dyDescent="0.3">
      <c r="B351" s="35">
        <v>711000</v>
      </c>
      <c r="C351" s="36" t="s">
        <v>125</v>
      </c>
      <c r="D351" s="39" t="s">
        <v>177</v>
      </c>
      <c r="E351" s="38">
        <v>115.64</v>
      </c>
      <c r="F351" s="38">
        <v>89.48</v>
      </c>
      <c r="G351" s="38">
        <f t="shared" si="20"/>
        <v>10347.467200000001</v>
      </c>
    </row>
    <row r="352" spans="1:7" ht="27.6" x14ac:dyDescent="0.3">
      <c r="B352" s="35">
        <v>795010</v>
      </c>
      <c r="C352" s="36" t="s">
        <v>146</v>
      </c>
      <c r="D352" s="39" t="s">
        <v>175</v>
      </c>
      <c r="E352" s="38">
        <v>0.18</v>
      </c>
      <c r="F352" s="38">
        <v>3892.28</v>
      </c>
      <c r="G352" s="38">
        <f t="shared" si="20"/>
        <v>700.61040000000003</v>
      </c>
    </row>
    <row r="353" spans="1:7" x14ac:dyDescent="0.3">
      <c r="A353" s="44"/>
      <c r="B353" s="45"/>
      <c r="C353" s="46" t="s">
        <v>73</v>
      </c>
      <c r="D353" s="47"/>
      <c r="E353" s="47"/>
      <c r="F353" s="47"/>
      <c r="G353" s="48">
        <f>SUBTOTAL(9,G346:G352)</f>
        <v>102822.57920000001</v>
      </c>
    </row>
    <row r="354" spans="1:7" x14ac:dyDescent="0.3">
      <c r="B354" s="49"/>
      <c r="C354" s="49"/>
      <c r="D354" s="50"/>
      <c r="E354" s="51"/>
      <c r="F354" s="51"/>
      <c r="G354" s="51"/>
    </row>
    <row r="355" spans="1:7" x14ac:dyDescent="0.3">
      <c r="A355" s="23"/>
      <c r="B355" s="24" t="s">
        <v>187</v>
      </c>
      <c r="C355" s="25"/>
      <c r="D355" s="25"/>
      <c r="E355" s="25"/>
      <c r="F355" s="25"/>
      <c r="G355" s="26"/>
    </row>
    <row r="356" spans="1:7" x14ac:dyDescent="0.3">
      <c r="A356" s="27"/>
      <c r="B356" s="28" t="s">
        <v>127</v>
      </c>
      <c r="C356" s="28" t="s">
        <v>128</v>
      </c>
      <c r="D356" s="28" t="s">
        <v>129</v>
      </c>
      <c r="E356" s="29" t="s">
        <v>130</v>
      </c>
      <c r="F356" s="29" t="s">
        <v>131</v>
      </c>
      <c r="G356" s="29" t="s">
        <v>132</v>
      </c>
    </row>
    <row r="357" spans="1:7" x14ac:dyDescent="0.3">
      <c r="B357" s="35">
        <v>730000</v>
      </c>
      <c r="C357" s="36" t="s">
        <v>104</v>
      </c>
      <c r="D357" s="39" t="s">
        <v>174</v>
      </c>
      <c r="E357" s="38">
        <v>16858.45</v>
      </c>
      <c r="F357" s="38">
        <v>16.95</v>
      </c>
      <c r="G357" s="38">
        <f t="shared" ref="G357:G380" si="21">+E357*F357</f>
        <v>285750.72749999998</v>
      </c>
    </row>
    <row r="358" spans="1:7" x14ac:dyDescent="0.3">
      <c r="B358" s="35">
        <v>707000</v>
      </c>
      <c r="C358" s="36" t="s">
        <v>148</v>
      </c>
      <c r="D358" s="39" t="s">
        <v>177</v>
      </c>
      <c r="E358" s="38">
        <v>6.27</v>
      </c>
      <c r="F358" s="38">
        <v>54.56</v>
      </c>
      <c r="G358" s="38">
        <f t="shared" si="21"/>
        <v>342.09120000000001</v>
      </c>
    </row>
    <row r="359" spans="1:7" x14ac:dyDescent="0.3">
      <c r="B359" s="35">
        <v>745000</v>
      </c>
      <c r="C359" s="36" t="s">
        <v>149</v>
      </c>
      <c r="D359" s="39" t="s">
        <v>175</v>
      </c>
      <c r="E359" s="38">
        <v>0.06</v>
      </c>
      <c r="F359" s="38">
        <v>683.65</v>
      </c>
      <c r="G359" s="38">
        <f t="shared" si="21"/>
        <v>41.018999999999998</v>
      </c>
    </row>
    <row r="360" spans="1:7" x14ac:dyDescent="0.3">
      <c r="B360" s="35">
        <v>795890</v>
      </c>
      <c r="C360" s="36" t="s">
        <v>107</v>
      </c>
      <c r="D360" s="39" t="s">
        <v>175</v>
      </c>
      <c r="E360" s="38">
        <v>149.97</v>
      </c>
      <c r="F360" s="38">
        <v>51.64</v>
      </c>
      <c r="G360" s="38">
        <f t="shared" si="21"/>
        <v>7744.4507999999996</v>
      </c>
    </row>
    <row r="361" spans="1:7" x14ac:dyDescent="0.3">
      <c r="B361" s="35">
        <v>795651</v>
      </c>
      <c r="C361" s="36" t="s">
        <v>150</v>
      </c>
      <c r="D361" s="39" t="s">
        <v>139</v>
      </c>
      <c r="E361" s="38">
        <v>88</v>
      </c>
      <c r="F361" s="38">
        <v>29.16</v>
      </c>
      <c r="G361" s="38">
        <f t="shared" si="21"/>
        <v>2566.08</v>
      </c>
    </row>
    <row r="362" spans="1:7" x14ac:dyDescent="0.3">
      <c r="B362" s="35">
        <v>795648</v>
      </c>
      <c r="C362" s="36" t="s">
        <v>151</v>
      </c>
      <c r="D362" s="39" t="s">
        <v>139</v>
      </c>
      <c r="E362" s="38">
        <v>170</v>
      </c>
      <c r="F362" s="38">
        <v>64.81</v>
      </c>
      <c r="G362" s="38">
        <f t="shared" si="21"/>
        <v>11017.7</v>
      </c>
    </row>
    <row r="363" spans="1:7" ht="27.6" x14ac:dyDescent="0.3">
      <c r="B363" s="35">
        <v>792589</v>
      </c>
      <c r="C363" s="36" t="s">
        <v>180</v>
      </c>
      <c r="D363" s="39" t="s">
        <v>139</v>
      </c>
      <c r="E363" s="38">
        <v>6</v>
      </c>
      <c r="F363" s="38">
        <v>17077.45</v>
      </c>
      <c r="G363" s="38">
        <f t="shared" si="21"/>
        <v>102464.70000000001</v>
      </c>
    </row>
    <row r="364" spans="1:7" x14ac:dyDescent="0.3">
      <c r="B364" s="35">
        <v>792350</v>
      </c>
      <c r="C364" s="36" t="s">
        <v>134</v>
      </c>
      <c r="D364" s="39" t="s">
        <v>175</v>
      </c>
      <c r="E364" s="38">
        <v>10</v>
      </c>
      <c r="F364" s="38">
        <v>565.47</v>
      </c>
      <c r="G364" s="38">
        <f t="shared" si="21"/>
        <v>5654.7000000000007</v>
      </c>
    </row>
    <row r="365" spans="1:7" x14ac:dyDescent="0.3">
      <c r="B365" s="35">
        <v>792330</v>
      </c>
      <c r="C365" s="36" t="s">
        <v>140</v>
      </c>
      <c r="D365" s="39" t="s">
        <v>175</v>
      </c>
      <c r="E365" s="38">
        <v>29.04</v>
      </c>
      <c r="F365" s="38">
        <v>632.45000000000005</v>
      </c>
      <c r="G365" s="38">
        <f t="shared" si="21"/>
        <v>18366.348000000002</v>
      </c>
    </row>
    <row r="366" spans="1:7" x14ac:dyDescent="0.3">
      <c r="B366" s="35">
        <v>795850</v>
      </c>
      <c r="C366" s="36" t="s">
        <v>153</v>
      </c>
      <c r="D366" s="39" t="s">
        <v>175</v>
      </c>
      <c r="E366" s="38">
        <v>69.33</v>
      </c>
      <c r="F366" s="38">
        <v>658.85</v>
      </c>
      <c r="G366" s="38">
        <f t="shared" si="21"/>
        <v>45678.070500000002</v>
      </c>
    </row>
    <row r="367" spans="1:7" x14ac:dyDescent="0.3">
      <c r="B367" s="35">
        <v>793650</v>
      </c>
      <c r="C367" s="36" t="s">
        <v>154</v>
      </c>
      <c r="D367" s="39" t="s">
        <v>175</v>
      </c>
      <c r="E367" s="38">
        <v>51.6</v>
      </c>
      <c r="F367" s="38">
        <v>764.65</v>
      </c>
      <c r="G367" s="38">
        <f t="shared" si="21"/>
        <v>39455.94</v>
      </c>
    </row>
    <row r="368" spans="1:7" x14ac:dyDescent="0.3">
      <c r="B368" s="35">
        <v>713000</v>
      </c>
      <c r="C368" s="36" t="s">
        <v>155</v>
      </c>
      <c r="D368" s="39" t="s">
        <v>175</v>
      </c>
      <c r="E368" s="38">
        <v>39.17</v>
      </c>
      <c r="F368" s="38">
        <v>91.35</v>
      </c>
      <c r="G368" s="38">
        <f t="shared" si="21"/>
        <v>3578.1794999999997</v>
      </c>
    </row>
    <row r="369" spans="1:7" x14ac:dyDescent="0.3">
      <c r="B369" s="35">
        <v>711000</v>
      </c>
      <c r="C369" s="36" t="s">
        <v>125</v>
      </c>
      <c r="D369" s="39" t="s">
        <v>177</v>
      </c>
      <c r="E369" s="38">
        <v>734</v>
      </c>
      <c r="F369" s="38">
        <v>89.48</v>
      </c>
      <c r="G369" s="38">
        <f t="shared" si="21"/>
        <v>65678.320000000007</v>
      </c>
    </row>
    <row r="370" spans="1:7" x14ac:dyDescent="0.3">
      <c r="B370" s="35">
        <v>796310</v>
      </c>
      <c r="C370" s="36" t="s">
        <v>156</v>
      </c>
      <c r="D370" s="39" t="s">
        <v>174</v>
      </c>
      <c r="E370" s="38">
        <v>2566.02</v>
      </c>
      <c r="F370" s="38">
        <v>15.53</v>
      </c>
      <c r="G370" s="38">
        <f t="shared" si="21"/>
        <v>39850.2906</v>
      </c>
    </row>
    <row r="371" spans="1:7" x14ac:dyDescent="0.3">
      <c r="B371" s="35">
        <v>795996</v>
      </c>
      <c r="C371" s="36" t="s">
        <v>181</v>
      </c>
      <c r="D371" s="39" t="s">
        <v>139</v>
      </c>
      <c r="E371" s="38">
        <v>24</v>
      </c>
      <c r="F371" s="38">
        <v>709.91</v>
      </c>
      <c r="G371" s="38">
        <f t="shared" si="21"/>
        <v>17037.84</v>
      </c>
    </row>
    <row r="372" spans="1:7" x14ac:dyDescent="0.3">
      <c r="B372" s="35">
        <v>795990</v>
      </c>
      <c r="C372" s="36" t="s">
        <v>158</v>
      </c>
      <c r="D372" s="39" t="s">
        <v>139</v>
      </c>
      <c r="E372" s="38">
        <v>4</v>
      </c>
      <c r="F372" s="38">
        <v>526.32000000000005</v>
      </c>
      <c r="G372" s="38">
        <f t="shared" si="21"/>
        <v>2105.2800000000002</v>
      </c>
    </row>
    <row r="373" spans="1:7" x14ac:dyDescent="0.3">
      <c r="B373" s="35">
        <v>796386</v>
      </c>
      <c r="C373" s="36" t="s">
        <v>182</v>
      </c>
      <c r="D373" s="39" t="s">
        <v>29</v>
      </c>
      <c r="E373" s="38">
        <v>12</v>
      </c>
      <c r="F373" s="38">
        <v>161.38999999999999</v>
      </c>
      <c r="G373" s="38">
        <f t="shared" si="21"/>
        <v>1936.6799999999998</v>
      </c>
    </row>
    <row r="374" spans="1:7" x14ac:dyDescent="0.3">
      <c r="B374" s="35">
        <v>796470</v>
      </c>
      <c r="C374" s="36" t="s">
        <v>183</v>
      </c>
      <c r="D374" s="39" t="s">
        <v>54</v>
      </c>
      <c r="E374" s="38">
        <v>334.8</v>
      </c>
      <c r="F374" s="38">
        <v>28.85</v>
      </c>
      <c r="G374" s="38">
        <f t="shared" si="21"/>
        <v>9658.9800000000014</v>
      </c>
    </row>
    <row r="375" spans="1:7" x14ac:dyDescent="0.3">
      <c r="B375" s="35">
        <v>796430</v>
      </c>
      <c r="C375" s="36" t="s">
        <v>159</v>
      </c>
      <c r="D375" s="39" t="s">
        <v>54</v>
      </c>
      <c r="E375" s="38">
        <v>25</v>
      </c>
      <c r="F375" s="38">
        <v>22.32</v>
      </c>
      <c r="G375" s="38">
        <f t="shared" si="21"/>
        <v>558</v>
      </c>
    </row>
    <row r="376" spans="1:7" x14ac:dyDescent="0.3">
      <c r="B376" s="35">
        <v>791462</v>
      </c>
      <c r="C376" s="36" t="s">
        <v>161</v>
      </c>
      <c r="D376" s="39" t="s">
        <v>29</v>
      </c>
      <c r="E376" s="38">
        <v>10</v>
      </c>
      <c r="F376" s="38">
        <v>63.14</v>
      </c>
      <c r="G376" s="38">
        <f t="shared" si="21"/>
        <v>631.4</v>
      </c>
    </row>
    <row r="377" spans="1:7" ht="27.6" x14ac:dyDescent="0.3">
      <c r="B377" s="35">
        <v>797880</v>
      </c>
      <c r="C377" s="36" t="s">
        <v>163</v>
      </c>
      <c r="D377" s="39" t="s">
        <v>54</v>
      </c>
      <c r="E377" s="38">
        <v>26.2</v>
      </c>
      <c r="F377" s="38">
        <v>1217.6400000000001</v>
      </c>
      <c r="G377" s="38">
        <f t="shared" si="21"/>
        <v>31902.168000000001</v>
      </c>
    </row>
    <row r="378" spans="1:7" x14ac:dyDescent="0.3">
      <c r="B378" s="35">
        <v>757000</v>
      </c>
      <c r="C378" s="36" t="s">
        <v>164</v>
      </c>
      <c r="D378" s="39" t="s">
        <v>54</v>
      </c>
      <c r="E378" s="38">
        <v>25</v>
      </c>
      <c r="F378" s="38">
        <v>267.08999999999997</v>
      </c>
      <c r="G378" s="38">
        <f t="shared" si="21"/>
        <v>6677.2499999999991</v>
      </c>
    </row>
    <row r="379" spans="1:7" x14ac:dyDescent="0.3">
      <c r="B379" s="35">
        <v>707100</v>
      </c>
      <c r="C379" s="36" t="s">
        <v>165</v>
      </c>
      <c r="D379" s="39" t="s">
        <v>27</v>
      </c>
      <c r="E379" s="38">
        <v>6.27</v>
      </c>
      <c r="F379" s="38">
        <v>17.22</v>
      </c>
      <c r="G379" s="38">
        <f t="shared" si="21"/>
        <v>107.96939999999998</v>
      </c>
    </row>
    <row r="380" spans="1:7" ht="27.6" x14ac:dyDescent="0.3">
      <c r="B380" s="35">
        <v>798880</v>
      </c>
      <c r="C380" s="36" t="s">
        <v>166</v>
      </c>
      <c r="D380" s="39" t="s">
        <v>27</v>
      </c>
      <c r="E380" s="38">
        <v>17.46</v>
      </c>
      <c r="F380" s="38">
        <v>76.83</v>
      </c>
      <c r="G380" s="38">
        <f t="shared" si="21"/>
        <v>1341.4518</v>
      </c>
    </row>
    <row r="381" spans="1:7" x14ac:dyDescent="0.3">
      <c r="A381" s="44"/>
      <c r="B381" s="45"/>
      <c r="C381" s="46" t="s">
        <v>73</v>
      </c>
      <c r="D381" s="47"/>
      <c r="E381" s="47"/>
      <c r="F381" s="47"/>
      <c r="G381" s="48">
        <f>SUBTOTAL(9,G357:G380)</f>
        <v>700145.6362999999</v>
      </c>
    </row>
    <row r="382" spans="1:7" x14ac:dyDescent="0.3">
      <c r="B382" s="49"/>
      <c r="C382" s="49"/>
      <c r="D382" s="50"/>
      <c r="E382" s="51"/>
      <c r="F382" s="51"/>
      <c r="G382" s="51"/>
    </row>
    <row r="383" spans="1:7" x14ac:dyDescent="0.3">
      <c r="A383" s="44"/>
      <c r="B383" s="45"/>
      <c r="C383" s="46" t="s">
        <v>42</v>
      </c>
      <c r="D383" s="47"/>
      <c r="E383" s="47"/>
      <c r="F383" s="47"/>
      <c r="G383" s="48">
        <f>SUBTOTAL(9,G331:G382)</f>
        <v>1220089.2395999997</v>
      </c>
    </row>
    <row r="384" spans="1:7" x14ac:dyDescent="0.3">
      <c r="B384" s="49"/>
      <c r="C384" s="49"/>
      <c r="D384" s="50"/>
      <c r="E384" s="51"/>
      <c r="F384" s="51"/>
      <c r="G384" s="51"/>
    </row>
    <row r="385" spans="1:7" x14ac:dyDescent="0.3">
      <c r="A385" s="23"/>
      <c r="B385" s="24" t="s">
        <v>188</v>
      </c>
      <c r="C385" s="25"/>
      <c r="D385" s="25"/>
      <c r="E385" s="25"/>
      <c r="F385" s="25"/>
      <c r="G385" s="26"/>
    </row>
    <row r="386" spans="1:7" x14ac:dyDescent="0.3">
      <c r="A386" s="23"/>
      <c r="B386" s="24" t="s">
        <v>189</v>
      </c>
      <c r="C386" s="25"/>
      <c r="D386" s="25"/>
      <c r="E386" s="25"/>
      <c r="F386" s="25"/>
      <c r="G386" s="26"/>
    </row>
    <row r="387" spans="1:7" x14ac:dyDescent="0.3">
      <c r="A387" s="27"/>
      <c r="B387" s="28" t="s">
        <v>127</v>
      </c>
      <c r="C387" s="28" t="s">
        <v>128</v>
      </c>
      <c r="D387" s="28" t="s">
        <v>129</v>
      </c>
      <c r="E387" s="29" t="s">
        <v>130</v>
      </c>
      <c r="F387" s="29" t="s">
        <v>131</v>
      </c>
      <c r="G387" s="29" t="s">
        <v>132</v>
      </c>
    </row>
    <row r="388" spans="1:7" x14ac:dyDescent="0.3">
      <c r="B388" s="35">
        <v>730000</v>
      </c>
      <c r="C388" s="36" t="s">
        <v>104</v>
      </c>
      <c r="D388" s="39" t="s">
        <v>174</v>
      </c>
      <c r="E388" s="38">
        <v>5954.16</v>
      </c>
      <c r="F388" s="38">
        <v>16.95</v>
      </c>
      <c r="G388" s="38">
        <f t="shared" ref="G388:G398" si="22">+E388*F388</f>
        <v>100923.01199999999</v>
      </c>
    </row>
    <row r="389" spans="1:7" x14ac:dyDescent="0.3">
      <c r="B389" s="35">
        <v>722500</v>
      </c>
      <c r="C389" s="36" t="s">
        <v>137</v>
      </c>
      <c r="D389" s="39" t="s">
        <v>175</v>
      </c>
      <c r="E389" s="38">
        <v>12.08</v>
      </c>
      <c r="F389" s="38">
        <v>1143.8</v>
      </c>
      <c r="G389" s="38">
        <f t="shared" si="22"/>
        <v>13817.103999999999</v>
      </c>
    </row>
    <row r="390" spans="1:7" x14ac:dyDescent="0.3">
      <c r="B390" s="35">
        <v>794337</v>
      </c>
      <c r="C390" s="36" t="s">
        <v>138</v>
      </c>
      <c r="D390" s="39" t="s">
        <v>139</v>
      </c>
      <c r="E390" s="38">
        <v>16</v>
      </c>
      <c r="F390" s="38">
        <v>63.69</v>
      </c>
      <c r="G390" s="38">
        <f t="shared" si="22"/>
        <v>1019.04</v>
      </c>
    </row>
    <row r="391" spans="1:7" x14ac:dyDescent="0.3">
      <c r="B391" s="35">
        <v>795890</v>
      </c>
      <c r="C391" s="36" t="s">
        <v>107</v>
      </c>
      <c r="D391" s="39" t="s">
        <v>175</v>
      </c>
      <c r="E391" s="38">
        <v>12.36</v>
      </c>
      <c r="F391" s="38">
        <v>51.64</v>
      </c>
      <c r="G391" s="38">
        <f t="shared" si="22"/>
        <v>638.2704</v>
      </c>
    </row>
    <row r="392" spans="1:7" x14ac:dyDescent="0.3">
      <c r="B392" s="35">
        <v>792350</v>
      </c>
      <c r="C392" s="36" t="s">
        <v>134</v>
      </c>
      <c r="D392" s="39" t="s">
        <v>175</v>
      </c>
      <c r="E392" s="38">
        <v>1.72</v>
      </c>
      <c r="F392" s="38">
        <v>565.47</v>
      </c>
      <c r="G392" s="38">
        <f t="shared" si="22"/>
        <v>972.60840000000007</v>
      </c>
    </row>
    <row r="393" spans="1:7" x14ac:dyDescent="0.3">
      <c r="B393" s="35">
        <v>792330</v>
      </c>
      <c r="C393" s="36" t="s">
        <v>140</v>
      </c>
      <c r="D393" s="39" t="s">
        <v>175</v>
      </c>
      <c r="E393" s="38">
        <v>12.36</v>
      </c>
      <c r="F393" s="38">
        <v>632.45000000000005</v>
      </c>
      <c r="G393" s="38">
        <f t="shared" si="22"/>
        <v>7817.0820000000003</v>
      </c>
    </row>
    <row r="394" spans="1:7" x14ac:dyDescent="0.3">
      <c r="B394" s="35">
        <v>702100</v>
      </c>
      <c r="C394" s="36" t="s">
        <v>141</v>
      </c>
      <c r="D394" s="39" t="s">
        <v>175</v>
      </c>
      <c r="E394" s="38">
        <v>68.67</v>
      </c>
      <c r="F394" s="38">
        <v>49.77</v>
      </c>
      <c r="G394" s="38">
        <f t="shared" si="22"/>
        <v>3417.7059000000004</v>
      </c>
    </row>
    <row r="395" spans="1:7" x14ac:dyDescent="0.3">
      <c r="B395" s="35">
        <v>712000</v>
      </c>
      <c r="C395" s="36" t="s">
        <v>142</v>
      </c>
      <c r="D395" s="39" t="s">
        <v>175</v>
      </c>
      <c r="E395" s="38">
        <v>40</v>
      </c>
      <c r="F395" s="38">
        <v>145.72</v>
      </c>
      <c r="G395" s="38">
        <f t="shared" si="22"/>
        <v>5828.8</v>
      </c>
    </row>
    <row r="396" spans="1:7" x14ac:dyDescent="0.3">
      <c r="B396" s="35">
        <v>793580</v>
      </c>
      <c r="C396" s="36" t="s">
        <v>143</v>
      </c>
      <c r="D396" s="39" t="s">
        <v>176</v>
      </c>
      <c r="E396" s="38">
        <v>160</v>
      </c>
      <c r="F396" s="38">
        <v>514.24</v>
      </c>
      <c r="G396" s="38">
        <f t="shared" si="22"/>
        <v>82278.399999999994</v>
      </c>
    </row>
    <row r="397" spans="1:7" x14ac:dyDescent="0.3">
      <c r="B397" s="35">
        <v>711000</v>
      </c>
      <c r="C397" s="36" t="s">
        <v>125</v>
      </c>
      <c r="D397" s="39" t="s">
        <v>177</v>
      </c>
      <c r="E397" s="38">
        <v>35.200000000000003</v>
      </c>
      <c r="F397" s="38">
        <v>89.48</v>
      </c>
      <c r="G397" s="38">
        <f t="shared" si="22"/>
        <v>3149.6960000000004</v>
      </c>
    </row>
    <row r="398" spans="1:7" x14ac:dyDescent="0.3">
      <c r="B398" s="35">
        <v>705000</v>
      </c>
      <c r="C398" s="36" t="s">
        <v>92</v>
      </c>
      <c r="D398" s="39" t="s">
        <v>175</v>
      </c>
      <c r="E398" s="38">
        <v>44.91</v>
      </c>
      <c r="F398" s="38">
        <v>30.29</v>
      </c>
      <c r="G398" s="38">
        <f t="shared" si="22"/>
        <v>1360.3238999999999</v>
      </c>
    </row>
    <row r="399" spans="1:7" x14ac:dyDescent="0.3">
      <c r="A399" s="44"/>
      <c r="B399" s="45"/>
      <c r="C399" s="46" t="s">
        <v>73</v>
      </c>
      <c r="D399" s="47"/>
      <c r="E399" s="47"/>
      <c r="F399" s="47"/>
      <c r="G399" s="48">
        <f>SUBTOTAL(9,G388:G398)</f>
        <v>221222.04259999993</v>
      </c>
    </row>
    <row r="400" spans="1:7" x14ac:dyDescent="0.3">
      <c r="B400" s="49"/>
      <c r="C400" s="49"/>
      <c r="D400" s="50"/>
      <c r="E400" s="51"/>
      <c r="F400" s="51"/>
      <c r="G400" s="51"/>
    </row>
    <row r="401" spans="1:7" x14ac:dyDescent="0.3">
      <c r="A401" s="23"/>
      <c r="B401" s="24" t="s">
        <v>190</v>
      </c>
      <c r="C401" s="25"/>
      <c r="D401" s="25"/>
      <c r="E401" s="25"/>
      <c r="F401" s="25"/>
      <c r="G401" s="26"/>
    </row>
    <row r="402" spans="1:7" x14ac:dyDescent="0.3">
      <c r="A402" s="27"/>
      <c r="B402" s="28" t="s">
        <v>127</v>
      </c>
      <c r="C402" s="28" t="s">
        <v>128</v>
      </c>
      <c r="D402" s="28" t="s">
        <v>129</v>
      </c>
      <c r="E402" s="29" t="s">
        <v>130</v>
      </c>
      <c r="F402" s="29" t="s">
        <v>131</v>
      </c>
      <c r="G402" s="29" t="s">
        <v>132</v>
      </c>
    </row>
    <row r="403" spans="1:7" x14ac:dyDescent="0.3">
      <c r="B403" s="35">
        <v>730000</v>
      </c>
      <c r="C403" s="36" t="s">
        <v>104</v>
      </c>
      <c r="D403" s="39" t="s">
        <v>174</v>
      </c>
      <c r="E403" s="38">
        <v>9131.86</v>
      </c>
      <c r="F403" s="38">
        <v>16.95</v>
      </c>
      <c r="G403" s="38">
        <f t="shared" ref="G403:G409" si="23">+E403*F403</f>
        <v>154785.027</v>
      </c>
    </row>
    <row r="404" spans="1:7" x14ac:dyDescent="0.3">
      <c r="B404" s="35">
        <v>756000</v>
      </c>
      <c r="C404" s="36" t="s">
        <v>145</v>
      </c>
      <c r="D404" s="39" t="s">
        <v>174</v>
      </c>
      <c r="E404" s="38">
        <v>129.15</v>
      </c>
      <c r="F404" s="38">
        <v>148.55000000000001</v>
      </c>
      <c r="G404" s="38">
        <f t="shared" si="23"/>
        <v>19185.232500000002</v>
      </c>
    </row>
    <row r="405" spans="1:7" x14ac:dyDescent="0.3">
      <c r="B405" s="35">
        <v>795890</v>
      </c>
      <c r="C405" s="36" t="s">
        <v>107</v>
      </c>
      <c r="D405" s="39" t="s">
        <v>175</v>
      </c>
      <c r="E405" s="38">
        <v>86.52</v>
      </c>
      <c r="F405" s="38">
        <v>51.64</v>
      </c>
      <c r="G405" s="38">
        <f t="shared" si="23"/>
        <v>4467.8927999999996</v>
      </c>
    </row>
    <row r="406" spans="1:7" x14ac:dyDescent="0.3">
      <c r="B406" s="35">
        <v>792330</v>
      </c>
      <c r="C406" s="36" t="s">
        <v>140</v>
      </c>
      <c r="D406" s="39" t="s">
        <v>175</v>
      </c>
      <c r="E406" s="38">
        <v>86.52</v>
      </c>
      <c r="F406" s="38">
        <v>632.45000000000005</v>
      </c>
      <c r="G406" s="38">
        <f t="shared" si="23"/>
        <v>54719.574000000001</v>
      </c>
    </row>
    <row r="407" spans="1:7" x14ac:dyDescent="0.3">
      <c r="B407" s="35">
        <v>712000</v>
      </c>
      <c r="C407" s="36" t="s">
        <v>142</v>
      </c>
      <c r="D407" s="39" t="s">
        <v>175</v>
      </c>
      <c r="E407" s="38">
        <v>643.86</v>
      </c>
      <c r="F407" s="38">
        <v>145.72</v>
      </c>
      <c r="G407" s="38">
        <f t="shared" si="23"/>
        <v>93823.279200000004</v>
      </c>
    </row>
    <row r="408" spans="1:7" x14ac:dyDescent="0.3">
      <c r="B408" s="35">
        <v>711000</v>
      </c>
      <c r="C408" s="36" t="s">
        <v>125</v>
      </c>
      <c r="D408" s="39" t="s">
        <v>177</v>
      </c>
      <c r="E408" s="38">
        <v>279.26</v>
      </c>
      <c r="F408" s="38">
        <v>89.48</v>
      </c>
      <c r="G408" s="38">
        <f t="shared" si="23"/>
        <v>24988.184799999999</v>
      </c>
    </row>
    <row r="409" spans="1:7" ht="27.6" x14ac:dyDescent="0.3">
      <c r="B409" s="35">
        <v>795010</v>
      </c>
      <c r="C409" s="36" t="s">
        <v>146</v>
      </c>
      <c r="D409" s="39" t="s">
        <v>175</v>
      </c>
      <c r="E409" s="38">
        <v>0.15</v>
      </c>
      <c r="F409" s="38">
        <v>3892.28</v>
      </c>
      <c r="G409" s="38">
        <f t="shared" si="23"/>
        <v>583.84199999999998</v>
      </c>
    </row>
    <row r="410" spans="1:7" x14ac:dyDescent="0.3">
      <c r="A410" s="44"/>
      <c r="B410" s="45"/>
      <c r="C410" s="46" t="s">
        <v>73</v>
      </c>
      <c r="D410" s="47"/>
      <c r="E410" s="47"/>
      <c r="F410" s="47"/>
      <c r="G410" s="48">
        <f>SUBTOTAL(9,G403:G409)</f>
        <v>352553.03230000002</v>
      </c>
    </row>
    <row r="411" spans="1:7" x14ac:dyDescent="0.3">
      <c r="B411" s="49"/>
      <c r="C411" s="49"/>
      <c r="D411" s="50"/>
      <c r="E411" s="51"/>
      <c r="F411" s="51"/>
      <c r="G411" s="51"/>
    </row>
    <row r="412" spans="1:7" x14ac:dyDescent="0.3">
      <c r="A412" s="23"/>
      <c r="B412" s="24" t="s">
        <v>191</v>
      </c>
      <c r="C412" s="25"/>
      <c r="D412" s="25"/>
      <c r="E412" s="25"/>
      <c r="F412" s="25"/>
      <c r="G412" s="26"/>
    </row>
    <row r="413" spans="1:7" x14ac:dyDescent="0.3">
      <c r="A413" s="27"/>
      <c r="B413" s="28" t="s">
        <v>127</v>
      </c>
      <c r="C413" s="28" t="s">
        <v>128</v>
      </c>
      <c r="D413" s="28" t="s">
        <v>129</v>
      </c>
      <c r="E413" s="29" t="s">
        <v>130</v>
      </c>
      <c r="F413" s="29" t="s">
        <v>131</v>
      </c>
      <c r="G413" s="29" t="s">
        <v>132</v>
      </c>
    </row>
    <row r="414" spans="1:7" x14ac:dyDescent="0.3">
      <c r="B414" s="35">
        <v>730000</v>
      </c>
      <c r="C414" s="36" t="s">
        <v>104</v>
      </c>
      <c r="D414" s="39" t="s">
        <v>174</v>
      </c>
      <c r="E414" s="38">
        <v>18179.240000000002</v>
      </c>
      <c r="F414" s="38">
        <v>16.95</v>
      </c>
      <c r="G414" s="38">
        <f t="shared" ref="G414:G436" si="24">+E414*F414</f>
        <v>308138.11800000002</v>
      </c>
    </row>
    <row r="415" spans="1:7" x14ac:dyDescent="0.3">
      <c r="B415" s="35">
        <v>707000</v>
      </c>
      <c r="C415" s="36" t="s">
        <v>148</v>
      </c>
      <c r="D415" s="39" t="s">
        <v>177</v>
      </c>
      <c r="E415" s="38">
        <v>5.23</v>
      </c>
      <c r="F415" s="38">
        <v>54.56</v>
      </c>
      <c r="G415" s="38">
        <f t="shared" si="24"/>
        <v>285.34880000000004</v>
      </c>
    </row>
    <row r="416" spans="1:7" x14ac:dyDescent="0.3">
      <c r="B416" s="35">
        <v>745000</v>
      </c>
      <c r="C416" s="36" t="s">
        <v>149</v>
      </c>
      <c r="D416" s="39" t="s">
        <v>175</v>
      </c>
      <c r="E416" s="38">
        <v>0.09</v>
      </c>
      <c r="F416" s="38">
        <v>683.65</v>
      </c>
      <c r="G416" s="38">
        <f t="shared" si="24"/>
        <v>61.528499999999994</v>
      </c>
    </row>
    <row r="417" spans="2:7" x14ac:dyDescent="0.3">
      <c r="B417" s="35">
        <v>795890</v>
      </c>
      <c r="C417" s="36" t="s">
        <v>107</v>
      </c>
      <c r="D417" s="39" t="s">
        <v>175</v>
      </c>
      <c r="E417" s="38">
        <v>168.92</v>
      </c>
      <c r="F417" s="38">
        <v>51.64</v>
      </c>
      <c r="G417" s="38">
        <f t="shared" si="24"/>
        <v>8723.0288</v>
      </c>
    </row>
    <row r="418" spans="2:7" x14ac:dyDescent="0.3">
      <c r="B418" s="35">
        <v>795651</v>
      </c>
      <c r="C418" s="36" t="s">
        <v>150</v>
      </c>
      <c r="D418" s="39" t="s">
        <v>139</v>
      </c>
      <c r="E418" s="38">
        <v>134</v>
      </c>
      <c r="F418" s="38">
        <v>29.16</v>
      </c>
      <c r="G418" s="38">
        <f t="shared" si="24"/>
        <v>3907.44</v>
      </c>
    </row>
    <row r="419" spans="2:7" x14ac:dyDescent="0.3">
      <c r="B419" s="35">
        <v>795648</v>
      </c>
      <c r="C419" s="36" t="s">
        <v>151</v>
      </c>
      <c r="D419" s="39" t="s">
        <v>139</v>
      </c>
      <c r="E419" s="38">
        <v>216</v>
      </c>
      <c r="F419" s="38">
        <v>64.81</v>
      </c>
      <c r="G419" s="38">
        <f t="shared" si="24"/>
        <v>13998.960000000001</v>
      </c>
    </row>
    <row r="420" spans="2:7" ht="27.6" x14ac:dyDescent="0.3">
      <c r="B420" s="35">
        <v>792590</v>
      </c>
      <c r="C420" s="36" t="s">
        <v>171</v>
      </c>
      <c r="D420" s="39" t="s">
        <v>139</v>
      </c>
      <c r="E420" s="38">
        <v>5</v>
      </c>
      <c r="F420" s="38">
        <v>17112.91</v>
      </c>
      <c r="G420" s="38">
        <f t="shared" si="24"/>
        <v>85564.55</v>
      </c>
    </row>
    <row r="421" spans="2:7" x14ac:dyDescent="0.3">
      <c r="B421" s="35">
        <v>792350</v>
      </c>
      <c r="C421" s="36" t="s">
        <v>134</v>
      </c>
      <c r="D421" s="39" t="s">
        <v>175</v>
      </c>
      <c r="E421" s="38">
        <v>7.95</v>
      </c>
      <c r="F421" s="38">
        <v>565.47</v>
      </c>
      <c r="G421" s="38">
        <f t="shared" si="24"/>
        <v>4495.4865</v>
      </c>
    </row>
    <row r="422" spans="2:7" x14ac:dyDescent="0.3">
      <c r="B422" s="35">
        <v>792330</v>
      </c>
      <c r="C422" s="36" t="s">
        <v>140</v>
      </c>
      <c r="D422" s="39" t="s">
        <v>175</v>
      </c>
      <c r="E422" s="38">
        <v>23.04</v>
      </c>
      <c r="F422" s="38">
        <v>632.45000000000005</v>
      </c>
      <c r="G422" s="38">
        <f t="shared" si="24"/>
        <v>14571.648000000001</v>
      </c>
    </row>
    <row r="423" spans="2:7" x14ac:dyDescent="0.3">
      <c r="B423" s="35">
        <v>795850</v>
      </c>
      <c r="C423" s="36" t="s">
        <v>153</v>
      </c>
      <c r="D423" s="39" t="s">
        <v>175</v>
      </c>
      <c r="E423" s="38">
        <v>83.08</v>
      </c>
      <c r="F423" s="38">
        <v>658.85</v>
      </c>
      <c r="G423" s="38">
        <f t="shared" si="24"/>
        <v>54737.258000000002</v>
      </c>
    </row>
    <row r="424" spans="2:7" x14ac:dyDescent="0.3">
      <c r="B424" s="35">
        <v>793650</v>
      </c>
      <c r="C424" s="36" t="s">
        <v>154</v>
      </c>
      <c r="D424" s="39" t="s">
        <v>175</v>
      </c>
      <c r="E424" s="38">
        <v>62.8</v>
      </c>
      <c r="F424" s="38">
        <v>764.65</v>
      </c>
      <c r="G424" s="38">
        <f t="shared" si="24"/>
        <v>48020.02</v>
      </c>
    </row>
    <row r="425" spans="2:7" x14ac:dyDescent="0.3">
      <c r="B425" s="35">
        <v>713000</v>
      </c>
      <c r="C425" s="36" t="s">
        <v>155</v>
      </c>
      <c r="D425" s="39" t="s">
        <v>175</v>
      </c>
      <c r="E425" s="38">
        <v>31.69</v>
      </c>
      <c r="F425" s="38">
        <v>91.35</v>
      </c>
      <c r="G425" s="38">
        <f t="shared" si="24"/>
        <v>2894.8815</v>
      </c>
    </row>
    <row r="426" spans="2:7" x14ac:dyDescent="0.3">
      <c r="B426" s="35">
        <v>711000</v>
      </c>
      <c r="C426" s="36" t="s">
        <v>125</v>
      </c>
      <c r="D426" s="39" t="s">
        <v>177</v>
      </c>
      <c r="E426" s="38">
        <v>899.99</v>
      </c>
      <c r="F426" s="38">
        <v>89.48</v>
      </c>
      <c r="G426" s="38">
        <f t="shared" si="24"/>
        <v>80531.105200000005</v>
      </c>
    </row>
    <row r="427" spans="2:7" x14ac:dyDescent="0.3">
      <c r="B427" s="35">
        <v>796310</v>
      </c>
      <c r="C427" s="36" t="s">
        <v>156</v>
      </c>
      <c r="D427" s="39" t="s">
        <v>174</v>
      </c>
      <c r="E427" s="38">
        <v>6189.4</v>
      </c>
      <c r="F427" s="38">
        <v>15.53</v>
      </c>
      <c r="G427" s="38">
        <f t="shared" si="24"/>
        <v>96121.381999999983</v>
      </c>
    </row>
    <row r="428" spans="2:7" x14ac:dyDescent="0.3">
      <c r="B428" s="35">
        <v>796882</v>
      </c>
      <c r="C428" s="36" t="s">
        <v>157</v>
      </c>
      <c r="D428" s="39" t="s">
        <v>139</v>
      </c>
      <c r="E428" s="38">
        <v>20</v>
      </c>
      <c r="F428" s="38">
        <v>1483.14</v>
      </c>
      <c r="G428" s="38">
        <f t="shared" si="24"/>
        <v>29662.800000000003</v>
      </c>
    </row>
    <row r="429" spans="2:7" x14ac:dyDescent="0.3">
      <c r="B429" s="35">
        <v>795990</v>
      </c>
      <c r="C429" s="36" t="s">
        <v>158</v>
      </c>
      <c r="D429" s="39" t="s">
        <v>139</v>
      </c>
      <c r="E429" s="38">
        <v>4</v>
      </c>
      <c r="F429" s="38">
        <v>526.32000000000005</v>
      </c>
      <c r="G429" s="38">
        <f t="shared" si="24"/>
        <v>2105.2800000000002</v>
      </c>
    </row>
    <row r="430" spans="2:7" x14ac:dyDescent="0.3">
      <c r="B430" s="35">
        <v>796430</v>
      </c>
      <c r="C430" s="36" t="s">
        <v>159</v>
      </c>
      <c r="D430" s="39" t="s">
        <v>176</v>
      </c>
      <c r="E430" s="38">
        <v>20</v>
      </c>
      <c r="F430" s="38">
        <v>22.32</v>
      </c>
      <c r="G430" s="38">
        <f t="shared" si="24"/>
        <v>446.4</v>
      </c>
    </row>
    <row r="431" spans="2:7" x14ac:dyDescent="0.3">
      <c r="B431" s="35">
        <v>796110</v>
      </c>
      <c r="C431" s="36" t="s">
        <v>160</v>
      </c>
      <c r="D431" s="39" t="s">
        <v>176</v>
      </c>
      <c r="E431" s="38">
        <v>429</v>
      </c>
      <c r="F431" s="38">
        <v>38.799999999999997</v>
      </c>
      <c r="G431" s="38">
        <f t="shared" si="24"/>
        <v>16645.199999999997</v>
      </c>
    </row>
    <row r="432" spans="2:7" x14ac:dyDescent="0.3">
      <c r="B432" s="35">
        <v>791462</v>
      </c>
      <c r="C432" s="36" t="s">
        <v>161</v>
      </c>
      <c r="D432" s="39" t="s">
        <v>139</v>
      </c>
      <c r="E432" s="38">
        <v>8</v>
      </c>
      <c r="F432" s="38">
        <v>63.14</v>
      </c>
      <c r="G432" s="38">
        <f t="shared" si="24"/>
        <v>505.12</v>
      </c>
    </row>
    <row r="433" spans="1:7" x14ac:dyDescent="0.3">
      <c r="B433" s="35">
        <v>796892</v>
      </c>
      <c r="C433" s="36" t="s">
        <v>162</v>
      </c>
      <c r="D433" s="39" t="s">
        <v>139</v>
      </c>
      <c r="E433" s="38">
        <v>10</v>
      </c>
      <c r="F433" s="38">
        <v>272.85000000000002</v>
      </c>
      <c r="G433" s="38">
        <f t="shared" si="24"/>
        <v>2728.5</v>
      </c>
    </row>
    <row r="434" spans="1:7" ht="27.6" x14ac:dyDescent="0.3">
      <c r="B434" s="35">
        <v>797880</v>
      </c>
      <c r="C434" s="36" t="s">
        <v>163</v>
      </c>
      <c r="D434" s="39" t="s">
        <v>176</v>
      </c>
      <c r="E434" s="38">
        <v>21.2</v>
      </c>
      <c r="F434" s="38">
        <v>1217.6400000000001</v>
      </c>
      <c r="G434" s="38">
        <f t="shared" si="24"/>
        <v>25813.968000000001</v>
      </c>
    </row>
    <row r="435" spans="1:7" x14ac:dyDescent="0.3">
      <c r="B435" s="35">
        <v>707100</v>
      </c>
      <c r="C435" s="36" t="s">
        <v>165</v>
      </c>
      <c r="D435" s="39" t="s">
        <v>177</v>
      </c>
      <c r="E435" s="38">
        <v>5.23</v>
      </c>
      <c r="F435" s="38">
        <v>17.22</v>
      </c>
      <c r="G435" s="38">
        <f t="shared" si="24"/>
        <v>90.060600000000008</v>
      </c>
    </row>
    <row r="436" spans="1:7" ht="27.6" x14ac:dyDescent="0.3">
      <c r="B436" s="35">
        <v>798880</v>
      </c>
      <c r="C436" s="36" t="s">
        <v>166</v>
      </c>
      <c r="D436" s="39" t="s">
        <v>177</v>
      </c>
      <c r="E436" s="38">
        <v>17.46</v>
      </c>
      <c r="F436" s="38">
        <v>76.83</v>
      </c>
      <c r="G436" s="38">
        <f t="shared" si="24"/>
        <v>1341.4518</v>
      </c>
    </row>
    <row r="437" spans="1:7" x14ac:dyDescent="0.3">
      <c r="A437" s="44"/>
      <c r="B437" s="45"/>
      <c r="C437" s="46" t="s">
        <v>73</v>
      </c>
      <c r="D437" s="47"/>
      <c r="E437" s="47"/>
      <c r="F437" s="47"/>
      <c r="G437" s="48">
        <f>SUBTOTAL(9,G414:G436)</f>
        <v>801389.53570000012</v>
      </c>
    </row>
    <row r="438" spans="1:7" x14ac:dyDescent="0.3">
      <c r="B438" s="49"/>
      <c r="C438" s="49"/>
      <c r="D438" s="50"/>
      <c r="E438" s="51"/>
      <c r="F438" s="51"/>
      <c r="G438" s="51"/>
    </row>
    <row r="439" spans="1:7" x14ac:dyDescent="0.3">
      <c r="A439" s="44"/>
      <c r="B439" s="45"/>
      <c r="C439" s="46" t="s">
        <v>42</v>
      </c>
      <c r="D439" s="47"/>
      <c r="E439" s="47"/>
      <c r="F439" s="47"/>
      <c r="G439" s="48">
        <f>SUBTOTAL(9,G388:G438)</f>
        <v>1375164.6106</v>
      </c>
    </row>
    <row r="440" spans="1:7" x14ac:dyDescent="0.3">
      <c r="B440" s="49"/>
      <c r="C440" s="49"/>
      <c r="D440" s="50"/>
      <c r="E440" s="51"/>
      <c r="F440" s="51"/>
      <c r="G440" s="51"/>
    </row>
    <row r="441" spans="1:7" x14ac:dyDescent="0.3">
      <c r="A441" s="23"/>
      <c r="B441" s="24" t="s">
        <v>192</v>
      </c>
      <c r="C441" s="25"/>
      <c r="D441" s="25"/>
      <c r="E441" s="25"/>
      <c r="F441" s="25"/>
      <c r="G441" s="26"/>
    </row>
    <row r="442" spans="1:7" x14ac:dyDescent="0.3">
      <c r="A442" s="27"/>
      <c r="B442" s="28" t="s">
        <v>127</v>
      </c>
      <c r="C442" s="28" t="s">
        <v>128</v>
      </c>
      <c r="D442" s="28" t="s">
        <v>129</v>
      </c>
      <c r="E442" s="29" t="s">
        <v>130</v>
      </c>
      <c r="F442" s="29" t="s">
        <v>131</v>
      </c>
      <c r="G442" s="29" t="s">
        <v>132</v>
      </c>
    </row>
    <row r="443" spans="1:7" x14ac:dyDescent="0.3">
      <c r="B443" s="35">
        <v>795890</v>
      </c>
      <c r="C443" s="36" t="s">
        <v>107</v>
      </c>
      <c r="D443" s="39" t="s">
        <v>175</v>
      </c>
      <c r="E443" s="38">
        <v>481.64</v>
      </c>
      <c r="F443" s="38">
        <v>51.64</v>
      </c>
      <c r="G443" s="38">
        <f t="shared" ref="G443:G448" si="25">+E443*F443</f>
        <v>24871.889599999999</v>
      </c>
    </row>
    <row r="444" spans="1:7" x14ac:dyDescent="0.3">
      <c r="B444" s="35">
        <v>497120</v>
      </c>
      <c r="C444" s="36" t="s">
        <v>193</v>
      </c>
      <c r="D444" s="39" t="s">
        <v>175</v>
      </c>
      <c r="E444" s="38">
        <v>3210.9</v>
      </c>
      <c r="F444" s="38">
        <v>20.64</v>
      </c>
      <c r="G444" s="38">
        <f t="shared" si="25"/>
        <v>66272.97600000001</v>
      </c>
    </row>
    <row r="445" spans="1:7" x14ac:dyDescent="0.3">
      <c r="B445" s="35">
        <v>795850</v>
      </c>
      <c r="C445" s="36" t="s">
        <v>153</v>
      </c>
      <c r="D445" s="39" t="s">
        <v>175</v>
      </c>
      <c r="E445" s="38">
        <v>481.64</v>
      </c>
      <c r="F445" s="38">
        <v>658.85</v>
      </c>
      <c r="G445" s="38">
        <f t="shared" si="25"/>
        <v>317328.51400000002</v>
      </c>
    </row>
    <row r="446" spans="1:7" x14ac:dyDescent="0.3">
      <c r="B446" s="35">
        <v>791810</v>
      </c>
      <c r="C446" s="36" t="s">
        <v>194</v>
      </c>
      <c r="D446" s="39" t="s">
        <v>177</v>
      </c>
      <c r="E446" s="38">
        <v>1450.81</v>
      </c>
      <c r="F446" s="38">
        <v>512.27</v>
      </c>
      <c r="G446" s="38">
        <f t="shared" si="25"/>
        <v>743206.43869999994</v>
      </c>
    </row>
    <row r="447" spans="1:7" x14ac:dyDescent="0.3">
      <c r="B447" s="35">
        <v>791820</v>
      </c>
      <c r="C447" s="36" t="s">
        <v>195</v>
      </c>
      <c r="D447" s="39" t="s">
        <v>177</v>
      </c>
      <c r="E447" s="38">
        <v>1760.09</v>
      </c>
      <c r="F447" s="38">
        <v>699.07</v>
      </c>
      <c r="G447" s="38">
        <f t="shared" si="25"/>
        <v>1230426.1163000001</v>
      </c>
    </row>
    <row r="448" spans="1:7" x14ac:dyDescent="0.3">
      <c r="B448" s="35">
        <v>791790</v>
      </c>
      <c r="C448" s="36" t="s">
        <v>196</v>
      </c>
      <c r="D448" s="39" t="s">
        <v>177</v>
      </c>
      <c r="E448" s="38">
        <v>3210.9</v>
      </c>
      <c r="F448" s="38">
        <v>128.79</v>
      </c>
      <c r="G448" s="38">
        <f t="shared" si="25"/>
        <v>413531.81099999999</v>
      </c>
    </row>
    <row r="449" spans="1:7" x14ac:dyDescent="0.3">
      <c r="A449" s="44"/>
      <c r="B449" s="45"/>
      <c r="C449" s="46" t="s">
        <v>73</v>
      </c>
      <c r="D449" s="47"/>
      <c r="E449" s="47"/>
      <c r="F449" s="47"/>
      <c r="G449" s="48">
        <f>SUBTOTAL(9,G443:G448)</f>
        <v>2795637.7456</v>
      </c>
    </row>
    <row r="450" spans="1:7" x14ac:dyDescent="0.3">
      <c r="B450" s="49"/>
      <c r="C450" s="49"/>
      <c r="D450" s="50"/>
      <c r="E450" s="51"/>
      <c r="F450" s="51"/>
      <c r="G450" s="51"/>
    </row>
    <row r="451" spans="1:7" x14ac:dyDescent="0.3">
      <c r="A451" s="44"/>
      <c r="B451" s="45"/>
      <c r="C451" s="46" t="s">
        <v>42</v>
      </c>
      <c r="D451" s="47"/>
      <c r="E451" s="47"/>
      <c r="F451" s="47"/>
      <c r="G451" s="48">
        <f>SUBTOTAL(9,G143:G450)</f>
        <v>10037596.621600006</v>
      </c>
    </row>
    <row r="452" spans="1:7" x14ac:dyDescent="0.3">
      <c r="B452" s="49"/>
      <c r="C452" s="49"/>
      <c r="D452" s="50"/>
      <c r="E452" s="51"/>
      <c r="F452" s="51"/>
      <c r="G452" s="51"/>
    </row>
    <row r="453" spans="1:7" x14ac:dyDescent="0.3">
      <c r="A453" s="23"/>
      <c r="B453" s="24" t="s">
        <v>197</v>
      </c>
      <c r="C453" s="25"/>
      <c r="D453" s="25"/>
      <c r="E453" s="25"/>
      <c r="F453" s="25"/>
      <c r="G453" s="26"/>
    </row>
    <row r="454" spans="1:7" x14ac:dyDescent="0.3">
      <c r="A454" s="27"/>
      <c r="B454" s="28" t="s">
        <v>127</v>
      </c>
      <c r="C454" s="28" t="s">
        <v>128</v>
      </c>
      <c r="D454" s="28"/>
      <c r="E454" s="29" t="s">
        <v>129</v>
      </c>
      <c r="F454" s="29" t="s">
        <v>130</v>
      </c>
      <c r="G454" s="29" t="s">
        <v>131</v>
      </c>
    </row>
    <row r="455" spans="1:7" x14ac:dyDescent="0.3">
      <c r="B455" s="35">
        <v>814000</v>
      </c>
      <c r="C455" s="36" t="s">
        <v>198</v>
      </c>
      <c r="D455" s="39" t="s">
        <v>176</v>
      </c>
      <c r="E455" s="38">
        <v>13323.88</v>
      </c>
      <c r="F455" s="38">
        <v>313</v>
      </c>
      <c r="G455" s="38">
        <f t="shared" ref="G455:G470" si="26">+E455*F455</f>
        <v>4170374.44</v>
      </c>
    </row>
    <row r="456" spans="1:7" x14ac:dyDescent="0.3">
      <c r="B456" s="35">
        <v>813000</v>
      </c>
      <c r="C456" s="36" t="s">
        <v>199</v>
      </c>
      <c r="D456" s="39" t="s">
        <v>176</v>
      </c>
      <c r="E456" s="38">
        <v>640.39</v>
      </c>
      <c r="F456" s="38">
        <v>316.58999999999997</v>
      </c>
      <c r="G456" s="38">
        <f t="shared" si="26"/>
        <v>202741.07009999998</v>
      </c>
    </row>
    <row r="457" spans="1:7" x14ac:dyDescent="0.3">
      <c r="B457" s="35">
        <v>890680</v>
      </c>
      <c r="C457" s="36" t="s">
        <v>200</v>
      </c>
      <c r="D457" s="39" t="s">
        <v>176</v>
      </c>
      <c r="E457" s="38">
        <v>290.8</v>
      </c>
      <c r="F457" s="38">
        <v>595.23</v>
      </c>
      <c r="G457" s="38">
        <f t="shared" si="26"/>
        <v>173092.88400000002</v>
      </c>
    </row>
    <row r="458" spans="1:7" x14ac:dyDescent="0.3">
      <c r="B458" s="35">
        <v>823000</v>
      </c>
      <c r="C458" s="36" t="s">
        <v>201</v>
      </c>
      <c r="D458" s="39" t="s">
        <v>176</v>
      </c>
      <c r="E458" s="38">
        <v>2703.75</v>
      </c>
      <c r="F458" s="38">
        <v>571.83000000000004</v>
      </c>
      <c r="G458" s="38">
        <f t="shared" si="26"/>
        <v>1546085.3625</v>
      </c>
    </row>
    <row r="459" spans="1:7" x14ac:dyDescent="0.3">
      <c r="B459" s="35">
        <v>822350</v>
      </c>
      <c r="C459" s="36" t="s">
        <v>202</v>
      </c>
      <c r="D459" s="39" t="s">
        <v>177</v>
      </c>
      <c r="E459" s="38">
        <v>34279.661999999997</v>
      </c>
      <c r="F459" s="38">
        <v>52.61</v>
      </c>
      <c r="G459" s="38">
        <f t="shared" si="26"/>
        <v>1803453.0178199997</v>
      </c>
    </row>
    <row r="460" spans="1:7" x14ac:dyDescent="0.3">
      <c r="B460" s="35">
        <v>822330</v>
      </c>
      <c r="C460" s="36" t="s">
        <v>203</v>
      </c>
      <c r="D460" s="39" t="s">
        <v>177</v>
      </c>
      <c r="E460" s="38">
        <v>12590.475</v>
      </c>
      <c r="F460" s="38">
        <v>76.290000000000006</v>
      </c>
      <c r="G460" s="38">
        <f t="shared" si="26"/>
        <v>960527.33775000006</v>
      </c>
    </row>
    <row r="461" spans="1:7" x14ac:dyDescent="0.3">
      <c r="B461" s="35">
        <v>820000</v>
      </c>
      <c r="C461" s="36" t="s">
        <v>204</v>
      </c>
      <c r="D461" s="39" t="s">
        <v>177</v>
      </c>
      <c r="E461" s="38">
        <v>982.9</v>
      </c>
      <c r="F461" s="38">
        <v>643.55999999999995</v>
      </c>
      <c r="G461" s="38">
        <f t="shared" si="26"/>
        <v>632555.12399999995</v>
      </c>
    </row>
    <row r="462" spans="1:7" x14ac:dyDescent="0.3">
      <c r="B462" s="35">
        <v>895660</v>
      </c>
      <c r="C462" s="36" t="s">
        <v>205</v>
      </c>
      <c r="D462" s="39" t="s">
        <v>176</v>
      </c>
      <c r="E462" s="38">
        <v>429.7</v>
      </c>
      <c r="F462" s="38">
        <v>27.64</v>
      </c>
      <c r="G462" s="38">
        <f t="shared" si="26"/>
        <v>11876.907999999999</v>
      </c>
    </row>
    <row r="463" spans="1:7" x14ac:dyDescent="0.3">
      <c r="B463" s="35">
        <v>897310</v>
      </c>
      <c r="C463" s="36" t="s">
        <v>206</v>
      </c>
      <c r="D463" s="39" t="s">
        <v>139</v>
      </c>
      <c r="E463" s="38">
        <v>196</v>
      </c>
      <c r="F463" s="38">
        <v>79.63</v>
      </c>
      <c r="G463" s="38">
        <f t="shared" si="26"/>
        <v>15607.48</v>
      </c>
    </row>
    <row r="464" spans="1:7" x14ac:dyDescent="0.3">
      <c r="B464" s="35">
        <v>890775</v>
      </c>
      <c r="C464" s="36" t="s">
        <v>207</v>
      </c>
      <c r="D464" s="39" t="s">
        <v>139</v>
      </c>
      <c r="E464" s="38">
        <v>6</v>
      </c>
      <c r="F464" s="38">
        <v>1159.9100000000001</v>
      </c>
      <c r="G464" s="38">
        <f t="shared" si="26"/>
        <v>6959.4600000000009</v>
      </c>
    </row>
    <row r="465" spans="1:7" x14ac:dyDescent="0.3">
      <c r="B465" s="35">
        <v>876000</v>
      </c>
      <c r="C465" s="36" t="s">
        <v>208</v>
      </c>
      <c r="D465" s="39" t="s">
        <v>139</v>
      </c>
      <c r="E465" s="38">
        <v>50</v>
      </c>
      <c r="F465" s="38">
        <v>45379.5</v>
      </c>
      <c r="G465" s="38">
        <f t="shared" si="26"/>
        <v>2268975</v>
      </c>
    </row>
    <row r="466" spans="1:7" x14ac:dyDescent="0.3">
      <c r="B466" s="35">
        <v>891351</v>
      </c>
      <c r="C466" s="36" t="s">
        <v>209</v>
      </c>
      <c r="D466" s="39" t="s">
        <v>139</v>
      </c>
      <c r="E466" s="38">
        <v>51</v>
      </c>
      <c r="F466" s="38">
        <v>1020.72</v>
      </c>
      <c r="G466" s="38">
        <f t="shared" si="26"/>
        <v>52056.72</v>
      </c>
    </row>
    <row r="467" spans="1:7" x14ac:dyDescent="0.3">
      <c r="B467" s="35">
        <v>821350</v>
      </c>
      <c r="C467" s="36" t="s">
        <v>210</v>
      </c>
      <c r="D467" s="39" t="s">
        <v>139</v>
      </c>
      <c r="E467" s="38">
        <v>1522</v>
      </c>
      <c r="F467" s="38">
        <v>552.83000000000004</v>
      </c>
      <c r="G467" s="38">
        <f t="shared" si="26"/>
        <v>841407.26</v>
      </c>
    </row>
    <row r="468" spans="1:7" x14ac:dyDescent="0.3">
      <c r="B468" s="35">
        <v>871000</v>
      </c>
      <c r="C468" s="36" t="s">
        <v>211</v>
      </c>
      <c r="D468" s="39" t="s">
        <v>139</v>
      </c>
      <c r="E468" s="38">
        <v>12330</v>
      </c>
      <c r="F468" s="38">
        <v>19.399999999999999</v>
      </c>
      <c r="G468" s="38">
        <f t="shared" si="26"/>
        <v>239201.99999999997</v>
      </c>
    </row>
    <row r="469" spans="1:7" x14ac:dyDescent="0.3">
      <c r="B469" s="35">
        <v>870000</v>
      </c>
      <c r="C469" s="36" t="s">
        <v>212</v>
      </c>
      <c r="D469" s="39" t="s">
        <v>139</v>
      </c>
      <c r="E469" s="38">
        <v>3060</v>
      </c>
      <c r="F469" s="38">
        <v>18.63</v>
      </c>
      <c r="G469" s="38">
        <f t="shared" si="26"/>
        <v>57007.799999999996</v>
      </c>
    </row>
    <row r="470" spans="1:7" x14ac:dyDescent="0.3">
      <c r="B470" s="35">
        <v>873000</v>
      </c>
      <c r="C470" s="36" t="s">
        <v>213</v>
      </c>
      <c r="D470" s="39" t="s">
        <v>139</v>
      </c>
      <c r="E470" s="38">
        <v>60</v>
      </c>
      <c r="F470" s="38">
        <v>35.17</v>
      </c>
      <c r="G470" s="38">
        <f t="shared" si="26"/>
        <v>2110.2000000000003</v>
      </c>
    </row>
    <row r="471" spans="1:7" x14ac:dyDescent="0.3">
      <c r="A471" s="44"/>
      <c r="B471" s="45"/>
      <c r="C471" s="46" t="s">
        <v>42</v>
      </c>
      <c r="D471" s="47"/>
      <c r="E471" s="47"/>
      <c r="F471" s="47"/>
      <c r="G471" s="48">
        <f>SUBTOTAL(9,G455:G470)</f>
        <v>12984032.064170001</v>
      </c>
    </row>
    <row r="472" spans="1:7" x14ac:dyDescent="0.3">
      <c r="B472" s="49"/>
      <c r="C472" s="49"/>
      <c r="D472" s="50"/>
      <c r="E472" s="51"/>
      <c r="F472" s="51"/>
      <c r="G472" s="51"/>
    </row>
    <row r="473" spans="1:7" x14ac:dyDescent="0.3">
      <c r="A473" s="23"/>
      <c r="B473" s="24" t="s">
        <v>214</v>
      </c>
      <c r="C473" s="25"/>
      <c r="D473" s="25"/>
      <c r="E473" s="25"/>
      <c r="F473" s="25"/>
      <c r="G473" s="26"/>
    </row>
    <row r="474" spans="1:7" x14ac:dyDescent="0.3">
      <c r="A474" s="27"/>
      <c r="B474" s="28" t="s">
        <v>127</v>
      </c>
      <c r="C474" s="28" t="s">
        <v>128</v>
      </c>
      <c r="D474" s="28"/>
      <c r="E474" s="29" t="s">
        <v>129</v>
      </c>
      <c r="F474" s="29" t="s">
        <v>130</v>
      </c>
      <c r="G474" s="29" t="s">
        <v>131</v>
      </c>
    </row>
    <row r="475" spans="1:7" x14ac:dyDescent="0.3">
      <c r="B475" s="35">
        <v>801943</v>
      </c>
      <c r="C475" s="36" t="s">
        <v>215</v>
      </c>
      <c r="D475" s="39" t="s">
        <v>216</v>
      </c>
      <c r="E475" s="38">
        <v>6144</v>
      </c>
      <c r="F475" s="38">
        <v>31.61</v>
      </c>
      <c r="G475" s="38">
        <f t="shared" ref="G475:G480" si="27">+E475*F475</f>
        <v>194211.84</v>
      </c>
    </row>
    <row r="476" spans="1:7" x14ac:dyDescent="0.3">
      <c r="B476" s="35">
        <v>822200</v>
      </c>
      <c r="C476" s="36" t="s">
        <v>217</v>
      </c>
      <c r="D476" s="39" t="s">
        <v>177</v>
      </c>
      <c r="E476" s="38">
        <v>40</v>
      </c>
      <c r="F476" s="38">
        <v>20.66</v>
      </c>
      <c r="G476" s="38">
        <f t="shared" si="27"/>
        <v>826.4</v>
      </c>
    </row>
    <row r="477" spans="1:7" x14ac:dyDescent="0.3">
      <c r="B477" s="35">
        <v>801941</v>
      </c>
      <c r="C477" s="36" t="s">
        <v>218</v>
      </c>
      <c r="D477" s="39" t="s">
        <v>139</v>
      </c>
      <c r="E477" s="38">
        <v>20</v>
      </c>
      <c r="F477" s="38">
        <v>29.39</v>
      </c>
      <c r="G477" s="38">
        <f t="shared" si="27"/>
        <v>587.79999999999995</v>
      </c>
    </row>
    <row r="478" spans="1:7" x14ac:dyDescent="0.3">
      <c r="B478" s="35">
        <v>801961</v>
      </c>
      <c r="C478" s="36" t="s">
        <v>219</v>
      </c>
      <c r="D478" s="39" t="s">
        <v>139</v>
      </c>
      <c r="E478" s="38">
        <v>2</v>
      </c>
      <c r="F478" s="38">
        <v>44.33</v>
      </c>
      <c r="G478" s="38">
        <f t="shared" si="27"/>
        <v>88.66</v>
      </c>
    </row>
    <row r="479" spans="1:7" x14ac:dyDescent="0.3">
      <c r="B479" s="35">
        <v>802160</v>
      </c>
      <c r="C479" s="36" t="s">
        <v>220</v>
      </c>
      <c r="D479" s="39" t="s">
        <v>177</v>
      </c>
      <c r="E479" s="38">
        <v>30.45</v>
      </c>
      <c r="F479" s="38">
        <v>96.52</v>
      </c>
      <c r="G479" s="38">
        <f t="shared" si="27"/>
        <v>2939.0339999999997</v>
      </c>
    </row>
    <row r="480" spans="1:7" x14ac:dyDescent="0.3">
      <c r="B480" s="35">
        <v>802161</v>
      </c>
      <c r="C480" s="36" t="s">
        <v>221</v>
      </c>
      <c r="D480" s="39" t="s">
        <v>139</v>
      </c>
      <c r="E480" s="38">
        <v>30</v>
      </c>
      <c r="F480" s="38">
        <v>19.079999999999998</v>
      </c>
      <c r="G480" s="38">
        <f t="shared" si="27"/>
        <v>572.4</v>
      </c>
    </row>
    <row r="481" spans="1:7" x14ac:dyDescent="0.3">
      <c r="A481" s="44"/>
      <c r="B481" s="45"/>
      <c r="C481" s="46" t="s">
        <v>42</v>
      </c>
      <c r="D481" s="47"/>
      <c r="E481" s="47"/>
      <c r="F481" s="47"/>
      <c r="G481" s="48">
        <f>SUBTOTAL(9,G475:G480)</f>
        <v>199226.13399999999</v>
      </c>
    </row>
    <row r="482" spans="1:7" x14ac:dyDescent="0.3">
      <c r="B482" s="49"/>
      <c r="C482" s="49"/>
      <c r="D482" s="50"/>
      <c r="E482" s="51"/>
      <c r="F482" s="51"/>
      <c r="G482" s="51"/>
    </row>
    <row r="483" spans="1:7" x14ac:dyDescent="0.3">
      <c r="A483" s="23"/>
      <c r="B483" s="24" t="s">
        <v>222</v>
      </c>
      <c r="C483" s="25"/>
      <c r="D483" s="25"/>
      <c r="E483" s="25"/>
      <c r="F483" s="25"/>
      <c r="G483" s="26"/>
    </row>
    <row r="484" spans="1:7" x14ac:dyDescent="0.3">
      <c r="A484" s="23"/>
      <c r="B484" s="24" t="s">
        <v>223</v>
      </c>
      <c r="C484" s="25"/>
      <c r="D484" s="25"/>
      <c r="E484" s="25"/>
      <c r="F484" s="25"/>
      <c r="G484" s="26"/>
    </row>
    <row r="485" spans="1:7" x14ac:dyDescent="0.3">
      <c r="A485" s="27"/>
      <c r="B485" s="28" t="s">
        <v>127</v>
      </c>
      <c r="C485" s="28" t="s">
        <v>128</v>
      </c>
      <c r="D485" s="28" t="s">
        <v>129</v>
      </c>
      <c r="E485" s="29" t="s">
        <v>130</v>
      </c>
      <c r="F485" s="29" t="s">
        <v>131</v>
      </c>
      <c r="G485" s="29" t="s">
        <v>131</v>
      </c>
    </row>
    <row r="486" spans="1:7" x14ac:dyDescent="0.3">
      <c r="B486" s="35">
        <v>800000</v>
      </c>
      <c r="C486" s="36" t="s">
        <v>224</v>
      </c>
      <c r="D486" s="39" t="s">
        <v>177</v>
      </c>
      <c r="E486" s="38">
        <v>63048.06</v>
      </c>
      <c r="F486" s="38">
        <v>13.31</v>
      </c>
      <c r="G486" s="38">
        <f t="shared" ref="G486:G490" si="28">+E486*F486</f>
        <v>839169.67859999998</v>
      </c>
    </row>
    <row r="487" spans="1:7" x14ac:dyDescent="0.3">
      <c r="B487" s="35">
        <v>895801</v>
      </c>
      <c r="C487" s="36" t="s">
        <v>225</v>
      </c>
      <c r="D487" s="39" t="s">
        <v>139</v>
      </c>
      <c r="E487" s="38">
        <v>41</v>
      </c>
      <c r="F487" s="38">
        <v>18101.439999999999</v>
      </c>
      <c r="G487" s="38">
        <f t="shared" si="28"/>
        <v>742159.03999999992</v>
      </c>
    </row>
    <row r="488" spans="1:7" x14ac:dyDescent="0.3">
      <c r="B488" s="35">
        <v>534916</v>
      </c>
      <c r="C488" s="36" t="s">
        <v>226</v>
      </c>
      <c r="D488" s="39" t="s">
        <v>177</v>
      </c>
      <c r="E488" s="38">
        <v>83103.960000000006</v>
      </c>
      <c r="F488" s="38">
        <v>105.1</v>
      </c>
      <c r="G488" s="38">
        <f t="shared" si="28"/>
        <v>8734226.1960000005</v>
      </c>
    </row>
    <row r="489" spans="1:7" x14ac:dyDescent="0.3">
      <c r="B489" s="35">
        <v>534918</v>
      </c>
      <c r="C489" s="36" t="s">
        <v>227</v>
      </c>
      <c r="D489" s="39" t="s">
        <v>177</v>
      </c>
      <c r="E489" s="38">
        <v>15184.04</v>
      </c>
      <c r="F489" s="38">
        <v>119.92</v>
      </c>
      <c r="G489" s="38">
        <f t="shared" si="28"/>
        <v>1820870.0768000002</v>
      </c>
    </row>
    <row r="490" spans="1:7" x14ac:dyDescent="0.3">
      <c r="B490" s="35">
        <v>891070</v>
      </c>
      <c r="C490" s="36" t="s">
        <v>228</v>
      </c>
      <c r="D490" s="39" t="s">
        <v>177</v>
      </c>
      <c r="E490" s="38">
        <v>98288</v>
      </c>
      <c r="F490" s="38">
        <v>9.94</v>
      </c>
      <c r="G490" s="38">
        <f t="shared" si="28"/>
        <v>976982.72</v>
      </c>
    </row>
    <row r="491" spans="1:7" x14ac:dyDescent="0.3">
      <c r="A491" s="44"/>
      <c r="B491" s="45"/>
      <c r="C491" s="46" t="s">
        <v>73</v>
      </c>
      <c r="D491" s="47"/>
      <c r="E491" s="47"/>
      <c r="F491" s="47"/>
      <c r="G491" s="48">
        <f>SUBTOTAL(9,G486:G490)</f>
        <v>13113407.7114</v>
      </c>
    </row>
    <row r="492" spans="1:7" x14ac:dyDescent="0.3">
      <c r="B492" s="49"/>
      <c r="C492" s="49"/>
      <c r="D492" s="50"/>
      <c r="E492" s="51"/>
      <c r="F492" s="51"/>
      <c r="G492" s="51"/>
    </row>
    <row r="493" spans="1:7" x14ac:dyDescent="0.3">
      <c r="A493" s="23"/>
      <c r="B493" s="24" t="s">
        <v>229</v>
      </c>
      <c r="C493" s="25"/>
      <c r="D493" s="25"/>
      <c r="E493" s="25"/>
      <c r="F493" s="25"/>
      <c r="G493" s="26"/>
    </row>
    <row r="494" spans="1:7" x14ac:dyDescent="0.3">
      <c r="A494" s="27"/>
      <c r="B494" s="28" t="s">
        <v>127</v>
      </c>
      <c r="C494" s="28" t="s">
        <v>128</v>
      </c>
      <c r="D494" s="28" t="s">
        <v>129</v>
      </c>
      <c r="E494" s="29" t="s">
        <v>130</v>
      </c>
      <c r="F494" s="29" t="s">
        <v>131</v>
      </c>
      <c r="G494" s="29" t="s">
        <v>131</v>
      </c>
    </row>
    <row r="495" spans="1:7" x14ac:dyDescent="0.3">
      <c r="B495" s="35">
        <v>603000</v>
      </c>
      <c r="C495" s="36" t="s">
        <v>104</v>
      </c>
      <c r="D495" s="39" t="s">
        <v>174</v>
      </c>
      <c r="E495" s="38">
        <v>2247.46</v>
      </c>
      <c r="F495" s="38">
        <v>17.079999999999998</v>
      </c>
      <c r="G495" s="38">
        <f t="shared" ref="G495:G499" si="29">+E495*F495</f>
        <v>38386.616799999996</v>
      </c>
    </row>
    <row r="496" spans="1:7" x14ac:dyDescent="0.3">
      <c r="B496" s="35">
        <v>605300</v>
      </c>
      <c r="C496" s="36" t="s">
        <v>230</v>
      </c>
      <c r="D496" s="39" t="s">
        <v>175</v>
      </c>
      <c r="E496" s="38">
        <v>54.04</v>
      </c>
      <c r="F496" s="38">
        <v>658.72</v>
      </c>
      <c r="G496" s="38">
        <f t="shared" si="29"/>
        <v>35597.228800000004</v>
      </c>
    </row>
    <row r="497" spans="1:7" x14ac:dyDescent="0.3">
      <c r="B497" s="35">
        <v>693480</v>
      </c>
      <c r="C497" s="36" t="s">
        <v>231</v>
      </c>
      <c r="D497" s="39" t="s">
        <v>176</v>
      </c>
      <c r="E497" s="38">
        <v>167.58</v>
      </c>
      <c r="F497" s="38">
        <v>125.54</v>
      </c>
      <c r="G497" s="38">
        <f t="shared" si="29"/>
        <v>21037.993200000004</v>
      </c>
    </row>
    <row r="498" spans="1:7" x14ac:dyDescent="0.3">
      <c r="B498" s="35">
        <v>602000</v>
      </c>
      <c r="C498" s="36" t="s">
        <v>117</v>
      </c>
      <c r="D498" s="39" t="s">
        <v>177</v>
      </c>
      <c r="E498" s="38">
        <v>84.84</v>
      </c>
      <c r="F498" s="38">
        <v>69.27</v>
      </c>
      <c r="G498" s="38">
        <f t="shared" si="29"/>
        <v>5876.8667999999998</v>
      </c>
    </row>
    <row r="499" spans="1:7" x14ac:dyDescent="0.3">
      <c r="B499" s="35">
        <v>890619</v>
      </c>
      <c r="C499" s="36" t="s">
        <v>232</v>
      </c>
      <c r="D499" s="39" t="s">
        <v>176</v>
      </c>
      <c r="E499" s="38">
        <v>1256.83</v>
      </c>
      <c r="F499" s="38">
        <v>120.21</v>
      </c>
      <c r="G499" s="38">
        <f t="shared" si="29"/>
        <v>151083.53429999997</v>
      </c>
    </row>
    <row r="500" spans="1:7" x14ac:dyDescent="0.3">
      <c r="A500" s="44"/>
      <c r="B500" s="45"/>
      <c r="C500" s="46" t="s">
        <v>73</v>
      </c>
      <c r="D500" s="47"/>
      <c r="E500" s="47"/>
      <c r="F500" s="47"/>
      <c r="G500" s="48">
        <f>SUBTOTAL(9,G495:G499)</f>
        <v>251982.23989999999</v>
      </c>
    </row>
    <row r="501" spans="1:7" x14ac:dyDescent="0.3">
      <c r="B501" s="49"/>
      <c r="C501" s="49"/>
      <c r="D501" s="50"/>
      <c r="E501" s="51"/>
      <c r="F501" s="51"/>
      <c r="G501" s="51"/>
    </row>
    <row r="502" spans="1:7" x14ac:dyDescent="0.3">
      <c r="A502" s="23"/>
      <c r="B502" s="24" t="s">
        <v>233</v>
      </c>
      <c r="C502" s="25"/>
      <c r="D502" s="25"/>
      <c r="E502" s="25"/>
      <c r="F502" s="25"/>
      <c r="G502" s="26"/>
    </row>
    <row r="503" spans="1:7" x14ac:dyDescent="0.3">
      <c r="A503" s="27"/>
      <c r="B503" s="28" t="s">
        <v>127</v>
      </c>
      <c r="C503" s="28" t="s">
        <v>128</v>
      </c>
      <c r="D503" s="28" t="s">
        <v>129</v>
      </c>
      <c r="E503" s="29" t="s">
        <v>130</v>
      </c>
      <c r="F503" s="29" t="s">
        <v>131</v>
      </c>
      <c r="G503" s="29" t="s">
        <v>131</v>
      </c>
    </row>
    <row r="504" spans="1:7" x14ac:dyDescent="0.3">
      <c r="B504" s="35">
        <v>603000</v>
      </c>
      <c r="C504" s="36" t="s">
        <v>104</v>
      </c>
      <c r="D504" s="39" t="s">
        <v>174</v>
      </c>
      <c r="E504" s="38">
        <v>5000.9799999999996</v>
      </c>
      <c r="F504" s="38">
        <v>17.079999999999998</v>
      </c>
      <c r="G504" s="38">
        <f t="shared" ref="G504:G508" si="30">+E504*F504</f>
        <v>85416.738399999987</v>
      </c>
    </row>
    <row r="505" spans="1:7" x14ac:dyDescent="0.3">
      <c r="B505" s="35">
        <v>690370</v>
      </c>
      <c r="C505" s="36" t="s">
        <v>234</v>
      </c>
      <c r="D505" s="39" t="s">
        <v>177</v>
      </c>
      <c r="E505" s="38">
        <v>9377.2999999999993</v>
      </c>
      <c r="F505" s="38">
        <v>153.34</v>
      </c>
      <c r="G505" s="38">
        <f t="shared" si="30"/>
        <v>1437915.182</v>
      </c>
    </row>
    <row r="506" spans="1:7" x14ac:dyDescent="0.3">
      <c r="B506" s="35">
        <v>605300</v>
      </c>
      <c r="C506" s="36" t="s">
        <v>230</v>
      </c>
      <c r="D506" s="39" t="s">
        <v>175</v>
      </c>
      <c r="E506" s="38">
        <v>125.91</v>
      </c>
      <c r="F506" s="38">
        <v>658.72</v>
      </c>
      <c r="G506" s="38">
        <f t="shared" si="30"/>
        <v>82939.435200000007</v>
      </c>
    </row>
    <row r="507" spans="1:7" x14ac:dyDescent="0.3">
      <c r="B507" s="35">
        <v>602000</v>
      </c>
      <c r="C507" s="36" t="s">
        <v>117</v>
      </c>
      <c r="D507" s="39" t="s">
        <v>177</v>
      </c>
      <c r="E507" s="38">
        <v>637.61</v>
      </c>
      <c r="F507" s="38">
        <v>69.27</v>
      </c>
      <c r="G507" s="38">
        <f t="shared" si="30"/>
        <v>44167.244699999996</v>
      </c>
    </row>
    <row r="508" spans="1:7" x14ac:dyDescent="0.3">
      <c r="B508" s="35">
        <v>895772</v>
      </c>
      <c r="C508" s="36" t="s">
        <v>235</v>
      </c>
      <c r="D508" s="39" t="s">
        <v>176</v>
      </c>
      <c r="E508" s="38">
        <v>33.450000000000003</v>
      </c>
      <c r="F508" s="38">
        <v>180.66</v>
      </c>
      <c r="G508" s="38">
        <f t="shared" si="30"/>
        <v>6043.0770000000002</v>
      </c>
    </row>
    <row r="509" spans="1:7" x14ac:dyDescent="0.3">
      <c r="A509" s="44"/>
      <c r="B509" s="45"/>
      <c r="C509" s="46" t="s">
        <v>73</v>
      </c>
      <c r="D509" s="47"/>
      <c r="E509" s="47"/>
      <c r="F509" s="47"/>
      <c r="G509" s="48">
        <f>SUBTOTAL(9,G504:G508)</f>
        <v>1656481.6772999999</v>
      </c>
    </row>
    <row r="510" spans="1:7" x14ac:dyDescent="0.3">
      <c r="B510" s="49"/>
      <c r="C510" s="49"/>
      <c r="D510" s="50"/>
      <c r="E510" s="51"/>
      <c r="F510" s="51"/>
      <c r="G510" s="51"/>
    </row>
    <row r="511" spans="1:7" x14ac:dyDescent="0.3">
      <c r="A511" s="23"/>
      <c r="B511" s="24" t="s">
        <v>236</v>
      </c>
      <c r="C511" s="25"/>
      <c r="D511" s="25"/>
      <c r="E511" s="25"/>
      <c r="F511" s="25"/>
      <c r="G511" s="26"/>
    </row>
    <row r="512" spans="1:7" x14ac:dyDescent="0.3">
      <c r="A512" s="27"/>
      <c r="B512" s="28" t="s">
        <v>127</v>
      </c>
      <c r="C512" s="28" t="s">
        <v>128</v>
      </c>
      <c r="D512" s="28" t="s">
        <v>129</v>
      </c>
      <c r="E512" s="29" t="s">
        <v>130</v>
      </c>
      <c r="F512" s="29" t="s">
        <v>131</v>
      </c>
      <c r="G512" s="29" t="s">
        <v>131</v>
      </c>
    </row>
    <row r="513" spans="1:7" x14ac:dyDescent="0.3">
      <c r="B513" s="35">
        <v>692360</v>
      </c>
      <c r="C513" s="36" t="s">
        <v>115</v>
      </c>
      <c r="D513" s="39" t="s">
        <v>175</v>
      </c>
      <c r="E513" s="38">
        <v>106.85</v>
      </c>
      <c r="F513" s="38">
        <v>565.47</v>
      </c>
      <c r="G513" s="38">
        <f t="shared" ref="G513:G514" si="31">+E513*F513</f>
        <v>60420.469499999999</v>
      </c>
    </row>
    <row r="514" spans="1:7" x14ac:dyDescent="0.3">
      <c r="B514" s="35">
        <v>602000</v>
      </c>
      <c r="C514" s="36" t="s">
        <v>117</v>
      </c>
      <c r="D514" s="39" t="s">
        <v>177</v>
      </c>
      <c r="E514" s="38">
        <v>2671.36</v>
      </c>
      <c r="F514" s="38">
        <v>69.27</v>
      </c>
      <c r="G514" s="38">
        <f t="shared" si="31"/>
        <v>185045.1072</v>
      </c>
    </row>
    <row r="515" spans="1:7" x14ac:dyDescent="0.3">
      <c r="A515" s="44"/>
      <c r="B515" s="45"/>
      <c r="C515" s="46" t="s">
        <v>73</v>
      </c>
      <c r="D515" s="47"/>
      <c r="E515" s="47"/>
      <c r="F515" s="47"/>
      <c r="G515" s="48">
        <f>SUBTOTAL(9,G513:G514)</f>
        <v>245465.57670000001</v>
      </c>
    </row>
    <row r="516" spans="1:7" x14ac:dyDescent="0.3">
      <c r="B516" s="49"/>
      <c r="C516" s="49"/>
      <c r="D516" s="50"/>
      <c r="E516" s="51"/>
      <c r="F516" s="51"/>
      <c r="G516" s="51"/>
    </row>
    <row r="517" spans="1:7" x14ac:dyDescent="0.3">
      <c r="A517" s="23"/>
      <c r="B517" s="24" t="s">
        <v>237</v>
      </c>
      <c r="C517" s="25"/>
      <c r="D517" s="25"/>
      <c r="E517" s="25"/>
      <c r="F517" s="25"/>
      <c r="G517" s="26"/>
    </row>
    <row r="518" spans="1:7" x14ac:dyDescent="0.3">
      <c r="A518" s="27"/>
      <c r="B518" s="28" t="s">
        <v>127</v>
      </c>
      <c r="C518" s="28" t="s">
        <v>128</v>
      </c>
      <c r="D518" s="28" t="s">
        <v>129</v>
      </c>
      <c r="E518" s="29" t="s">
        <v>130</v>
      </c>
      <c r="F518" s="29" t="s">
        <v>131</v>
      </c>
      <c r="G518" s="29" t="s">
        <v>131</v>
      </c>
    </row>
    <row r="519" spans="1:7" x14ac:dyDescent="0.3">
      <c r="B519" s="35">
        <v>603000</v>
      </c>
      <c r="C519" s="36" t="s">
        <v>104</v>
      </c>
      <c r="D519" s="39" t="s">
        <v>174</v>
      </c>
      <c r="E519" s="38">
        <v>13335.221</v>
      </c>
      <c r="F519" s="38">
        <v>17.079999999999998</v>
      </c>
      <c r="G519" s="38">
        <f t="shared" ref="G519:G528" si="32">+E519*F519</f>
        <v>227765.57467999996</v>
      </c>
    </row>
    <row r="520" spans="1:7" x14ac:dyDescent="0.3">
      <c r="B520" s="35">
        <v>894510</v>
      </c>
      <c r="C520" s="36" t="s">
        <v>238</v>
      </c>
      <c r="D520" s="39" t="s">
        <v>139</v>
      </c>
      <c r="E520" s="38">
        <v>429</v>
      </c>
      <c r="F520" s="38">
        <v>239.74</v>
      </c>
      <c r="G520" s="38">
        <f t="shared" si="32"/>
        <v>102848.46</v>
      </c>
    </row>
    <row r="521" spans="1:7" x14ac:dyDescent="0.3">
      <c r="B521" s="35">
        <v>604000</v>
      </c>
      <c r="C521" s="36" t="s">
        <v>149</v>
      </c>
      <c r="D521" s="39" t="s">
        <v>175</v>
      </c>
      <c r="E521" s="38">
        <v>0.67</v>
      </c>
      <c r="F521" s="38">
        <v>683.65</v>
      </c>
      <c r="G521" s="38">
        <f t="shared" si="32"/>
        <v>458.0455</v>
      </c>
    </row>
    <row r="522" spans="1:7" x14ac:dyDescent="0.3">
      <c r="B522" s="35">
        <v>697125</v>
      </c>
      <c r="C522" s="36" t="s">
        <v>84</v>
      </c>
      <c r="D522" s="39" t="s">
        <v>175</v>
      </c>
      <c r="E522" s="38">
        <v>1.37</v>
      </c>
      <c r="F522" s="38">
        <v>20.64</v>
      </c>
      <c r="G522" s="38">
        <f t="shared" si="32"/>
        <v>28.276800000000001</v>
      </c>
    </row>
    <row r="523" spans="1:7" x14ac:dyDescent="0.3">
      <c r="B523" s="35">
        <v>693320</v>
      </c>
      <c r="C523" s="36" t="s">
        <v>114</v>
      </c>
      <c r="D523" s="39" t="s">
        <v>175</v>
      </c>
      <c r="E523" s="38">
        <v>189.773</v>
      </c>
      <c r="F523" s="38">
        <v>607.24</v>
      </c>
      <c r="G523" s="38">
        <f t="shared" si="32"/>
        <v>115237.75652</v>
      </c>
    </row>
    <row r="524" spans="1:7" x14ac:dyDescent="0.3">
      <c r="B524" s="35">
        <v>602000</v>
      </c>
      <c r="C524" s="36" t="s">
        <v>117</v>
      </c>
      <c r="D524" s="39" t="s">
        <v>177</v>
      </c>
      <c r="E524" s="38">
        <v>910.755</v>
      </c>
      <c r="F524" s="38">
        <v>69.27</v>
      </c>
      <c r="G524" s="38">
        <f t="shared" si="32"/>
        <v>63087.998849999996</v>
      </c>
    </row>
    <row r="525" spans="1:7" x14ac:dyDescent="0.3">
      <c r="B525" s="35">
        <v>834906</v>
      </c>
      <c r="C525" s="36" t="s">
        <v>239</v>
      </c>
      <c r="D525" s="39" t="s">
        <v>177</v>
      </c>
      <c r="E525" s="38">
        <v>816.8</v>
      </c>
      <c r="F525" s="38">
        <v>112.26</v>
      </c>
      <c r="G525" s="38">
        <f t="shared" si="32"/>
        <v>91693.967999999993</v>
      </c>
    </row>
    <row r="526" spans="1:7" x14ac:dyDescent="0.3">
      <c r="B526" s="35">
        <v>694920</v>
      </c>
      <c r="C526" s="36" t="s">
        <v>240</v>
      </c>
      <c r="D526" s="39" t="s">
        <v>174</v>
      </c>
      <c r="E526" s="38">
        <v>2236.2919999999999</v>
      </c>
      <c r="F526" s="38">
        <v>11.3</v>
      </c>
      <c r="G526" s="38">
        <f t="shared" si="32"/>
        <v>25270.099600000001</v>
      </c>
    </row>
    <row r="527" spans="1:7" x14ac:dyDescent="0.3">
      <c r="B527" s="35">
        <v>757000</v>
      </c>
      <c r="C527" s="36" t="s">
        <v>164</v>
      </c>
      <c r="D527" s="39" t="s">
        <v>176</v>
      </c>
      <c r="E527" s="38">
        <v>878.4</v>
      </c>
      <c r="F527" s="38">
        <v>267.08999999999997</v>
      </c>
      <c r="G527" s="38">
        <f t="shared" si="32"/>
        <v>234611.85599999997</v>
      </c>
    </row>
    <row r="528" spans="1:7" x14ac:dyDescent="0.3">
      <c r="B528" s="35">
        <v>603900</v>
      </c>
      <c r="C528" s="36" t="s">
        <v>119</v>
      </c>
      <c r="D528" s="39" t="s">
        <v>175</v>
      </c>
      <c r="E528" s="38">
        <v>1.37</v>
      </c>
      <c r="F528" s="38">
        <v>181.43</v>
      </c>
      <c r="G528" s="38">
        <f t="shared" si="32"/>
        <v>248.55910000000003</v>
      </c>
    </row>
    <row r="529" spans="1:7" x14ac:dyDescent="0.3">
      <c r="A529" s="44"/>
      <c r="B529" s="45"/>
      <c r="C529" s="46" t="s">
        <v>73</v>
      </c>
      <c r="D529" s="47"/>
      <c r="E529" s="47"/>
      <c r="F529" s="47"/>
      <c r="G529" s="48">
        <f>SUBTOTAL(9,G519:G528)</f>
        <v>861250.59504999989</v>
      </c>
    </row>
    <row r="530" spans="1:7" x14ac:dyDescent="0.3">
      <c r="B530" s="49"/>
      <c r="C530" s="49"/>
      <c r="D530" s="50"/>
      <c r="E530" s="51"/>
      <c r="F530" s="51"/>
      <c r="G530" s="51"/>
    </row>
    <row r="531" spans="1:7" x14ac:dyDescent="0.3">
      <c r="A531" s="23"/>
      <c r="B531" s="24" t="s">
        <v>241</v>
      </c>
      <c r="C531" s="25"/>
      <c r="D531" s="25"/>
      <c r="E531" s="25"/>
      <c r="F531" s="25"/>
      <c r="G531" s="26"/>
    </row>
    <row r="532" spans="1:7" x14ac:dyDescent="0.3">
      <c r="A532" s="27"/>
      <c r="B532" s="28" t="s">
        <v>127</v>
      </c>
      <c r="C532" s="28" t="s">
        <v>128</v>
      </c>
      <c r="D532" s="28" t="s">
        <v>129</v>
      </c>
      <c r="E532" s="29" t="s">
        <v>130</v>
      </c>
      <c r="F532" s="29" t="s">
        <v>131</v>
      </c>
      <c r="G532" s="29" t="s">
        <v>131</v>
      </c>
    </row>
    <row r="533" spans="1:7" x14ac:dyDescent="0.3">
      <c r="B533" s="35">
        <v>604000</v>
      </c>
      <c r="C533" s="36" t="s">
        <v>149</v>
      </c>
      <c r="D533" s="39" t="s">
        <v>175</v>
      </c>
      <c r="E533" s="38">
        <v>0.96</v>
      </c>
      <c r="F533" s="38">
        <v>683.65</v>
      </c>
      <c r="G533" s="38">
        <f t="shared" ref="G533:G547" si="33">+E533*F533</f>
        <v>656.30399999999997</v>
      </c>
    </row>
    <row r="534" spans="1:7" x14ac:dyDescent="0.3">
      <c r="B534" s="35">
        <v>692355</v>
      </c>
      <c r="C534" s="36" t="s">
        <v>83</v>
      </c>
      <c r="D534" s="39" t="s">
        <v>175</v>
      </c>
      <c r="E534" s="38">
        <v>2367.09</v>
      </c>
      <c r="F534" s="38">
        <v>92.7</v>
      </c>
      <c r="G534" s="38">
        <f t="shared" si="33"/>
        <v>219429.24300000002</v>
      </c>
    </row>
    <row r="535" spans="1:7" x14ac:dyDescent="0.3">
      <c r="B535" s="35">
        <v>606500</v>
      </c>
      <c r="C535" s="36" t="s">
        <v>242</v>
      </c>
      <c r="D535" s="39" t="s">
        <v>175</v>
      </c>
      <c r="E535" s="38">
        <v>1908.56</v>
      </c>
      <c r="F535" s="38">
        <v>180.02</v>
      </c>
      <c r="G535" s="38">
        <f t="shared" si="33"/>
        <v>343578.97120000003</v>
      </c>
    </row>
    <row r="536" spans="1:7" x14ac:dyDescent="0.3">
      <c r="B536" s="35">
        <v>606600</v>
      </c>
      <c r="C536" s="36" t="s">
        <v>124</v>
      </c>
      <c r="D536" s="39" t="s">
        <v>175</v>
      </c>
      <c r="E536" s="38">
        <v>438.65</v>
      </c>
      <c r="F536" s="38">
        <v>334.74</v>
      </c>
      <c r="G536" s="38">
        <f t="shared" si="33"/>
        <v>146833.701</v>
      </c>
    </row>
    <row r="537" spans="1:7" x14ac:dyDescent="0.3">
      <c r="B537" s="35">
        <v>606700</v>
      </c>
      <c r="C537" s="36" t="s">
        <v>85</v>
      </c>
      <c r="D537" s="39" t="s">
        <v>175</v>
      </c>
      <c r="E537" s="38">
        <v>19.88</v>
      </c>
      <c r="F537" s="38">
        <v>160.91</v>
      </c>
      <c r="G537" s="38">
        <f t="shared" si="33"/>
        <v>3198.8907999999997</v>
      </c>
    </row>
    <row r="538" spans="1:7" x14ac:dyDescent="0.3">
      <c r="B538" s="35">
        <v>600000</v>
      </c>
      <c r="C538" s="36" t="s">
        <v>243</v>
      </c>
      <c r="D538" s="39" t="s">
        <v>175</v>
      </c>
      <c r="E538" s="38">
        <v>255.85</v>
      </c>
      <c r="F538" s="38">
        <v>49.77</v>
      </c>
      <c r="G538" s="38">
        <f t="shared" si="33"/>
        <v>12733.654500000001</v>
      </c>
    </row>
    <row r="539" spans="1:7" x14ac:dyDescent="0.3">
      <c r="B539" s="35">
        <v>891265</v>
      </c>
      <c r="C539" s="36" t="s">
        <v>97</v>
      </c>
      <c r="D539" s="39" t="s">
        <v>175</v>
      </c>
      <c r="E539" s="38">
        <v>2367.09</v>
      </c>
      <c r="F539" s="38">
        <v>42.41</v>
      </c>
      <c r="G539" s="38">
        <f t="shared" si="33"/>
        <v>100388.28689999999</v>
      </c>
    </row>
    <row r="540" spans="1:7" x14ac:dyDescent="0.3">
      <c r="B540" s="35">
        <v>891125</v>
      </c>
      <c r="C540" s="36" t="s">
        <v>244</v>
      </c>
      <c r="D540" s="39" t="s">
        <v>139</v>
      </c>
      <c r="E540" s="38">
        <v>80</v>
      </c>
      <c r="F540" s="38">
        <v>55.83</v>
      </c>
      <c r="G540" s="38">
        <f t="shared" si="33"/>
        <v>4466.3999999999996</v>
      </c>
    </row>
    <row r="541" spans="1:7" x14ac:dyDescent="0.3">
      <c r="B541" s="35">
        <v>890021</v>
      </c>
      <c r="C541" s="36" t="s">
        <v>245</v>
      </c>
      <c r="D541" s="39" t="s">
        <v>139</v>
      </c>
      <c r="E541" s="38">
        <v>3</v>
      </c>
      <c r="F541" s="38">
        <v>52.56</v>
      </c>
      <c r="G541" s="38">
        <f t="shared" si="33"/>
        <v>157.68</v>
      </c>
    </row>
    <row r="542" spans="1:7" x14ac:dyDescent="0.3">
      <c r="B542" s="35">
        <v>590850</v>
      </c>
      <c r="C542" s="36" t="s">
        <v>246</v>
      </c>
      <c r="D542" s="39" t="s">
        <v>177</v>
      </c>
      <c r="E542" s="38">
        <v>144</v>
      </c>
      <c r="F542" s="38">
        <v>6.7</v>
      </c>
      <c r="G542" s="38">
        <f t="shared" si="33"/>
        <v>964.80000000000007</v>
      </c>
    </row>
    <row r="543" spans="1:7" x14ac:dyDescent="0.3">
      <c r="B543" s="35">
        <v>841000</v>
      </c>
      <c r="C543" s="36" t="s">
        <v>247</v>
      </c>
      <c r="D543" s="39" t="s">
        <v>176</v>
      </c>
      <c r="E543" s="38">
        <v>1396.47</v>
      </c>
      <c r="F543" s="38">
        <v>19.670000000000002</v>
      </c>
      <c r="G543" s="38">
        <f t="shared" si="33"/>
        <v>27468.564900000001</v>
      </c>
    </row>
    <row r="544" spans="1:7" x14ac:dyDescent="0.3">
      <c r="B544" s="35">
        <v>897260</v>
      </c>
      <c r="C544" s="36" t="s">
        <v>248</v>
      </c>
      <c r="D544" s="39" t="s">
        <v>176</v>
      </c>
      <c r="E544" s="38">
        <v>18409.189999999999</v>
      </c>
      <c r="F544" s="38">
        <v>12.77</v>
      </c>
      <c r="G544" s="38">
        <f t="shared" si="33"/>
        <v>235085.35629999998</v>
      </c>
    </row>
    <row r="545" spans="1:7" x14ac:dyDescent="0.3">
      <c r="B545" s="35">
        <v>895672</v>
      </c>
      <c r="C545" s="36" t="s">
        <v>249</v>
      </c>
      <c r="D545" s="39" t="s">
        <v>176</v>
      </c>
      <c r="E545" s="38">
        <v>57.75</v>
      </c>
      <c r="F545" s="38">
        <v>196.99</v>
      </c>
      <c r="G545" s="38">
        <f t="shared" si="33"/>
        <v>11376.172500000001</v>
      </c>
    </row>
    <row r="546" spans="1:7" x14ac:dyDescent="0.3">
      <c r="B546" s="35">
        <v>897315</v>
      </c>
      <c r="C546" s="36" t="s">
        <v>250</v>
      </c>
      <c r="D546" s="39" t="s">
        <v>177</v>
      </c>
      <c r="E546" s="38">
        <v>51</v>
      </c>
      <c r="F546" s="38">
        <v>22</v>
      </c>
      <c r="G546" s="38">
        <f t="shared" si="33"/>
        <v>1122</v>
      </c>
    </row>
    <row r="547" spans="1:7" x14ac:dyDescent="0.3">
      <c r="B547" s="35">
        <v>897314</v>
      </c>
      <c r="C547" s="36" t="s">
        <v>251</v>
      </c>
      <c r="D547" s="39" t="s">
        <v>139</v>
      </c>
      <c r="E547" s="38">
        <v>5</v>
      </c>
      <c r="F547" s="38">
        <v>328.28</v>
      </c>
      <c r="G547" s="38">
        <f t="shared" si="33"/>
        <v>1641.3999999999999</v>
      </c>
    </row>
    <row r="548" spans="1:7" x14ac:dyDescent="0.3">
      <c r="A548" s="44"/>
      <c r="B548" s="45"/>
      <c r="C548" s="46" t="s">
        <v>73</v>
      </c>
      <c r="D548" s="47"/>
      <c r="E548" s="47"/>
      <c r="F548" s="47"/>
      <c r="G548" s="48">
        <f>SUBTOTAL(9,G533:G547)</f>
        <v>1109101.4251000001</v>
      </c>
    </row>
    <row r="549" spans="1:7" x14ac:dyDescent="0.3">
      <c r="B549" s="49"/>
      <c r="C549" s="49"/>
      <c r="D549" s="50"/>
      <c r="E549" s="51"/>
      <c r="F549" s="51"/>
      <c r="G549" s="51"/>
    </row>
    <row r="550" spans="1:7" x14ac:dyDescent="0.3">
      <c r="A550" s="23"/>
      <c r="B550" s="24" t="s">
        <v>252</v>
      </c>
      <c r="C550" s="25"/>
      <c r="D550" s="25"/>
      <c r="E550" s="25"/>
      <c r="F550" s="25"/>
      <c r="G550" s="26"/>
    </row>
    <row r="551" spans="1:7" x14ac:dyDescent="0.3">
      <c r="A551" s="27"/>
      <c r="B551" s="28" t="s">
        <v>127</v>
      </c>
      <c r="C551" s="28" t="s">
        <v>128</v>
      </c>
      <c r="D551" s="28" t="s">
        <v>129</v>
      </c>
      <c r="E551" s="29" t="s">
        <v>130</v>
      </c>
      <c r="F551" s="29" t="s">
        <v>131</v>
      </c>
      <c r="G551" s="29" t="s">
        <v>131</v>
      </c>
    </row>
    <row r="552" spans="1:7" x14ac:dyDescent="0.3">
      <c r="B552" s="35">
        <v>603000</v>
      </c>
      <c r="C552" s="36" t="s">
        <v>104</v>
      </c>
      <c r="D552" s="39" t="s">
        <v>174</v>
      </c>
      <c r="E552" s="38">
        <v>383.49</v>
      </c>
      <c r="F552" s="38">
        <v>17.079999999999998</v>
      </c>
      <c r="G552" s="38">
        <f t="shared" ref="G552:G559" si="34">+E552*F552</f>
        <v>6550.0091999999995</v>
      </c>
    </row>
    <row r="553" spans="1:7" x14ac:dyDescent="0.3">
      <c r="B553" s="35">
        <v>692355</v>
      </c>
      <c r="C553" s="36" t="s">
        <v>83</v>
      </c>
      <c r="D553" s="39" t="s">
        <v>175</v>
      </c>
      <c r="E553" s="38">
        <v>151.38999999999999</v>
      </c>
      <c r="F553" s="38">
        <v>92.7</v>
      </c>
      <c r="G553" s="38">
        <f t="shared" si="34"/>
        <v>14033.852999999999</v>
      </c>
    </row>
    <row r="554" spans="1:7" x14ac:dyDescent="0.3">
      <c r="B554" s="35">
        <v>605300</v>
      </c>
      <c r="C554" s="36" t="s">
        <v>230</v>
      </c>
      <c r="D554" s="39" t="s">
        <v>175</v>
      </c>
      <c r="E554" s="38">
        <v>9.66</v>
      </c>
      <c r="F554" s="38">
        <v>658.72</v>
      </c>
      <c r="G554" s="38">
        <f t="shared" si="34"/>
        <v>6363.2352000000001</v>
      </c>
    </row>
    <row r="555" spans="1:7" x14ac:dyDescent="0.3">
      <c r="B555" s="35">
        <v>606600</v>
      </c>
      <c r="C555" s="36" t="s">
        <v>124</v>
      </c>
      <c r="D555" s="39" t="s">
        <v>175</v>
      </c>
      <c r="E555" s="38">
        <v>151.38999999999999</v>
      </c>
      <c r="F555" s="38">
        <v>334.74</v>
      </c>
      <c r="G555" s="38">
        <f t="shared" si="34"/>
        <v>50676.2886</v>
      </c>
    </row>
    <row r="556" spans="1:7" x14ac:dyDescent="0.3">
      <c r="B556" s="35">
        <v>600000</v>
      </c>
      <c r="C556" s="36" t="s">
        <v>243</v>
      </c>
      <c r="D556" s="39" t="s">
        <v>175</v>
      </c>
      <c r="E556" s="38">
        <v>344.06</v>
      </c>
      <c r="F556" s="38">
        <v>49.77</v>
      </c>
      <c r="G556" s="38">
        <f t="shared" si="34"/>
        <v>17123.8662</v>
      </c>
    </row>
    <row r="557" spans="1:7" x14ac:dyDescent="0.3">
      <c r="B557" s="35">
        <v>602000</v>
      </c>
      <c r="C557" s="36" t="s">
        <v>117</v>
      </c>
      <c r="D557" s="39" t="s">
        <v>177</v>
      </c>
      <c r="E557" s="38">
        <v>46.69</v>
      </c>
      <c r="F557" s="38">
        <v>69.27</v>
      </c>
      <c r="G557" s="38">
        <f t="shared" si="34"/>
        <v>3234.2162999999996</v>
      </c>
    </row>
    <row r="558" spans="1:7" x14ac:dyDescent="0.3">
      <c r="B558" s="35">
        <v>891265</v>
      </c>
      <c r="C558" s="36" t="s">
        <v>97</v>
      </c>
      <c r="D558" s="39" t="s">
        <v>175</v>
      </c>
      <c r="E558" s="38">
        <v>151.38999999999999</v>
      </c>
      <c r="F558" s="38">
        <v>42.41</v>
      </c>
      <c r="G558" s="38">
        <f t="shared" si="34"/>
        <v>6420.4498999999987</v>
      </c>
    </row>
    <row r="559" spans="1:7" x14ac:dyDescent="0.3">
      <c r="B559" s="35">
        <v>895673</v>
      </c>
      <c r="C559" s="36" t="s">
        <v>253</v>
      </c>
      <c r="D559" s="39" t="s">
        <v>176</v>
      </c>
      <c r="E559" s="38">
        <v>1892.35</v>
      </c>
      <c r="F559" s="38">
        <v>183.49</v>
      </c>
      <c r="G559" s="38">
        <f t="shared" si="34"/>
        <v>347227.3015</v>
      </c>
    </row>
    <row r="560" spans="1:7" x14ac:dyDescent="0.3">
      <c r="A560" s="44"/>
      <c r="B560" s="45"/>
      <c r="C560" s="46" t="s">
        <v>73</v>
      </c>
      <c r="D560" s="47"/>
      <c r="E560" s="47"/>
      <c r="F560" s="47"/>
      <c r="G560" s="48">
        <f>SUBTOTAL(9,G552:G559)</f>
        <v>451629.21990000003</v>
      </c>
    </row>
    <row r="561" spans="1:7" x14ac:dyDescent="0.3">
      <c r="B561" s="49"/>
      <c r="C561" s="49"/>
      <c r="D561" s="50"/>
      <c r="E561" s="51"/>
      <c r="F561" s="51"/>
      <c r="G561" s="51"/>
    </row>
    <row r="562" spans="1:7" x14ac:dyDescent="0.3">
      <c r="A562" s="44"/>
      <c r="B562" s="45"/>
      <c r="C562" s="46" t="s">
        <v>42</v>
      </c>
      <c r="D562" s="47"/>
      <c r="E562" s="47"/>
      <c r="F562" s="47"/>
      <c r="G562" s="48">
        <f>SUBTOTAL(9,G486:G561)</f>
        <v>17689318.445349999</v>
      </c>
    </row>
    <row r="563" spans="1:7" x14ac:dyDescent="0.3">
      <c r="B563" s="49"/>
      <c r="C563" s="49"/>
      <c r="D563" s="50"/>
      <c r="E563" s="51"/>
      <c r="F563" s="51"/>
      <c r="G563" s="51"/>
    </row>
    <row r="564" spans="1:7" x14ac:dyDescent="0.3">
      <c r="A564" s="23"/>
      <c r="B564" s="24" t="s">
        <v>254</v>
      </c>
      <c r="C564" s="25"/>
      <c r="D564" s="25"/>
      <c r="E564" s="25"/>
      <c r="F564" s="25"/>
      <c r="G564" s="26"/>
    </row>
    <row r="565" spans="1:7" x14ac:dyDescent="0.3">
      <c r="A565" s="27"/>
      <c r="B565" s="28" t="s">
        <v>127</v>
      </c>
      <c r="C565" s="28" t="s">
        <v>128</v>
      </c>
      <c r="D565" s="28" t="s">
        <v>129</v>
      </c>
      <c r="E565" s="29" t="s">
        <v>130</v>
      </c>
      <c r="F565" s="29" t="s">
        <v>131</v>
      </c>
      <c r="G565" s="29" t="s">
        <v>131</v>
      </c>
    </row>
    <row r="566" spans="1:7" x14ac:dyDescent="0.3">
      <c r="B566" s="35">
        <v>897893</v>
      </c>
      <c r="C566" s="36" t="s">
        <v>255</v>
      </c>
      <c r="D566" s="39" t="s">
        <v>256</v>
      </c>
      <c r="E566" s="38">
        <v>36</v>
      </c>
      <c r="F566" s="38">
        <v>16669.61</v>
      </c>
      <c r="G566" s="38">
        <f t="shared" ref="G566:G573" si="35">+E566*F566</f>
        <v>600105.96</v>
      </c>
    </row>
    <row r="567" spans="1:7" x14ac:dyDescent="0.3">
      <c r="B567" s="35">
        <v>897914</v>
      </c>
      <c r="C567" s="36" t="s">
        <v>257</v>
      </c>
      <c r="D567" s="39" t="s">
        <v>256</v>
      </c>
      <c r="E567" s="38">
        <v>13</v>
      </c>
      <c r="F567" s="38">
        <v>40534.76</v>
      </c>
      <c r="G567" s="38">
        <f t="shared" si="35"/>
        <v>526951.88</v>
      </c>
    </row>
    <row r="568" spans="1:7" x14ac:dyDescent="0.3">
      <c r="B568" s="35">
        <v>897888</v>
      </c>
      <c r="C568" s="36" t="s">
        <v>258</v>
      </c>
      <c r="D568" s="39" t="s">
        <v>256</v>
      </c>
      <c r="E568" s="38">
        <v>12</v>
      </c>
      <c r="F568" s="38">
        <v>16163.98</v>
      </c>
      <c r="G568" s="38">
        <f t="shared" si="35"/>
        <v>193967.76</v>
      </c>
    </row>
    <row r="569" spans="1:7" x14ac:dyDescent="0.3">
      <c r="B569" s="35">
        <v>897883</v>
      </c>
      <c r="C569" s="36" t="s">
        <v>259</v>
      </c>
      <c r="D569" s="39" t="s">
        <v>256</v>
      </c>
      <c r="E569" s="38">
        <v>13</v>
      </c>
      <c r="F569" s="38">
        <v>3889.93</v>
      </c>
      <c r="G569" s="38">
        <f t="shared" si="35"/>
        <v>50569.09</v>
      </c>
    </row>
    <row r="570" spans="1:7" x14ac:dyDescent="0.3">
      <c r="B570" s="35">
        <v>897878</v>
      </c>
      <c r="C570" s="36" t="s">
        <v>260</v>
      </c>
      <c r="D570" s="39" t="s">
        <v>256</v>
      </c>
      <c r="E570" s="38">
        <v>4</v>
      </c>
      <c r="F570" s="38">
        <v>65665.740000000005</v>
      </c>
      <c r="G570" s="38">
        <f t="shared" si="35"/>
        <v>262662.96000000002</v>
      </c>
    </row>
    <row r="571" spans="1:7" x14ac:dyDescent="0.3">
      <c r="B571" s="35">
        <v>897896</v>
      </c>
      <c r="C571" s="36" t="s">
        <v>261</v>
      </c>
      <c r="D571" s="39" t="s">
        <v>256</v>
      </c>
      <c r="E571" s="38">
        <v>36</v>
      </c>
      <c r="F571" s="38">
        <v>717.56</v>
      </c>
      <c r="G571" s="38">
        <f t="shared" si="35"/>
        <v>25832.159999999996</v>
      </c>
    </row>
    <row r="572" spans="1:7" x14ac:dyDescent="0.3">
      <c r="B572" s="35">
        <v>897881</v>
      </c>
      <c r="C572" s="36" t="s">
        <v>262</v>
      </c>
      <c r="D572" s="39" t="s">
        <v>256</v>
      </c>
      <c r="E572" s="38">
        <v>4</v>
      </c>
      <c r="F572" s="38">
        <v>32075.35</v>
      </c>
      <c r="G572" s="38">
        <f t="shared" si="35"/>
        <v>128301.4</v>
      </c>
    </row>
    <row r="573" spans="1:7" x14ac:dyDescent="0.3">
      <c r="B573" s="35">
        <v>897981</v>
      </c>
      <c r="C573" s="36" t="s">
        <v>263</v>
      </c>
      <c r="D573" s="39" t="s">
        <v>256</v>
      </c>
      <c r="E573" s="38">
        <v>9</v>
      </c>
      <c r="F573" s="38">
        <v>19637.62</v>
      </c>
      <c r="G573" s="38">
        <f t="shared" si="35"/>
        <v>176738.58</v>
      </c>
    </row>
    <row r="574" spans="1:7" x14ac:dyDescent="0.3">
      <c r="A574" s="44"/>
      <c r="B574" s="45"/>
      <c r="C574" s="46" t="s">
        <v>42</v>
      </c>
      <c r="D574" s="47"/>
      <c r="E574" s="47"/>
      <c r="F574" s="47"/>
      <c r="G574" s="48">
        <f>SUBTOTAL(9,G566:G573)</f>
        <v>1965129.7899999998</v>
      </c>
    </row>
    <row r="575" spans="1:7" x14ac:dyDescent="0.3">
      <c r="B575" s="49"/>
      <c r="C575" s="49"/>
      <c r="D575" s="50"/>
      <c r="E575" s="51"/>
      <c r="F575" s="51"/>
      <c r="G575" s="51"/>
    </row>
    <row r="576" spans="1:7" x14ac:dyDescent="0.3">
      <c r="A576" s="23"/>
      <c r="B576" s="24" t="s">
        <v>264</v>
      </c>
      <c r="C576" s="25"/>
      <c r="D576" s="25"/>
      <c r="E576" s="25"/>
      <c r="F576" s="25"/>
      <c r="G576" s="26"/>
    </row>
    <row r="577" spans="1:7" x14ac:dyDescent="0.3">
      <c r="A577" s="27"/>
      <c r="B577" s="28" t="s">
        <v>127</v>
      </c>
      <c r="C577" s="28" t="s">
        <v>128</v>
      </c>
      <c r="D577" s="28" t="s">
        <v>129</v>
      </c>
      <c r="E577" s="29" t="s">
        <v>130</v>
      </c>
      <c r="F577" s="29" t="s">
        <v>131</v>
      </c>
      <c r="G577" s="29" t="s">
        <v>131</v>
      </c>
    </row>
    <row r="578" spans="1:7" x14ac:dyDescent="0.3">
      <c r="B578" s="35">
        <v>894280</v>
      </c>
      <c r="C578" s="36" t="s">
        <v>265</v>
      </c>
      <c r="D578" s="39" t="s">
        <v>29</v>
      </c>
      <c r="E578" s="38">
        <v>1</v>
      </c>
      <c r="F578" s="38">
        <v>20285310.18</v>
      </c>
      <c r="G578" s="38">
        <f t="shared" ref="G578:G579" si="36">+E578*F578</f>
        <v>20285310.18</v>
      </c>
    </row>
    <row r="579" spans="1:7" x14ac:dyDescent="0.3">
      <c r="B579" s="35">
        <v>892479</v>
      </c>
      <c r="C579" s="36" t="s">
        <v>266</v>
      </c>
      <c r="D579" s="39" t="s">
        <v>29</v>
      </c>
      <c r="E579" s="38">
        <v>1</v>
      </c>
      <c r="F579" s="38">
        <v>2699164.75</v>
      </c>
      <c r="G579" s="38">
        <f t="shared" si="36"/>
        <v>2699164.75</v>
      </c>
    </row>
    <row r="580" spans="1:7" x14ac:dyDescent="0.3">
      <c r="A580" s="44"/>
      <c r="B580" s="45"/>
      <c r="C580" s="46" t="s">
        <v>42</v>
      </c>
      <c r="D580" s="47"/>
      <c r="E580" s="47"/>
      <c r="F580" s="47"/>
      <c r="G580" s="48">
        <f>SUBTOTAL(9,G578:G579)</f>
        <v>22984474.93</v>
      </c>
    </row>
    <row r="581" spans="1:7" x14ac:dyDescent="0.3">
      <c r="B581" s="49"/>
      <c r="C581" s="49"/>
      <c r="D581" s="50"/>
      <c r="E581" s="51"/>
      <c r="F581" s="51"/>
      <c r="G581" s="51"/>
    </row>
    <row r="582" spans="1:7" x14ac:dyDescent="0.3">
      <c r="A582" s="23"/>
      <c r="B582" s="24" t="s">
        <v>267</v>
      </c>
      <c r="C582" s="25"/>
      <c r="D582" s="25"/>
      <c r="E582" s="25"/>
      <c r="F582" s="25"/>
      <c r="G582" s="26"/>
    </row>
    <row r="583" spans="1:7" x14ac:dyDescent="0.3">
      <c r="A583" s="27"/>
      <c r="B583" s="28" t="s">
        <v>127</v>
      </c>
      <c r="C583" s="28" t="s">
        <v>128</v>
      </c>
      <c r="D583" s="28" t="s">
        <v>129</v>
      </c>
      <c r="E583" s="29" t="s">
        <v>130</v>
      </c>
      <c r="F583" s="29" t="s">
        <v>131</v>
      </c>
      <c r="G583" s="29" t="s">
        <v>131</v>
      </c>
    </row>
    <row r="584" spans="1:7" x14ac:dyDescent="0.3">
      <c r="B584" s="35">
        <v>990550</v>
      </c>
      <c r="C584" s="36" t="s">
        <v>268</v>
      </c>
      <c r="D584" s="39" t="s">
        <v>29</v>
      </c>
      <c r="E584" s="38">
        <v>1</v>
      </c>
      <c r="F584" s="38">
        <v>233478.51</v>
      </c>
      <c r="G584" s="38">
        <f t="shared" ref="G584" si="37">+E584*F584</f>
        <v>233478.51</v>
      </c>
    </row>
    <row r="585" spans="1:7" x14ac:dyDescent="0.3">
      <c r="A585" s="44"/>
      <c r="B585" s="45"/>
      <c r="C585" s="46" t="s">
        <v>42</v>
      </c>
      <c r="D585" s="47"/>
      <c r="E585" s="47"/>
      <c r="F585" s="47"/>
      <c r="G585" s="48">
        <f>SUBTOTAL(9,G584:G584)</f>
        <v>233478.51</v>
      </c>
    </row>
    <row r="586" spans="1:7" x14ac:dyDescent="0.3">
      <c r="B586" s="49"/>
      <c r="C586" s="49"/>
      <c r="D586" s="50"/>
      <c r="E586" s="51"/>
      <c r="F586" s="51"/>
      <c r="G586" s="51"/>
    </row>
    <row r="587" spans="1:7" x14ac:dyDescent="0.3">
      <c r="A587" s="44"/>
      <c r="B587" s="45"/>
      <c r="C587" s="46" t="s">
        <v>269</v>
      </c>
      <c r="D587" s="47"/>
      <c r="E587" s="47"/>
      <c r="F587" s="47"/>
      <c r="G587" s="48">
        <f>SUBTOTAL(9,G10:G585)</f>
        <v>274003176.82308024</v>
      </c>
    </row>
    <row r="588" spans="1:7" x14ac:dyDescent="0.3">
      <c r="D588" s="60"/>
    </row>
    <row r="589" spans="1:7" x14ac:dyDescent="0.3">
      <c r="A589" s="27"/>
      <c r="C589" s="62" t="s">
        <v>270</v>
      </c>
      <c r="D589" s="63">
        <v>14.28</v>
      </c>
      <c r="E589" s="64" t="s">
        <v>271</v>
      </c>
      <c r="F589" s="65" t="s">
        <v>272</v>
      </c>
      <c r="G589" s="27"/>
    </row>
    <row r="590" spans="1:7" x14ac:dyDescent="0.3">
      <c r="C590" s="66" t="str">
        <f>$B$8</f>
        <v>01 - TERRAPLENAGEM</v>
      </c>
      <c r="D590" s="67">
        <f>+E590/$E$602</f>
        <v>1.2043183801955262E-2</v>
      </c>
      <c r="E590" s="68">
        <f>$G$28</f>
        <v>3299870.6207999997</v>
      </c>
      <c r="F590" s="68">
        <f t="shared" ref="F590:F602" si="38">+E590/$D$589</f>
        <v>231083.37680672266</v>
      </c>
    </row>
    <row r="591" spans="1:7" x14ac:dyDescent="0.3">
      <c r="C591" s="69" t="str">
        <f>$B$30</f>
        <v>02 - PAVIMENTO RÍGIDO</v>
      </c>
      <c r="D591" s="70">
        <f t="shared" ref="D591:D601" si="39">+E591/$E$602</f>
        <v>0.13050967652024625</v>
      </c>
      <c r="E591" s="71">
        <f>$G$43</f>
        <v>35760065.9727</v>
      </c>
      <c r="F591" s="71">
        <f t="shared" si="38"/>
        <v>2504206.3006092436</v>
      </c>
    </row>
    <row r="592" spans="1:7" x14ac:dyDescent="0.3">
      <c r="C592" s="69" t="str">
        <f>$B$45</f>
        <v>03 - PAVIMENTAÇÃO (FLEXÍVEL)</v>
      </c>
      <c r="D592" s="70">
        <f t="shared" si="39"/>
        <v>0.21641570007740554</v>
      </c>
      <c r="E592" s="71">
        <f>$G$67</f>
        <v>59298589.335599989</v>
      </c>
      <c r="F592" s="71">
        <f t="shared" si="38"/>
        <v>4152562.2784033609</v>
      </c>
    </row>
    <row r="593" spans="1:7" x14ac:dyDescent="0.3">
      <c r="C593" s="69" t="str">
        <f>$B$69</f>
        <v>04 - LIGANTES BETUMINOSOS</v>
      </c>
      <c r="D593" s="70">
        <f t="shared" si="39"/>
        <v>6.1005723811564189E-2</v>
      </c>
      <c r="E593" s="71">
        <f>$G$74</f>
        <v>16715762.128760001</v>
      </c>
      <c r="F593" s="71">
        <f t="shared" si="38"/>
        <v>1170571.5776442578</v>
      </c>
    </row>
    <row r="594" spans="1:7" x14ac:dyDescent="0.3">
      <c r="C594" s="69" t="str">
        <f>$B$76</f>
        <v>05 - DRENAGEM</v>
      </c>
      <c r="D594" s="70">
        <f t="shared" si="39"/>
        <v>0.33881224789609887</v>
      </c>
      <c r="E594" s="71">
        <f>$G$139</f>
        <v>92835632.270099983</v>
      </c>
      <c r="F594" s="71">
        <f t="shared" si="38"/>
        <v>6501094.6967857135</v>
      </c>
    </row>
    <row r="595" spans="1:7" x14ac:dyDescent="0.3">
      <c r="C595" s="69" t="str">
        <f>$B$141</f>
        <v>06. - OBRAS DE ARTE ESPECIAIS</v>
      </c>
      <c r="D595" s="70">
        <f t="shared" si="39"/>
        <v>3.6633139578820077E-2</v>
      </c>
      <c r="E595" s="71">
        <f>G451</f>
        <v>10037596.621600006</v>
      </c>
      <c r="F595" s="71">
        <f t="shared" si="38"/>
        <v>702912.92868347385</v>
      </c>
    </row>
    <row r="596" spans="1:7" x14ac:dyDescent="0.3">
      <c r="C596" s="69" t="str">
        <f>$B$453</f>
        <v>07 - SINALIZAÇÃO</v>
      </c>
      <c r="D596" s="70">
        <f t="shared" si="39"/>
        <v>4.7386428926528876E-2</v>
      </c>
      <c r="E596" s="72">
        <f>G471</f>
        <v>12984032.064170001</v>
      </c>
      <c r="F596" s="71">
        <f t="shared" si="38"/>
        <v>909245.94286904775</v>
      </c>
    </row>
    <row r="597" spans="1:7" x14ac:dyDescent="0.3">
      <c r="C597" s="69" t="str">
        <f>$B$473</f>
        <v>08 - SINALIZAÇÃO PROVISÓRIA</v>
      </c>
      <c r="D597" s="70">
        <f t="shared" si="39"/>
        <v>7.2709424872339178E-4</v>
      </c>
      <c r="E597" s="71">
        <f>$G$481</f>
        <v>199226.13399999999</v>
      </c>
      <c r="F597" s="71">
        <f t="shared" si="38"/>
        <v>13951.409943977591</v>
      </c>
    </row>
    <row r="598" spans="1:7" x14ac:dyDescent="0.3">
      <c r="C598" s="69" t="str">
        <f>$B$483</f>
        <v>09 - SERVIÇOS COMPLEMENTARES</v>
      </c>
      <c r="D598" s="70">
        <f t="shared" si="39"/>
        <v>6.455880785926707E-2</v>
      </c>
      <c r="E598" s="71">
        <f>$G$562</f>
        <v>17689318.445349999</v>
      </c>
      <c r="F598" s="71">
        <f t="shared" si="38"/>
        <v>1238747.7902906162</v>
      </c>
    </row>
    <row r="599" spans="1:7" x14ac:dyDescent="0.3">
      <c r="C599" s="69" t="str">
        <f>$B$564</f>
        <v>10 - PROGRAMAS AMBIENTAIS</v>
      </c>
      <c r="D599" s="70">
        <f t="shared" si="39"/>
        <v>7.1719233798112382E-3</v>
      </c>
      <c r="E599" s="71">
        <f>$G$574</f>
        <v>1965129.7899999998</v>
      </c>
      <c r="F599" s="71">
        <f t="shared" si="38"/>
        <v>137614.13095238095</v>
      </c>
    </row>
    <row r="600" spans="1:7" x14ac:dyDescent="0.3">
      <c r="C600" s="69" t="str">
        <f>$B$576</f>
        <v>11 - ADMINISTRAÇÃO LOCAL E INSTALAÇÃO DE CANTEIRO</v>
      </c>
      <c r="D600" s="70">
        <f t="shared" si="39"/>
        <v>8.3883972428687406E-2</v>
      </c>
      <c r="E600" s="71">
        <f>$G$580</f>
        <v>22984474.93</v>
      </c>
      <c r="F600" s="71">
        <f t="shared" si="38"/>
        <v>1609557.067927171</v>
      </c>
    </row>
    <row r="601" spans="1:7" x14ac:dyDescent="0.3">
      <c r="C601" s="73" t="str">
        <f>$B$582</f>
        <v>12 - MOBILIZAÇÃO</v>
      </c>
      <c r="D601" s="74">
        <f t="shared" si="39"/>
        <v>8.5210147089190085E-4</v>
      </c>
      <c r="E601" s="75">
        <f>$G$585</f>
        <v>233478.51</v>
      </c>
      <c r="F601" s="75">
        <f t="shared" si="38"/>
        <v>16350.035714285716</v>
      </c>
    </row>
    <row r="602" spans="1:7" x14ac:dyDescent="0.3">
      <c r="A602" s="44"/>
      <c r="B602" s="44"/>
      <c r="C602" s="76" t="s">
        <v>273</v>
      </c>
      <c r="D602" s="77">
        <f>SUM(D590:D601)</f>
        <v>1</v>
      </c>
      <c r="E602" s="48">
        <f>SUM(E590:E601)</f>
        <v>274003176.82307994</v>
      </c>
      <c r="F602" s="48">
        <f t="shared" si="38"/>
        <v>19187897.536630251</v>
      </c>
      <c r="G602" s="78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Marcio Zanetti</dc:creator>
  <cp:lastModifiedBy>Caio Marcio Zanetti</cp:lastModifiedBy>
  <dcterms:created xsi:type="dcterms:W3CDTF">2026-01-21T16:22:08Z</dcterms:created>
  <dcterms:modified xsi:type="dcterms:W3CDTF">2026-01-21T16:22:39Z</dcterms:modified>
</cp:coreProperties>
</file>
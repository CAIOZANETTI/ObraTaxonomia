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zanetti\Downloads\"/>
    </mc:Choice>
  </mc:AlternateContent>
  <xr:revisionPtr revIDLastSave="0" documentId="8_{E061E86A-93B0-45B1-BAD9-AACB68332C0D}" xr6:coauthVersionLast="47" xr6:coauthVersionMax="47" xr10:uidLastSave="{00000000-0000-0000-0000-000000000000}"/>
  <bookViews>
    <workbookView xWindow="-108" yWindow="-108" windowWidth="23256" windowHeight="12456" xr2:uid="{3A44E07E-16BB-4F13-BA03-BBA40E0304D6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6" i="1" l="1"/>
  <c r="G746" i="1" s="1"/>
  <c r="G747" i="1" s="1"/>
  <c r="F743" i="1"/>
  <c r="G743" i="1" s="1"/>
  <c r="F742" i="1"/>
  <c r="G742" i="1" s="1"/>
  <c r="F741" i="1"/>
  <c r="G741" i="1" s="1"/>
  <c r="G740" i="1"/>
  <c r="F740" i="1"/>
  <c r="F738" i="1"/>
  <c r="G738" i="1" s="1"/>
  <c r="G737" i="1"/>
  <c r="F737" i="1"/>
  <c r="F736" i="1"/>
  <c r="G736" i="1" s="1"/>
  <c r="F735" i="1"/>
  <c r="G735" i="1" s="1"/>
  <c r="F733" i="1"/>
  <c r="G733" i="1" s="1"/>
  <c r="G731" i="1"/>
  <c r="F731" i="1"/>
  <c r="F730" i="1"/>
  <c r="G730" i="1" s="1"/>
  <c r="G729" i="1"/>
  <c r="F729" i="1"/>
  <c r="F728" i="1"/>
  <c r="G728" i="1" s="1"/>
  <c r="F724" i="1"/>
  <c r="G724" i="1" s="1"/>
  <c r="F723" i="1"/>
  <c r="G723" i="1" s="1"/>
  <c r="F719" i="1"/>
  <c r="G719" i="1" s="1"/>
  <c r="G717" i="1"/>
  <c r="F717" i="1"/>
  <c r="F715" i="1"/>
  <c r="G715" i="1" s="1"/>
  <c r="F713" i="1"/>
  <c r="G713" i="1" s="1"/>
  <c r="F711" i="1"/>
  <c r="G711" i="1" s="1"/>
  <c r="G710" i="1"/>
  <c r="F710" i="1"/>
  <c r="F706" i="1"/>
  <c r="G706" i="1" s="1"/>
  <c r="G705" i="1"/>
  <c r="F705" i="1"/>
  <c r="G703" i="1"/>
  <c r="F703" i="1"/>
  <c r="F699" i="1"/>
  <c r="G699" i="1" s="1"/>
  <c r="G700" i="1" s="1"/>
  <c r="G695" i="1"/>
  <c r="F695" i="1"/>
  <c r="F693" i="1"/>
  <c r="G693" i="1" s="1"/>
  <c r="G691" i="1"/>
  <c r="F691" i="1"/>
  <c r="G690" i="1"/>
  <c r="F690" i="1"/>
  <c r="F688" i="1"/>
  <c r="G688" i="1" s="1"/>
  <c r="F687" i="1"/>
  <c r="G687" i="1" s="1"/>
  <c r="G685" i="1"/>
  <c r="F685" i="1"/>
  <c r="F684" i="1"/>
  <c r="G684" i="1" s="1"/>
  <c r="G696" i="1" s="1"/>
  <c r="F680" i="1"/>
  <c r="G680" i="1" s="1"/>
  <c r="F679" i="1"/>
  <c r="G679" i="1" s="1"/>
  <c r="G678" i="1"/>
  <c r="F678" i="1"/>
  <c r="G676" i="1"/>
  <c r="F676" i="1"/>
  <c r="F675" i="1"/>
  <c r="G675" i="1" s="1"/>
  <c r="G674" i="1"/>
  <c r="F674" i="1"/>
  <c r="F672" i="1"/>
  <c r="G672" i="1" s="1"/>
  <c r="F671" i="1"/>
  <c r="G671" i="1" s="1"/>
  <c r="F667" i="1"/>
  <c r="G667" i="1" s="1"/>
  <c r="G666" i="1"/>
  <c r="F666" i="1"/>
  <c r="G661" i="1"/>
  <c r="G660" i="1"/>
  <c r="F660" i="1"/>
  <c r="F657" i="1"/>
  <c r="G657" i="1" s="1"/>
  <c r="G658" i="1" s="1"/>
  <c r="F654" i="1"/>
  <c r="G654" i="1" s="1"/>
  <c r="G653" i="1"/>
  <c r="F653" i="1"/>
  <c r="F652" i="1"/>
  <c r="G652" i="1" s="1"/>
  <c r="G651" i="1"/>
  <c r="F651" i="1"/>
  <c r="G650" i="1"/>
  <c r="F650" i="1"/>
  <c r="F649" i="1"/>
  <c r="G649" i="1" s="1"/>
  <c r="F648" i="1"/>
  <c r="G648" i="1" s="1"/>
  <c r="G647" i="1"/>
  <c r="F647" i="1"/>
  <c r="F646" i="1"/>
  <c r="G646" i="1" s="1"/>
  <c r="F643" i="1"/>
  <c r="G643" i="1" s="1"/>
  <c r="F642" i="1"/>
  <c r="G642" i="1" s="1"/>
  <c r="G641" i="1"/>
  <c r="F641" i="1"/>
  <c r="G640" i="1"/>
  <c r="F640" i="1"/>
  <c r="F639" i="1"/>
  <c r="G639" i="1" s="1"/>
  <c r="G638" i="1"/>
  <c r="F638" i="1"/>
  <c r="F637" i="1"/>
  <c r="G637" i="1" s="1"/>
  <c r="F636" i="1"/>
  <c r="G636" i="1" s="1"/>
  <c r="F635" i="1"/>
  <c r="G635" i="1" s="1"/>
  <c r="F630" i="1"/>
  <c r="G630" i="1" s="1"/>
  <c r="G629" i="1"/>
  <c r="G631" i="1" s="1"/>
  <c r="F629" i="1"/>
  <c r="G626" i="1"/>
  <c r="G627" i="1" s="1"/>
  <c r="F626" i="1"/>
  <c r="F622" i="1"/>
  <c r="G622" i="1" s="1"/>
  <c r="G620" i="1"/>
  <c r="G623" i="1" s="1"/>
  <c r="F620" i="1"/>
  <c r="F616" i="1"/>
  <c r="G616" i="1" s="1"/>
  <c r="G617" i="1" s="1"/>
  <c r="F612" i="1"/>
  <c r="G612" i="1" s="1"/>
  <c r="F610" i="1"/>
  <c r="G610" i="1" s="1"/>
  <c r="F609" i="1"/>
  <c r="G609" i="1" s="1"/>
  <c r="G607" i="1"/>
  <c r="F607" i="1"/>
  <c r="F605" i="1"/>
  <c r="G605" i="1" s="1"/>
  <c r="G602" i="1"/>
  <c r="G601" i="1"/>
  <c r="F601" i="1"/>
  <c r="G599" i="1"/>
  <c r="F599" i="1"/>
  <c r="G598" i="1"/>
  <c r="F598" i="1"/>
  <c r="G594" i="1"/>
  <c r="F594" i="1"/>
  <c r="F593" i="1"/>
  <c r="G593" i="1" s="1"/>
  <c r="F587" i="1"/>
  <c r="G587" i="1" s="1"/>
  <c r="G588" i="1" s="1"/>
  <c r="G584" i="1"/>
  <c r="F584" i="1"/>
  <c r="F583" i="1"/>
  <c r="G583" i="1" s="1"/>
  <c r="G585" i="1" s="1"/>
  <c r="F580" i="1"/>
  <c r="G580" i="1" s="1"/>
  <c r="G581" i="1" s="1"/>
  <c r="G576" i="1"/>
  <c r="F576" i="1"/>
  <c r="G574" i="1"/>
  <c r="F574" i="1"/>
  <c r="G572" i="1"/>
  <c r="F572" i="1"/>
  <c r="F570" i="1"/>
  <c r="G570" i="1" s="1"/>
  <c r="G568" i="1"/>
  <c r="F568" i="1"/>
  <c r="F567" i="1"/>
  <c r="G567" i="1" s="1"/>
  <c r="G566" i="1"/>
  <c r="F566" i="1"/>
  <c r="G565" i="1"/>
  <c r="F565" i="1"/>
  <c r="G563" i="1"/>
  <c r="F563" i="1"/>
  <c r="F561" i="1"/>
  <c r="G561" i="1" s="1"/>
  <c r="G577" i="1" s="1"/>
  <c r="F557" i="1"/>
  <c r="G557" i="1" s="1"/>
  <c r="G558" i="1" s="1"/>
  <c r="G554" i="1"/>
  <c r="G553" i="1"/>
  <c r="F553" i="1"/>
  <c r="G552" i="1"/>
  <c r="F552" i="1"/>
  <c r="F548" i="1"/>
  <c r="G548" i="1" s="1"/>
  <c r="G546" i="1"/>
  <c r="F546" i="1"/>
  <c r="F545" i="1"/>
  <c r="G545" i="1" s="1"/>
  <c r="G543" i="1"/>
  <c r="F543" i="1"/>
  <c r="F541" i="1"/>
  <c r="G541" i="1" s="1"/>
  <c r="F537" i="1"/>
  <c r="G537" i="1" s="1"/>
  <c r="F536" i="1"/>
  <c r="G536" i="1" s="1"/>
  <c r="G534" i="1"/>
  <c r="F534" i="1"/>
  <c r="F533" i="1"/>
  <c r="G533" i="1" s="1"/>
  <c r="G538" i="1" s="1"/>
  <c r="F529" i="1"/>
  <c r="G529" i="1" s="1"/>
  <c r="F528" i="1"/>
  <c r="G528" i="1" s="1"/>
  <c r="G522" i="1"/>
  <c r="F522" i="1"/>
  <c r="F521" i="1"/>
  <c r="G521" i="1" s="1"/>
  <c r="G523" i="1" s="1"/>
  <c r="G518" i="1"/>
  <c r="G517" i="1"/>
  <c r="F517" i="1"/>
  <c r="F513" i="1"/>
  <c r="G513" i="1" s="1"/>
  <c r="F512" i="1"/>
  <c r="G512" i="1" s="1"/>
  <c r="G510" i="1"/>
  <c r="F510" i="1"/>
  <c r="F509" i="1"/>
  <c r="G509" i="1" s="1"/>
  <c r="G514" i="1" s="1"/>
  <c r="F504" i="1"/>
  <c r="G504" i="1" s="1"/>
  <c r="F500" i="1"/>
  <c r="G500" i="1" s="1"/>
  <c r="F499" i="1"/>
  <c r="G499" i="1" s="1"/>
  <c r="G498" i="1"/>
  <c r="F498" i="1"/>
  <c r="F497" i="1"/>
  <c r="G497" i="1" s="1"/>
  <c r="G495" i="1"/>
  <c r="F495" i="1"/>
  <c r="F492" i="1"/>
  <c r="G492" i="1" s="1"/>
  <c r="G490" i="1"/>
  <c r="F490" i="1"/>
  <c r="G488" i="1"/>
  <c r="F488" i="1"/>
  <c r="F486" i="1"/>
  <c r="G486" i="1" s="1"/>
  <c r="G484" i="1"/>
  <c r="F484" i="1"/>
  <c r="F478" i="1"/>
  <c r="G478" i="1" s="1"/>
  <c r="G479" i="1" s="1"/>
  <c r="F474" i="1"/>
  <c r="G474" i="1" s="1"/>
  <c r="F469" i="1"/>
  <c r="G469" i="1" s="1"/>
  <c r="G470" i="1" s="1"/>
  <c r="F466" i="1"/>
  <c r="G466" i="1" s="1"/>
  <c r="F465" i="1"/>
  <c r="G465" i="1" s="1"/>
  <c r="F462" i="1"/>
  <c r="G462" i="1" s="1"/>
  <c r="G461" i="1"/>
  <c r="F461" i="1"/>
  <c r="F456" i="1"/>
  <c r="G456" i="1" s="1"/>
  <c r="G457" i="1" s="1"/>
  <c r="G458" i="1" s="1"/>
  <c r="G451" i="1"/>
  <c r="F451" i="1"/>
  <c r="F450" i="1"/>
  <c r="G450" i="1" s="1"/>
  <c r="G452" i="1" s="1"/>
  <c r="F447" i="1"/>
  <c r="G447" i="1" s="1"/>
  <c r="G446" i="1"/>
  <c r="F446" i="1"/>
  <c r="F445" i="1"/>
  <c r="G445" i="1" s="1"/>
  <c r="F444" i="1"/>
  <c r="G444" i="1" s="1"/>
  <c r="G442" i="1"/>
  <c r="F442" i="1"/>
  <c r="G441" i="1"/>
  <c r="F441" i="1"/>
  <c r="F440" i="1"/>
  <c r="G440" i="1" s="1"/>
  <c r="G439" i="1"/>
  <c r="F439" i="1"/>
  <c r="F437" i="1"/>
  <c r="G437" i="1" s="1"/>
  <c r="F435" i="1"/>
  <c r="G435" i="1" s="1"/>
  <c r="G434" i="1"/>
  <c r="F434" i="1"/>
  <c r="G433" i="1"/>
  <c r="F433" i="1"/>
  <c r="F432" i="1"/>
  <c r="G432" i="1" s="1"/>
  <c r="F428" i="1"/>
  <c r="G428" i="1" s="1"/>
  <c r="G426" i="1"/>
  <c r="F426" i="1"/>
  <c r="F424" i="1"/>
  <c r="G424" i="1" s="1"/>
  <c r="G420" i="1"/>
  <c r="F420" i="1"/>
  <c r="F419" i="1"/>
  <c r="G419" i="1" s="1"/>
  <c r="F418" i="1"/>
  <c r="G418" i="1" s="1"/>
  <c r="F417" i="1"/>
  <c r="G417" i="1" s="1"/>
  <c r="F416" i="1"/>
  <c r="G416" i="1" s="1"/>
  <c r="G415" i="1"/>
  <c r="F415" i="1"/>
  <c r="G413" i="1"/>
  <c r="F413" i="1"/>
  <c r="F411" i="1"/>
  <c r="G411" i="1" s="1"/>
  <c r="F409" i="1"/>
  <c r="G409" i="1" s="1"/>
  <c r="F407" i="1"/>
  <c r="G407" i="1" s="1"/>
  <c r="F406" i="1"/>
  <c r="G406" i="1" s="1"/>
  <c r="G421" i="1" s="1"/>
  <c r="F402" i="1"/>
  <c r="G402" i="1" s="1"/>
  <c r="G401" i="1"/>
  <c r="F401" i="1"/>
  <c r="G400" i="1"/>
  <c r="F400" i="1"/>
  <c r="F398" i="1"/>
  <c r="G398" i="1" s="1"/>
  <c r="G403" i="1" s="1"/>
  <c r="F394" i="1"/>
  <c r="G394" i="1" s="1"/>
  <c r="G392" i="1"/>
  <c r="F392" i="1"/>
  <c r="G391" i="1"/>
  <c r="F391" i="1"/>
  <c r="F387" i="1"/>
  <c r="G387" i="1" s="1"/>
  <c r="F385" i="1"/>
  <c r="G385" i="1" s="1"/>
  <c r="G384" i="1"/>
  <c r="F384" i="1"/>
  <c r="F382" i="1"/>
  <c r="G382" i="1" s="1"/>
  <c r="F381" i="1"/>
  <c r="G381" i="1" s="1"/>
  <c r="G380" i="1"/>
  <c r="F380" i="1"/>
  <c r="F378" i="1"/>
  <c r="G378" i="1" s="1"/>
  <c r="F377" i="1"/>
  <c r="G377" i="1" s="1"/>
  <c r="G375" i="1"/>
  <c r="F375" i="1"/>
  <c r="G371" i="1"/>
  <c r="F371" i="1"/>
  <c r="G370" i="1"/>
  <c r="F370" i="1"/>
  <c r="F369" i="1"/>
  <c r="G369" i="1" s="1"/>
  <c r="F367" i="1"/>
  <c r="G367" i="1" s="1"/>
  <c r="F366" i="1"/>
  <c r="G366" i="1" s="1"/>
  <c r="F365" i="1"/>
  <c r="G365" i="1" s="1"/>
  <c r="G363" i="1"/>
  <c r="F363" i="1"/>
  <c r="G362" i="1"/>
  <c r="F362" i="1"/>
  <c r="F358" i="1"/>
  <c r="G358" i="1" s="1"/>
  <c r="F357" i="1"/>
  <c r="G357" i="1" s="1"/>
  <c r="F351" i="1"/>
  <c r="G351" i="1" s="1"/>
  <c r="F350" i="1"/>
  <c r="G350" i="1" s="1"/>
  <c r="G352" i="1" s="1"/>
  <c r="F347" i="1"/>
  <c r="G347" i="1" s="1"/>
  <c r="F346" i="1"/>
  <c r="G346" i="1" s="1"/>
  <c r="F345" i="1"/>
  <c r="G345" i="1" s="1"/>
  <c r="F344" i="1"/>
  <c r="G344" i="1" s="1"/>
  <c r="F342" i="1"/>
  <c r="G342" i="1" s="1"/>
  <c r="G348" i="1" s="1"/>
  <c r="F338" i="1"/>
  <c r="G338" i="1" s="1"/>
  <c r="F337" i="1"/>
  <c r="G337" i="1" s="1"/>
  <c r="F335" i="1"/>
  <c r="G335" i="1" s="1"/>
  <c r="G339" i="1" s="1"/>
  <c r="F332" i="1"/>
  <c r="G332" i="1" s="1"/>
  <c r="G333" i="1" s="1"/>
  <c r="F328" i="1"/>
  <c r="G328" i="1" s="1"/>
  <c r="G329" i="1" s="1"/>
  <c r="F324" i="1"/>
  <c r="G324" i="1" s="1"/>
  <c r="G322" i="1"/>
  <c r="G325" i="1" s="1"/>
  <c r="F322" i="1"/>
  <c r="G318" i="1"/>
  <c r="F318" i="1"/>
  <c r="F317" i="1"/>
  <c r="G317" i="1" s="1"/>
  <c r="F316" i="1"/>
  <c r="G316" i="1" s="1"/>
  <c r="G319" i="1" s="1"/>
  <c r="F312" i="1"/>
  <c r="G312" i="1" s="1"/>
  <c r="F311" i="1"/>
  <c r="G311" i="1" s="1"/>
  <c r="F305" i="1"/>
  <c r="G305" i="1" s="1"/>
  <c r="F304" i="1"/>
  <c r="G304" i="1" s="1"/>
  <c r="G306" i="1" s="1"/>
  <c r="F301" i="1"/>
  <c r="G301" i="1" s="1"/>
  <c r="G302" i="1" s="1"/>
  <c r="F297" i="1"/>
  <c r="G297" i="1" s="1"/>
  <c r="G295" i="1"/>
  <c r="F295" i="1"/>
  <c r="F293" i="1"/>
  <c r="G293" i="1" s="1"/>
  <c r="F292" i="1"/>
  <c r="G292" i="1" s="1"/>
  <c r="G291" i="1"/>
  <c r="G298" i="1" s="1"/>
  <c r="F291" i="1"/>
  <c r="F287" i="1"/>
  <c r="G287" i="1" s="1"/>
  <c r="F286" i="1"/>
  <c r="G286" i="1" s="1"/>
  <c r="F284" i="1"/>
  <c r="G284" i="1" s="1"/>
  <c r="G288" i="1" s="1"/>
  <c r="F280" i="1"/>
  <c r="G280" i="1" s="1"/>
  <c r="G281" i="1" s="1"/>
  <c r="F276" i="1"/>
  <c r="G276" i="1" s="1"/>
  <c r="F274" i="1"/>
  <c r="G274" i="1" s="1"/>
  <c r="F273" i="1"/>
  <c r="G273" i="1" s="1"/>
  <c r="F271" i="1"/>
  <c r="G271" i="1" s="1"/>
  <c r="F269" i="1"/>
  <c r="G269" i="1" s="1"/>
  <c r="G265" i="1"/>
  <c r="F265" i="1"/>
  <c r="F263" i="1"/>
  <c r="G263" i="1" s="1"/>
  <c r="F262" i="1"/>
  <c r="G262" i="1" s="1"/>
  <c r="F258" i="1"/>
  <c r="G258" i="1" s="1"/>
  <c r="F257" i="1"/>
  <c r="G257" i="1" s="1"/>
  <c r="F251" i="1"/>
  <c r="G251" i="1" s="1"/>
  <c r="F250" i="1"/>
  <c r="G250" i="1" s="1"/>
  <c r="F249" i="1"/>
  <c r="G249" i="1" s="1"/>
  <c r="F248" i="1"/>
  <c r="G248" i="1" s="1"/>
  <c r="F246" i="1"/>
  <c r="G246" i="1" s="1"/>
  <c r="F245" i="1"/>
  <c r="G245" i="1" s="1"/>
  <c r="F244" i="1"/>
  <c r="G244" i="1" s="1"/>
  <c r="F243" i="1"/>
  <c r="G243" i="1" s="1"/>
  <c r="F241" i="1"/>
  <c r="G241" i="1" s="1"/>
  <c r="F240" i="1"/>
  <c r="G240" i="1" s="1"/>
  <c r="F239" i="1"/>
  <c r="G239" i="1" s="1"/>
  <c r="F238" i="1"/>
  <c r="G238" i="1" s="1"/>
  <c r="F234" i="1"/>
  <c r="G234" i="1" s="1"/>
  <c r="F232" i="1"/>
  <c r="G232" i="1" s="1"/>
  <c r="F229" i="1"/>
  <c r="G229" i="1" s="1"/>
  <c r="F227" i="1"/>
  <c r="G227" i="1" s="1"/>
  <c r="G230" i="1" s="1"/>
  <c r="G223" i="1"/>
  <c r="F223" i="1"/>
  <c r="F222" i="1"/>
  <c r="G222" i="1" s="1"/>
  <c r="F220" i="1"/>
  <c r="G220" i="1" s="1"/>
  <c r="F218" i="1"/>
  <c r="G218" i="1" s="1"/>
  <c r="G216" i="1"/>
  <c r="F216" i="1"/>
  <c r="F215" i="1"/>
  <c r="G215" i="1" s="1"/>
  <c r="G211" i="1"/>
  <c r="F211" i="1"/>
  <c r="G210" i="1"/>
  <c r="F210" i="1"/>
  <c r="F208" i="1"/>
  <c r="G208" i="1" s="1"/>
  <c r="G212" i="1" s="1"/>
  <c r="F204" i="1"/>
  <c r="G204" i="1" s="1"/>
  <c r="F202" i="1"/>
  <c r="G202" i="1" s="1"/>
  <c r="G200" i="1"/>
  <c r="G205" i="1" s="1"/>
  <c r="F200" i="1"/>
  <c r="F196" i="1"/>
  <c r="G196" i="1" s="1"/>
  <c r="F194" i="1"/>
  <c r="G194" i="1" s="1"/>
  <c r="F193" i="1"/>
  <c r="G193" i="1" s="1"/>
  <c r="G191" i="1"/>
  <c r="F191" i="1"/>
  <c r="F190" i="1"/>
  <c r="G190" i="1" s="1"/>
  <c r="F188" i="1"/>
  <c r="G188" i="1" s="1"/>
  <c r="F187" i="1"/>
  <c r="G187" i="1" s="1"/>
  <c r="F185" i="1"/>
  <c r="G185" i="1" s="1"/>
  <c r="F184" i="1"/>
  <c r="G184" i="1" s="1"/>
  <c r="F180" i="1"/>
  <c r="G180" i="1" s="1"/>
  <c r="G179" i="1"/>
  <c r="F179" i="1"/>
  <c r="G177" i="1"/>
  <c r="F177" i="1"/>
  <c r="F176" i="1"/>
  <c r="G176" i="1" s="1"/>
  <c r="G174" i="1"/>
  <c r="F174" i="1"/>
  <c r="F173" i="1"/>
  <c r="G173" i="1" s="1"/>
  <c r="F172" i="1"/>
  <c r="G172" i="1" s="1"/>
  <c r="G170" i="1"/>
  <c r="F170" i="1"/>
  <c r="G169" i="1"/>
  <c r="F169" i="1"/>
  <c r="F165" i="1"/>
  <c r="G165" i="1" s="1"/>
  <c r="F164" i="1"/>
  <c r="G164" i="1" s="1"/>
  <c r="F159" i="1"/>
  <c r="G159" i="1" s="1"/>
  <c r="F158" i="1"/>
  <c r="G158" i="1" s="1"/>
  <c r="F157" i="1"/>
  <c r="G157" i="1" s="1"/>
  <c r="F155" i="1"/>
  <c r="G155" i="1" s="1"/>
  <c r="F154" i="1"/>
  <c r="G154" i="1" s="1"/>
  <c r="F153" i="1"/>
  <c r="G153" i="1" s="1"/>
  <c r="F148" i="1"/>
  <c r="G148" i="1" s="1"/>
  <c r="G149" i="1" s="1"/>
  <c r="F145" i="1"/>
  <c r="G145" i="1" s="1"/>
  <c r="F144" i="1"/>
  <c r="G144" i="1" s="1"/>
  <c r="F143" i="1"/>
  <c r="G143" i="1" s="1"/>
  <c r="F142" i="1"/>
  <c r="G142" i="1" s="1"/>
  <c r="G141" i="1"/>
  <c r="F141" i="1"/>
  <c r="F140" i="1"/>
  <c r="G140" i="1" s="1"/>
  <c r="F136" i="1"/>
  <c r="G136" i="1" s="1"/>
  <c r="F130" i="1"/>
  <c r="G130" i="1" s="1"/>
  <c r="F129" i="1"/>
  <c r="G129" i="1" s="1"/>
  <c r="G131" i="1" s="1"/>
  <c r="F126" i="1"/>
  <c r="G126" i="1" s="1"/>
  <c r="F125" i="1"/>
  <c r="G125" i="1" s="1"/>
  <c r="F124" i="1"/>
  <c r="G124" i="1" s="1"/>
  <c r="F123" i="1"/>
  <c r="G123" i="1" s="1"/>
  <c r="G122" i="1"/>
  <c r="F122" i="1"/>
  <c r="G120" i="1"/>
  <c r="F120" i="1"/>
  <c r="F119" i="1"/>
  <c r="G119" i="1" s="1"/>
  <c r="F118" i="1"/>
  <c r="G118" i="1" s="1"/>
  <c r="F117" i="1"/>
  <c r="G117" i="1" s="1"/>
  <c r="F116" i="1"/>
  <c r="G116" i="1" s="1"/>
  <c r="F115" i="1"/>
  <c r="G115" i="1" s="1"/>
  <c r="G114" i="1"/>
  <c r="F114" i="1"/>
  <c r="F113" i="1"/>
  <c r="G113" i="1" s="1"/>
  <c r="F111" i="1"/>
  <c r="G111" i="1" s="1"/>
  <c r="F109" i="1"/>
  <c r="G109" i="1" s="1"/>
  <c r="F108" i="1"/>
  <c r="G108" i="1" s="1"/>
  <c r="F107" i="1"/>
  <c r="G107" i="1" s="1"/>
  <c r="G106" i="1"/>
  <c r="F106" i="1"/>
  <c r="F105" i="1"/>
  <c r="G105" i="1" s="1"/>
  <c r="F104" i="1"/>
  <c r="G104" i="1" s="1"/>
  <c r="F103" i="1"/>
  <c r="G103" i="1" s="1"/>
  <c r="F99" i="1"/>
  <c r="G99" i="1" s="1"/>
  <c r="F98" i="1"/>
  <c r="G98" i="1" s="1"/>
  <c r="G100" i="1" s="1"/>
  <c r="F94" i="1"/>
  <c r="G94" i="1" s="1"/>
  <c r="F93" i="1"/>
  <c r="G93" i="1" s="1"/>
  <c r="F91" i="1"/>
  <c r="G91" i="1" s="1"/>
  <c r="F90" i="1"/>
  <c r="G90" i="1" s="1"/>
  <c r="F88" i="1"/>
  <c r="G88" i="1" s="1"/>
  <c r="G87" i="1"/>
  <c r="F87" i="1"/>
  <c r="F86" i="1"/>
  <c r="G86" i="1" s="1"/>
  <c r="F85" i="1"/>
  <c r="G85" i="1" s="1"/>
  <c r="F83" i="1"/>
  <c r="G83" i="1" s="1"/>
  <c r="F81" i="1"/>
  <c r="G81" i="1" s="1"/>
  <c r="F79" i="1"/>
  <c r="G79" i="1" s="1"/>
  <c r="G78" i="1"/>
  <c r="F78" i="1"/>
  <c r="G74" i="1"/>
  <c r="F74" i="1"/>
  <c r="G73" i="1"/>
  <c r="F73" i="1"/>
  <c r="G72" i="1"/>
  <c r="F72" i="1"/>
  <c r="G71" i="1"/>
  <c r="F71" i="1"/>
  <c r="F69" i="1"/>
  <c r="G69" i="1" s="1"/>
  <c r="G75" i="1" s="1"/>
  <c r="F65" i="1"/>
  <c r="G65" i="1" s="1"/>
  <c r="F63" i="1"/>
  <c r="G63" i="1" s="1"/>
  <c r="F62" i="1"/>
  <c r="G62" i="1" s="1"/>
  <c r="F61" i="1"/>
  <c r="G61" i="1" s="1"/>
  <c r="F60" i="1"/>
  <c r="G60" i="1" s="1"/>
  <c r="G56" i="1"/>
  <c r="F56" i="1"/>
  <c r="G54" i="1"/>
  <c r="F54" i="1"/>
  <c r="G53" i="1"/>
  <c r="F53" i="1"/>
  <c r="F51" i="1"/>
  <c r="G51" i="1" s="1"/>
  <c r="F50" i="1"/>
  <c r="G50" i="1" s="1"/>
  <c r="F49" i="1"/>
  <c r="G49" i="1" s="1"/>
  <c r="F48" i="1"/>
  <c r="G48" i="1" s="1"/>
  <c r="F46" i="1"/>
  <c r="G46" i="1" s="1"/>
  <c r="F45" i="1"/>
  <c r="G45" i="1" s="1"/>
  <c r="F43" i="1"/>
  <c r="G43" i="1" s="1"/>
  <c r="F42" i="1"/>
  <c r="G42" i="1" s="1"/>
  <c r="F41" i="1"/>
  <c r="G41" i="1" s="1"/>
  <c r="F37" i="1"/>
  <c r="G37" i="1" s="1"/>
  <c r="F36" i="1"/>
  <c r="G36" i="1" s="1"/>
  <c r="F34" i="1"/>
  <c r="G34" i="1" s="1"/>
  <c r="F33" i="1"/>
  <c r="G33" i="1" s="1"/>
  <c r="F32" i="1"/>
  <c r="G32" i="1" s="1"/>
  <c r="G30" i="1"/>
  <c r="F30" i="1"/>
  <c r="F29" i="1"/>
  <c r="G29" i="1" s="1"/>
  <c r="F28" i="1"/>
  <c r="G28" i="1" s="1"/>
  <c r="F26" i="1"/>
  <c r="G26" i="1" s="1"/>
  <c r="F25" i="1"/>
  <c r="G25" i="1" s="1"/>
  <c r="G38" i="1" s="1"/>
  <c r="F21" i="1"/>
  <c r="G21" i="1" s="1"/>
  <c r="F20" i="1"/>
  <c r="G20" i="1" s="1"/>
  <c r="F16" i="1"/>
  <c r="G16" i="1" s="1"/>
  <c r="F15" i="1"/>
  <c r="G15" i="1" s="1"/>
  <c r="F14" i="1"/>
  <c r="G14" i="1" s="1"/>
  <c r="G17" i="1" s="1"/>
  <c r="F11" i="1"/>
  <c r="G11" i="1" s="1"/>
  <c r="G12" i="1" s="1"/>
  <c r="F8" i="1"/>
  <c r="G8" i="1" s="1"/>
  <c r="G448" i="1" l="1"/>
  <c r="G277" i="1"/>
  <c r="G681" i="1"/>
  <c r="G530" i="1"/>
  <c r="G589" i="1" s="1"/>
  <c r="G9" i="1"/>
  <c r="G132" i="1"/>
  <c r="G95" i="1"/>
  <c r="G197" i="1"/>
  <c r="G127" i="1"/>
  <c r="G160" i="1"/>
  <c r="G161" i="1" s="1"/>
  <c r="G467" i="1"/>
  <c r="G613" i="1"/>
  <c r="G707" i="1"/>
  <c r="G725" i="1"/>
  <c r="G505" i="1"/>
  <c r="G181" i="1"/>
  <c r="G22" i="1"/>
  <c r="G501" i="1"/>
  <c r="G595" i="1"/>
  <c r="G632" i="1" s="1"/>
  <c r="G744" i="1"/>
  <c r="G748" i="1" s="1"/>
  <c r="G57" i="1"/>
  <c r="G137" i="1"/>
  <c r="G235" i="1"/>
  <c r="G359" i="1"/>
  <c r="G475" i="1"/>
  <c r="G480" i="1" s="1"/>
  <c r="G549" i="1"/>
  <c r="G644" i="1"/>
  <c r="G662" i="1" s="1"/>
  <c r="G655" i="1"/>
  <c r="G224" i="1"/>
  <c r="G252" i="1"/>
  <c r="G259" i="1"/>
  <c r="G307" i="1" s="1"/>
  <c r="G720" i="1"/>
  <c r="G166" i="1"/>
  <c r="G253" i="1" s="1"/>
  <c r="G313" i="1"/>
  <c r="G353" i="1"/>
  <c r="G388" i="1"/>
  <c r="G429" i="1"/>
  <c r="G453" i="1" s="1"/>
  <c r="G146" i="1"/>
  <c r="G150" i="1" s="1"/>
  <c r="G66" i="1"/>
  <c r="G372" i="1"/>
  <c r="G395" i="1"/>
  <c r="G266" i="1"/>
  <c r="G463" i="1"/>
  <c r="G471" i="1" s="1"/>
  <c r="G668" i="1"/>
  <c r="G493" i="1"/>
  <c r="G506" i="1" s="1"/>
  <c r="G524" i="1" s="1"/>
</calcChain>
</file>

<file path=xl/sharedStrings.xml><?xml version="1.0" encoding="utf-8"?>
<sst xmlns="http://schemas.openxmlformats.org/spreadsheetml/2006/main" count="1753" uniqueCount="749">
  <si>
    <t>Objeto:</t>
  </si>
  <si>
    <t>EXECUÇÃO  DE  OBRAS  DE  REDES  COLETORAS  DE  ESGOTO  ,  COLETORES  TRONCO,  EEES  E  LINHAS  DE RECALQUE DO SISTEMA DE ESGOTAMENTO SANITÁRIO   NO MUNICÍPIO DE ITAPECERICA DA SERRA   - UGR GUARAPIRANGA - UNSUL - MS</t>
  </si>
  <si>
    <t>PLANILHA DE ORÇAMENTO</t>
  </si>
  <si>
    <t>ITEM</t>
  </si>
  <si>
    <t>DESCRIÇÃO</t>
  </si>
  <si>
    <t>N.PRECO</t>
  </si>
  <si>
    <t>UN. MED.</t>
  </si>
  <si>
    <t>QUANT.</t>
  </si>
  <si>
    <t>PREÇO UNIT.</t>
  </si>
  <si>
    <t>TOTAL</t>
  </si>
  <si>
    <t>01000000</t>
  </si>
  <si>
    <t>EXECUÇÃO DE OBRAS PARA IMPLANTAÇÃO DE RCE,COLETORES TRONCO, EEES E LINHAS DE RECALQUE -MUNICIPIO DE ITAPECERICA DA SERRA</t>
  </si>
  <si>
    <t>01010000</t>
  </si>
  <si>
    <t>CANTEIRO DE OBRAS</t>
  </si>
  <si>
    <t>01010001</t>
  </si>
  <si>
    <t>INSTALAÇÃO DE CANTEIRO DE OBRAS TIPO I</t>
  </si>
  <si>
    <t>GB</t>
  </si>
  <si>
    <t>Total do Grupo</t>
  </si>
  <si>
    <t>01020000</t>
  </si>
  <si>
    <t>MANUTENÇÃO DE CANTEIRO DE OBRAS</t>
  </si>
  <si>
    <t>01020001</t>
  </si>
  <si>
    <t>MANUTENÇÃO DO CANTEIRO DE OBRAS TIPO 1</t>
  </si>
  <si>
    <t>MES</t>
  </si>
  <si>
    <t>01030000</t>
  </si>
  <si>
    <t>SERVIÇOS ESPECIALIZADOS REFERENTES AO PLANO DE GESTÃO AMBIENTAL, COMUNICAÇÃO E SÓCIO EDUCATIVO</t>
  </si>
  <si>
    <t>01030001</t>
  </si>
  <si>
    <t>PLANO DE AÇÕES SOCIO EDUCATIVA</t>
  </si>
  <si>
    <t>01030002</t>
  </si>
  <si>
    <t>PLANO DE GESTÃO AMBIENTAL</t>
  </si>
  <si>
    <t>01030003</t>
  </si>
  <si>
    <t>PLANO DE COMUNICAÇÃO SOCIO EDUCATIVA</t>
  </si>
  <si>
    <t>01040000</t>
  </si>
  <si>
    <t>REDES COLETORAS ITAPECERICA DA SERRA</t>
  </si>
  <si>
    <t>01040100</t>
  </si>
  <si>
    <t>LOCAÇÃO E CADASTRO</t>
  </si>
  <si>
    <t>01040101</t>
  </si>
  <si>
    <t>LOCAÇÃO DE REDES DE ESGOTOS (ATÉ DIAM. 500MM)</t>
  </si>
  <si>
    <t>020201</t>
  </si>
  <si>
    <t>M</t>
  </si>
  <si>
    <t>01040102</t>
  </si>
  <si>
    <t>CADASTRO DE REDES</t>
  </si>
  <si>
    <t>020205</t>
  </si>
  <si>
    <t>01050000</t>
  </si>
  <si>
    <t>SERVIÇOS PRELIMINARES</t>
  </si>
  <si>
    <t>01050100</t>
  </si>
  <si>
    <t>TRANSITO E SEGURANÇA</t>
  </si>
  <si>
    <t>01050101</t>
  </si>
  <si>
    <t>SINALIZAÇÃO LUMINOSA PARA OBRAS</t>
  </si>
  <si>
    <t>030101</t>
  </si>
  <si>
    <t>01050102</t>
  </si>
  <si>
    <t>TAPUME CONTÍNUO EM CHAPAS DE MADEIRA</t>
  </si>
  <si>
    <t>030110</t>
  </si>
  <si>
    <t>01050200</t>
  </si>
  <si>
    <t>PASSADIÇOS E TRAVESSIAS</t>
  </si>
  <si>
    <t>01050201</t>
  </si>
  <si>
    <t>PASSADIÇOS DE MADEIRA PARA PEDESTRES</t>
  </si>
  <si>
    <t>030201</t>
  </si>
  <si>
    <t>M2</t>
  </si>
  <si>
    <t>01050202</t>
  </si>
  <si>
    <t>PASSADIÇOS DE MADEIRA PARA VEÍCULOS</t>
  </si>
  <si>
    <t>030205</t>
  </si>
  <si>
    <t>01050203</t>
  </si>
  <si>
    <t>PASSADIÇOS DE CHAPA METÁLICA PARA VEÍCULOS</t>
  </si>
  <si>
    <t>030206</t>
  </si>
  <si>
    <t>01050300</t>
  </si>
  <si>
    <t>SUSTENTAÇÃO DE ESTRUTURAS</t>
  </si>
  <si>
    <t>01050301</t>
  </si>
  <si>
    <t>ESCORAMENTO DE POSTES</t>
  </si>
  <si>
    <t>030301</t>
  </si>
  <si>
    <t>UN</t>
  </si>
  <si>
    <t>01050302</t>
  </si>
  <si>
    <t>SUSTENTAÇÃO DE TUBULAÇÕES EXISTENTES - PRANCHAS DE PEROBA</t>
  </si>
  <si>
    <t>030302</t>
  </si>
  <si>
    <t>M3</t>
  </si>
  <si>
    <t>01050303</t>
  </si>
  <si>
    <t>SUSTENTAÇÃO DE TUBULAÇÕES EXISTENTES - PERFIS METÁLICOS</t>
  </si>
  <si>
    <t>030303</t>
  </si>
  <si>
    <t>T</t>
  </si>
  <si>
    <t>01050400</t>
  </si>
  <si>
    <t>DESMATAMENTO E LIMPEZA</t>
  </si>
  <si>
    <t>01050401</t>
  </si>
  <si>
    <t>CORTE DE ÁRVORE COM DESTOCAMENTO</t>
  </si>
  <si>
    <t>030501</t>
  </si>
  <si>
    <t>01050402</t>
  </si>
  <si>
    <t>ROÇADA E CAPINA</t>
  </si>
  <si>
    <t>030502</t>
  </si>
  <si>
    <t>01060000</t>
  </si>
  <si>
    <t>MOVIMENTO DE TERRA</t>
  </si>
  <si>
    <t>01060100</t>
  </si>
  <si>
    <t>ESCAVAÇÃO EM GERAL</t>
  </si>
  <si>
    <t>01060101</t>
  </si>
  <si>
    <t>RASPAGEM DA CAMADA SUPERFICIAL</t>
  </si>
  <si>
    <t>040101</t>
  </si>
  <si>
    <t>01060102</t>
  </si>
  <si>
    <t>ESCAVAÇÃO EM JAZIDA DE SOLO</t>
  </si>
  <si>
    <t>040104</t>
  </si>
  <si>
    <t>01060103</t>
  </si>
  <si>
    <t>ESCAVAÇÃO EM ROCHA COMPACTA A FRIO COM ARGAMASSA EXPANSIVA, EM POÇOS E VALAS</t>
  </si>
  <si>
    <t>040109</t>
  </si>
  <si>
    <t>01060200</t>
  </si>
  <si>
    <t>ESCAVAÇÃO MANUAL DE VALAS, POÇOS E CAVAS</t>
  </si>
  <si>
    <t>01060201</t>
  </si>
  <si>
    <t>ESCAVAÇÃO MANUAL DE VALAS, POÇOS E CAVAS EM SOLO NÃO ROCHOSO, COM PROFUNDIDADE ATÉ 2,00 M</t>
  </si>
  <si>
    <t>040205</t>
  </si>
  <si>
    <t>01060202</t>
  </si>
  <si>
    <t>ESCAVAÇÃO MANUAL DE VALAS, POÇOS E CAVAS EM SOLO NÃO ROCHOSO, COM PROFUNDIDADE ATÉ 4,00 M</t>
  </si>
  <si>
    <t>040207</t>
  </si>
  <si>
    <t>01060300</t>
  </si>
  <si>
    <t>ESCAVAÇÃO MECANIZADA DE VALAS EM SOLO NÃO ROCHOSO</t>
  </si>
  <si>
    <t>01060301</t>
  </si>
  <si>
    <t>ESCAVAÇÃO MECANIZADA DE VALAS, EM SOLO NÃO ROCHOSO, COM PROFUNDIDADE ATÉ 2,00 M (A)</t>
  </si>
  <si>
    <t>040606</t>
  </si>
  <si>
    <t>01060302</t>
  </si>
  <si>
    <t>ESCAVAÇÃO MECANIZADA DE VALAS, EM SOLO NÃO ROCHOSO, COM PROFUNDIDADE ATÉ 3,00 M (A)</t>
  </si>
  <si>
    <t>040607</t>
  </si>
  <si>
    <t>01060303</t>
  </si>
  <si>
    <t>ESCAVAÇÃO MECANIZADA DE VALAS, EM SOLO NÃO ROCHOSO, COM PROFUNDIDADE ATÉ 4,00 M (A)</t>
  </si>
  <si>
    <t>040608</t>
  </si>
  <si>
    <t>01060304</t>
  </si>
  <si>
    <t>ESCAVAÇÃO MECANIZADA DE VALAS, EM SOLO NÃO ROCHOSO, COM PROFUNDIDADE ATÉ 6,00 M (A)</t>
  </si>
  <si>
    <t>040609</t>
  </si>
  <si>
    <t>01060400</t>
  </si>
  <si>
    <t>ATERRO DE VALAS, POÇOS E CAVAS</t>
  </si>
  <si>
    <t>01060401</t>
  </si>
  <si>
    <t>ATERRO DE VALAS, POÇOS E CAVAS COMPACTADO MECANICAMENTE, SEM CONTROLE DO G.C. (A)</t>
  </si>
  <si>
    <t>040802</t>
  </si>
  <si>
    <t>01060402</t>
  </si>
  <si>
    <t>ATERRO DE VALAS, POÇOS E CAVAS COMPACTADO MECANICAMENTE, COM CONTROLE DO G.C. &gt;= 95% DO E.N.C (A)</t>
  </si>
  <si>
    <t>040803</t>
  </si>
  <si>
    <t>01060500</t>
  </si>
  <si>
    <t>CARGA, TRANSPORTE E DESCARGA</t>
  </si>
  <si>
    <t>01060501</t>
  </si>
  <si>
    <t>TRANSPORTE DE MATERIAL ESCAVADO - SOLO (A)</t>
  </si>
  <si>
    <t>041002</t>
  </si>
  <si>
    <t>M3XKM</t>
  </si>
  <si>
    <t>01070000</t>
  </si>
  <si>
    <t>ESCORAMENTOS</t>
  </si>
  <si>
    <t>01070100</t>
  </si>
  <si>
    <t>ESTRUTURAS DE ESCORAMENTO - MADEIRA</t>
  </si>
  <si>
    <t>01070101</t>
  </si>
  <si>
    <t>PONTALETEAMENTO (A)</t>
  </si>
  <si>
    <t>050101</t>
  </si>
  <si>
    <t>01070102</t>
  </si>
  <si>
    <t>ESCORAMENTO DESCONTÍNUO (A)</t>
  </si>
  <si>
    <t>050102</t>
  </si>
  <si>
    <t>01070103</t>
  </si>
  <si>
    <t>ESCORAMENTO CONTÍNUO (A)</t>
  </si>
  <si>
    <t>050103</t>
  </si>
  <si>
    <t>01070104</t>
  </si>
  <si>
    <t>ESCORAMENTO ESPECIAL (A)</t>
  </si>
  <si>
    <t>050104</t>
  </si>
  <si>
    <t>01070200</t>
  </si>
  <si>
    <t>MATERIAL PERDIDO PERTENCENTE AOS ESCORAMENTOS DO TIPO MADEIRA, METÁLICO-MADEIRA E METÁLICO</t>
  </si>
  <si>
    <t>01070201</t>
  </si>
  <si>
    <t>MATERIAL PERDIDO - MADEIRA</t>
  </si>
  <si>
    <t>050401</t>
  </si>
  <si>
    <t>01080000</t>
  </si>
  <si>
    <t>ESGOTAMENTO</t>
  </si>
  <si>
    <t>01080100</t>
  </si>
  <si>
    <t>ÁGUAS SUPERFICIAIS</t>
  </si>
  <si>
    <t>01080101</t>
  </si>
  <si>
    <t>ESGOTAMENTO COM BOMBAS DE SUPERFÍCIE OU SUBMERSAS</t>
  </si>
  <si>
    <t>060101</t>
  </si>
  <si>
    <t>HPXH</t>
  </si>
  <si>
    <t>01080200</t>
  </si>
  <si>
    <t>REBAIXAMENTO DE LENÇOL FREÁTICO COM PONTEIRAS - VALAS</t>
  </si>
  <si>
    <t>01080201</t>
  </si>
  <si>
    <t>REBAIXAMENTO DE LENÇOL POR CONJUNTO DE PONTEIRAS ATÉ 2,00M</t>
  </si>
  <si>
    <t>060201</t>
  </si>
  <si>
    <t>01080202</t>
  </si>
  <si>
    <t>REBAIXAMENTO DE LENÇOL POR CONJUNTO DE PONTEIRAS ATÉ 4,00M</t>
  </si>
  <si>
    <t>060202</t>
  </si>
  <si>
    <t>01080203</t>
  </si>
  <si>
    <t>REBAIXAMENTO DE LENÇOL POR CONJUNTO DE PONTEIRAS ATÉ 6,00M</t>
  </si>
  <si>
    <t>060203</t>
  </si>
  <si>
    <t>01080204</t>
  </si>
  <si>
    <t>MOBILIZAÇÃO DE EQUIPE E EQUIPAMENTOS PARA REBAIXAMENTO DE PONTEIRAS FILTRANTES</t>
  </si>
  <si>
    <t>060204</t>
  </si>
  <si>
    <t>01090000</t>
  </si>
  <si>
    <t>FUNDAÇÕES E ESTRUTURAS</t>
  </si>
  <si>
    <t>01090100</t>
  </si>
  <si>
    <t>LASTROS</t>
  </si>
  <si>
    <t>01090101</t>
  </si>
  <si>
    <t>LASTRO DE AREIA (A)</t>
  </si>
  <si>
    <t>080401</t>
  </si>
  <si>
    <t>01090102</t>
  </si>
  <si>
    <t>LASTRO DE PEDRA BRITADA (A)</t>
  </si>
  <si>
    <t>080402</t>
  </si>
  <si>
    <t>01090200</t>
  </si>
  <si>
    <t>LASTRO, LAJE E BERÇO PARA ASSENTAMENTO DE TUBOS E PEÇAS</t>
  </si>
  <si>
    <t>01090201</t>
  </si>
  <si>
    <t>LASTRO, LAJE E BERÇO   PARA ASSENTAMENTO, DIÂMETRO 200 MM (A)</t>
  </si>
  <si>
    <t>080604</t>
  </si>
  <si>
    <t>01090300</t>
  </si>
  <si>
    <t>CONCRETO ESTRUTURAL PARA ESTRUTURAS NÃO SUJEITAS A CONTATO COM ÁGUA E ESGOTO</t>
  </si>
  <si>
    <t>01090301</t>
  </si>
  <si>
    <t>CONCRETO ESTRUTURAL P/ ESTRUTURAS NÃO SUJEITAS A CONTATO COM ÁGUA E ESGOTO, FCK = 20,0 MPA</t>
  </si>
  <si>
    <t>081202</t>
  </si>
  <si>
    <t>01090400</t>
  </si>
  <si>
    <t>POÇO DE VISITA   - DIÂMETRO 1,00M PARA REDES DE ESGOTO</t>
  </si>
  <si>
    <t>01090401</t>
  </si>
  <si>
    <t>PV D=1,00M EM TUBO CONCRETO C/PBJE - PROF.ATÉ 2,00M</t>
  </si>
  <si>
    <t>082111</t>
  </si>
  <si>
    <t>01090402</t>
  </si>
  <si>
    <t>PV D=1,00M EM TUBO CONCRETO C/PBJE - PROF.ATÉ 3,00M</t>
  </si>
  <si>
    <t>082112</t>
  </si>
  <si>
    <t>01090403</t>
  </si>
  <si>
    <t>PV D=1,00M EM TUBO CONCRETO C/PBJE - PROF.ATÉ 4,00M</t>
  </si>
  <si>
    <t>082113</t>
  </si>
  <si>
    <t>01090404</t>
  </si>
  <si>
    <t>PV D=1,00M EM TUBO CONCRETO C/PBJE - PROF.ATÉ 5,00M</t>
  </si>
  <si>
    <t>082114</t>
  </si>
  <si>
    <t>01090500</t>
  </si>
  <si>
    <t>POÇO DE INSPEÇÃO - DIÂMETRO 0,60M</t>
  </si>
  <si>
    <t>01090501</t>
  </si>
  <si>
    <t>PI D=0,60M EM ALVENARIA - PROF. ATÉ 1,60 M</t>
  </si>
  <si>
    <t>082501</t>
  </si>
  <si>
    <t>01090502</t>
  </si>
  <si>
    <t>PI D=0,60M EM TUBO DE CONCRETO C/ PBJE - PROF. ATÉ 1,60M</t>
  </si>
  <si>
    <t>082512</t>
  </si>
  <si>
    <t>01090600</t>
  </si>
  <si>
    <t>DISPOSITIVOS ESPECIAIS E ESTRUTURAS ACESSÓRIAS</t>
  </si>
  <si>
    <t>01090601</t>
  </si>
  <si>
    <t>ASSENTAMENTO DE TUBO DE QUEDA</t>
  </si>
  <si>
    <t>082803</t>
  </si>
  <si>
    <t>01090602</t>
  </si>
  <si>
    <t>TERMINAL DE LIMPEZA</t>
  </si>
  <si>
    <t>082806</t>
  </si>
  <si>
    <t>01100000</t>
  </si>
  <si>
    <t>ASSENTAMENTO</t>
  </si>
  <si>
    <t>01100100</t>
  </si>
  <si>
    <t>ASSENTAMENTO SIMPLES DE TUBOS E PEÇAS EM PVC, PE,RPVC E DEFOFO</t>
  </si>
  <si>
    <t>01100101</t>
  </si>
  <si>
    <t>ASSENTAMENTO SIMPLES DE TUBOS E PEÇAS, DN   200MM, EM PVC RÍGIDO, RPVC E DEFOFO - JE (A)</t>
  </si>
  <si>
    <t>090605</t>
  </si>
  <si>
    <t>01100102</t>
  </si>
  <si>
    <t>EXECUÇÃO DE OBRAS DE RCE POR MÉTODO NÃO DESTRUTIVO (MND)- DH=300 MM,COM FORNECIMENTO DE MATERIAIS</t>
  </si>
  <si>
    <t>01110000</t>
  </si>
  <si>
    <t>PAVIMENTAÇÃO</t>
  </si>
  <si>
    <t>01110100</t>
  </si>
  <si>
    <t>LEVANTAMENTO DE PAVIMENTAÇÃO</t>
  </si>
  <si>
    <t>01110101</t>
  </si>
  <si>
    <t>LEVANTAMENTO DE PAVIMENTAÇÃO ASFÁLTICA (A)</t>
  </si>
  <si>
    <t>01110102</t>
  </si>
  <si>
    <t>LEVANTAMENTO DE PAVIMENTAÇÃO DE PARALELEPÍPEDO OU BLOCOS (A)</t>
  </si>
  <si>
    <t>01110103</t>
  </si>
  <si>
    <t>LEVANTAMENTO DE PASSEIOS CIMENTADOS (A)</t>
  </si>
  <si>
    <t>01110104</t>
  </si>
  <si>
    <t>LEVANTAMENTO DE PASSEIOS EM LADRILHO HIDRAULICO (A)</t>
  </si>
  <si>
    <t>01110105</t>
  </si>
  <si>
    <t>LEVANTAMENTO DE SARJETAS (A)</t>
  </si>
  <si>
    <t>01110106</t>
  </si>
  <si>
    <t>LEVANTAMENTO DE GUIAS (A)</t>
  </si>
  <si>
    <t>01110107</t>
  </si>
  <si>
    <t>LEVANTAMENTO DE PAVIMENTAÇÃO DE CONCRETO NÃO ESTRUTURAL (A)</t>
  </si>
  <si>
    <t>01110200</t>
  </si>
  <si>
    <t>REGULARIZAÇÃO E REVESTIMENTO</t>
  </si>
  <si>
    <t>01110201</t>
  </si>
  <si>
    <t>REGULARIZAÇÃO MECANIZADA DE SUPERFÍCIES (A)</t>
  </si>
  <si>
    <t>01110300</t>
  </si>
  <si>
    <t>EXECUÇÃO DE PAVIMENTAÇÃO</t>
  </si>
  <si>
    <t>01110301</t>
  </si>
  <si>
    <t>CONSTRUÇÃO DE SARJETAS (A)</t>
  </si>
  <si>
    <t>01110302</t>
  </si>
  <si>
    <t>ASSENTAMENTO DE BLOCOS PARA PAVIMENTAÇÃO (A)</t>
  </si>
  <si>
    <t>01110303</t>
  </si>
  <si>
    <t>FORNECIMENTO DE BLOCOS DE CONCRETO</t>
  </si>
  <si>
    <t>01110304</t>
  </si>
  <si>
    <t>EXECUÇÃO DE PASSEIOS CIMENTADOS (A)</t>
  </si>
  <si>
    <t>01110305</t>
  </si>
  <si>
    <t>EXECUÇÃO DE PASSEIOS EM LADRILHO HIDRÁULICO (A)</t>
  </si>
  <si>
    <t>01110306</t>
  </si>
  <si>
    <t>FORNECIMENTO DE LADRILHO HIDRÁULICO</t>
  </si>
  <si>
    <t>01110307</t>
  </si>
  <si>
    <t>ASSENTAMENTO DE GUIAS (A)</t>
  </si>
  <si>
    <t>01110308</t>
  </si>
  <si>
    <t>FORNECIMENTO DE GUIAS</t>
  </si>
  <si>
    <t>01110400</t>
  </si>
  <si>
    <t>PAVIMENTAÇÃO ASFÁLTICA</t>
  </si>
  <si>
    <t>01110401</t>
  </si>
  <si>
    <t>PREPARO DE CAIXA (A)</t>
  </si>
  <si>
    <t>01110402</t>
  </si>
  <si>
    <t>IMPRIMAÇÃO LIGANTE (A)</t>
  </si>
  <si>
    <t>01110403</t>
  </si>
  <si>
    <t>CAPA DE CONCRETO ASFÁLTICO (A)</t>
  </si>
  <si>
    <t>01110404</t>
  </si>
  <si>
    <t>CONCRETO PARA FECHAMENTO DE VALAS (A)</t>
  </si>
  <si>
    <t>01110405</t>
  </si>
  <si>
    <t>EXECUÇAO DE PAVIMENTAÇÃO DE CONCRETO NAO ESTRUTURAL</t>
  </si>
  <si>
    <t>01120000</t>
  </si>
  <si>
    <t>FORNECIMENTO DE MATERIAIS</t>
  </si>
  <si>
    <t>01120001</t>
  </si>
  <si>
    <t>FORNECIMENTO DE MATERIAIS CONFORME LISTA LM 01 - REDE COLETORA</t>
  </si>
  <si>
    <t>01120002</t>
  </si>
  <si>
    <t>FORNECIMENTO DE TAMPÃO DE FERRO FUNDIDO ARTICULADO C/ ARO - DN 600MM (NTS 033)</t>
  </si>
  <si>
    <t>Total da Frente</t>
  </si>
  <si>
    <t>02000000</t>
  </si>
  <si>
    <t>LIGAÇÕES DOMICILIARES DE ESGOTO</t>
  </si>
  <si>
    <t>02010000</t>
  </si>
  <si>
    <t>SERVIÇOS TÉCNICOS</t>
  </si>
  <si>
    <t>02010100</t>
  </si>
  <si>
    <t>02010101</t>
  </si>
  <si>
    <t>CADASTRO DE LIGAÇÕES</t>
  </si>
  <si>
    <t>020207</t>
  </si>
  <si>
    <t>02020000</t>
  </si>
  <si>
    <t>LIGAÇÕES PREDIAIS</t>
  </si>
  <si>
    <t>02020100</t>
  </si>
  <si>
    <t>LIGAÇÕES DOMICILIARES DE ESGOTO - Ø 100 MM</t>
  </si>
  <si>
    <t>02020101</t>
  </si>
  <si>
    <t>LIGAÇÃO DOMICILIAR DE ESGOTO - CONEXÃO POSTERIOR - Ø 100 MM - PVC</t>
  </si>
  <si>
    <t>02020102</t>
  </si>
  <si>
    <t>LIGAÇÃO DOMICILIAR DE ESGOTO - NO PASSEIO, COMPLETA - Ø 100 MM - PVC</t>
  </si>
  <si>
    <t>02020103</t>
  </si>
  <si>
    <t>LIGAÇÃO DOMICILIAR DE ESGOTO - NO TERÇO, COMPLETA - Ø 100 MM - PVC</t>
  </si>
  <si>
    <t>02020104</t>
  </si>
  <si>
    <t>LIGAÇÃO DOMICILIAR DE ESGOTO - NO EIXO, COMPLETA - Ø 100 MM - PVC</t>
  </si>
  <si>
    <t>02020105</t>
  </si>
  <si>
    <t>LIGAÇÃO DOMICILIAR DE ESGOTO - NO TERÇO OPOSTO, COMPLETA - Ø 100 MM - PVC</t>
  </si>
  <si>
    <t>02020106</t>
  </si>
  <si>
    <t>LIGAÇÃO DOMICILIAR DE ESGOTO - NO PASSEIO OPOSTO, COMPLETA - Ø 100 MM   - PVC</t>
  </si>
  <si>
    <t>02030000</t>
  </si>
  <si>
    <t>02030001</t>
  </si>
  <si>
    <t>FORNECIMENTO DE MATERIAIS CONFORME LISTA LM 02 - LIGAÇÕES DOMICILIARES</t>
  </si>
  <si>
    <t>03000000</t>
  </si>
  <si>
    <t>EXECUÇÃO DE OBRAS DO COLETOR TRONCO MOMBAÇA II</t>
  </si>
  <si>
    <t>03010000</t>
  </si>
  <si>
    <t>ASSENTAMENTO DE TUBULAÇÃO ATRAVÉS DE MND</t>
  </si>
  <si>
    <t>03010001</t>
  </si>
  <si>
    <t>EXECUÇÃO DE OBRAS DE RCE POR MÉTODO NÃO DESTRUTIVO (MND)- DH=200 MM,COM FORNECIMENTO DE MATERIAIS</t>
  </si>
  <si>
    <t>03010002</t>
  </si>
  <si>
    <t>03010003</t>
  </si>
  <si>
    <t>EXECUÇÃO DE OBRAS DE RCE POR MÉTODO NÃO DESTRUTIVO (MND)- DH=400 MM,COM FORNECIMENTO DE MATERIAIS</t>
  </si>
  <si>
    <t>03010100</t>
  </si>
  <si>
    <t>POÇO DE VISITA - DIÂMETRO 1,00M PARA COLETORES TRONCO,EMISSÁRIOS E INTERCEPTORES</t>
  </si>
  <si>
    <t>03010101</t>
  </si>
  <si>
    <t>082311</t>
  </si>
  <si>
    <t>03010102</t>
  </si>
  <si>
    <t>082312</t>
  </si>
  <si>
    <t>03010103</t>
  </si>
  <si>
    <t>082313</t>
  </si>
  <si>
    <t>04000000</t>
  </si>
  <si>
    <t>EXECUÇÃO DE OBRAS DO COLETOR TRONCO VALE DA UNIÃO</t>
  </si>
  <si>
    <t>04010000</t>
  </si>
  <si>
    <t>04010001</t>
  </si>
  <si>
    <t>CADASTRO DE ADUTORAS, COLETORES-TRONCO E INTERCEPTORES (ATÉ DIAM. 500MM)</t>
  </si>
  <si>
    <t>020206</t>
  </si>
  <si>
    <t>04010002</t>
  </si>
  <si>
    <t>LOCAÇÃO DE ADUTORAS, COLETORES-TRONCO E INTERCEPTORES (ATÉ DIAM. 500MM)</t>
  </si>
  <si>
    <t>020202</t>
  </si>
  <si>
    <t>04020000</t>
  </si>
  <si>
    <t>04020100</t>
  </si>
  <si>
    <t>04020101</t>
  </si>
  <si>
    <t>04020102</t>
  </si>
  <si>
    <t>04020200</t>
  </si>
  <si>
    <t>04020201</t>
  </si>
  <si>
    <t>04020202</t>
  </si>
  <si>
    <t>04020203</t>
  </si>
  <si>
    <t>04020300</t>
  </si>
  <si>
    <t>04020301</t>
  </si>
  <si>
    <t>04020302</t>
  </si>
  <si>
    <t>04020400</t>
  </si>
  <si>
    <t>04020401</t>
  </si>
  <si>
    <t>04020402</t>
  </si>
  <si>
    <t>04030000</t>
  </si>
  <si>
    <t>04030100</t>
  </si>
  <si>
    <t>04030101</t>
  </si>
  <si>
    <t>04030102</t>
  </si>
  <si>
    <t>04030200</t>
  </si>
  <si>
    <t>04030201</t>
  </si>
  <si>
    <t>04030202</t>
  </si>
  <si>
    <t>04030300</t>
  </si>
  <si>
    <t>04030301</t>
  </si>
  <si>
    <t>04030302</t>
  </si>
  <si>
    <t>04030400</t>
  </si>
  <si>
    <t>04030401</t>
  </si>
  <si>
    <t>04030402</t>
  </si>
  <si>
    <t>04030500</t>
  </si>
  <si>
    <t>04030501</t>
  </si>
  <si>
    <t>04040000</t>
  </si>
  <si>
    <t>04040100</t>
  </si>
  <si>
    <t>04040101</t>
  </si>
  <si>
    <t>04040200</t>
  </si>
  <si>
    <t>ESTRUTURAS DE ESCORAMENTO METÁLICO - MADEIRA PARA VALAS</t>
  </si>
  <si>
    <t>04040201</t>
  </si>
  <si>
    <t>ESCORAMENTO METÁLICO-MADEIRA COM LONGARINAS E ESTRONCAS - PROFUNDIDADE ATÉ 4,00 M (A)</t>
  </si>
  <si>
    <t>050207</t>
  </si>
  <si>
    <t>04040300</t>
  </si>
  <si>
    <t>04040301</t>
  </si>
  <si>
    <t>04050000</t>
  </si>
  <si>
    <t>04050100</t>
  </si>
  <si>
    <t>04050101</t>
  </si>
  <si>
    <t>04050200</t>
  </si>
  <si>
    <t>04050201</t>
  </si>
  <si>
    <t>04050202</t>
  </si>
  <si>
    <t>04060000</t>
  </si>
  <si>
    <t>04060100</t>
  </si>
  <si>
    <t>04060101</t>
  </si>
  <si>
    <t>04060102</t>
  </si>
  <si>
    <t>04060200</t>
  </si>
  <si>
    <t>CONCRETO NÃO ESTRUTURAL</t>
  </si>
  <si>
    <t>04060201</t>
  </si>
  <si>
    <t>CONCRETO NÃO ESTRUTURAL - MÍNIMO 150 KG DE CIMENTO/M³</t>
  </si>
  <si>
    <t>081102</t>
  </si>
  <si>
    <t>04060300</t>
  </si>
  <si>
    <t>04060301</t>
  </si>
  <si>
    <t>04060400</t>
  </si>
  <si>
    <t>04060401</t>
  </si>
  <si>
    <t>04060402</t>
  </si>
  <si>
    <t>04070000</t>
  </si>
  <si>
    <t>04070100</t>
  </si>
  <si>
    <t>04070101</t>
  </si>
  <si>
    <t>04070200</t>
  </si>
  <si>
    <t>04070201</t>
  </si>
  <si>
    <t>04080000</t>
  </si>
  <si>
    <t>04080001</t>
  </si>
  <si>
    <t>FORNECIMENTO DE TAMPÃO DE FERRO FUNDIDO</t>
  </si>
  <si>
    <t>ARTICULADO C/ ARO - DN 600MM (NTS 033)</t>
  </si>
  <si>
    <t>04080002</t>
  </si>
  <si>
    <t>FORNECIMENTO DE MATERIAIS CONFORME LISTA LM 03 - VALE DA UNIÃO</t>
  </si>
  <si>
    <t>04090000</t>
  </si>
  <si>
    <t>04090100</t>
  </si>
  <si>
    <t>04090101</t>
  </si>
  <si>
    <t>04090102</t>
  </si>
  <si>
    <t>04090103</t>
  </si>
  <si>
    <t>04090104</t>
  </si>
  <si>
    <t>04090200</t>
  </si>
  <si>
    <t>04090201</t>
  </si>
  <si>
    <t>04090202</t>
  </si>
  <si>
    <t>04090203</t>
  </si>
  <si>
    <t>04090204</t>
  </si>
  <si>
    <t>04090300</t>
  </si>
  <si>
    <t>04090301</t>
  </si>
  <si>
    <t>04090302</t>
  </si>
  <si>
    <t>04090303</t>
  </si>
  <si>
    <t>04090304</t>
  </si>
  <si>
    <t>05000000</t>
  </si>
  <si>
    <t>EXECUÇÃO DE OBRAS DO COLETOR TRONCO - JARDIM SANTA JULIA</t>
  </si>
  <si>
    <t>05010000</t>
  </si>
  <si>
    <t>05010100</t>
  </si>
  <si>
    <t>05010101</t>
  </si>
  <si>
    <t>05010102</t>
  </si>
  <si>
    <t>05020000</t>
  </si>
  <si>
    <t>05020100</t>
  </si>
  <si>
    <t>05020101</t>
  </si>
  <si>
    <t>05020102</t>
  </si>
  <si>
    <t>05020200</t>
  </si>
  <si>
    <t>05020201</t>
  </si>
  <si>
    <t>05030000</t>
  </si>
  <si>
    <t>05030100</t>
  </si>
  <si>
    <t>05030101</t>
  </si>
  <si>
    <t>05030200</t>
  </si>
  <si>
    <t>05030201</t>
  </si>
  <si>
    <t>05030300</t>
  </si>
  <si>
    <t>05030301</t>
  </si>
  <si>
    <t>05030302</t>
  </si>
  <si>
    <t>05030400</t>
  </si>
  <si>
    <t>05030401</t>
  </si>
  <si>
    <t>05040000</t>
  </si>
  <si>
    <t>05040100</t>
  </si>
  <si>
    <t>05040101</t>
  </si>
  <si>
    <t>05050000</t>
  </si>
  <si>
    <t>05050100</t>
  </si>
  <si>
    <t>05050101</t>
  </si>
  <si>
    <t>05050200</t>
  </si>
  <si>
    <t>05050201</t>
  </si>
  <si>
    <t>05050202</t>
  </si>
  <si>
    <t>05060000</t>
  </si>
  <si>
    <t>05060100</t>
  </si>
  <si>
    <t>05060101</t>
  </si>
  <si>
    <t>05060102</t>
  </si>
  <si>
    <t>05060103</t>
  </si>
  <si>
    <t>LASTRO DE PEDRA-DE-MÃO (A)</t>
  </si>
  <si>
    <t>080403</t>
  </si>
  <si>
    <t>05060200</t>
  </si>
  <si>
    <t>05060201</t>
  </si>
  <si>
    <t>05060300</t>
  </si>
  <si>
    <t>05060301</t>
  </si>
  <si>
    <t>05070000</t>
  </si>
  <si>
    <t>05070100</t>
  </si>
  <si>
    <t>05070101</t>
  </si>
  <si>
    <t>ASSENTAMENTO SIMPLES DE TUBOS E PEÇAS, DN   300MM, EM PVC RÍGIDO, RPVC E DEFOFO - JE (A)</t>
  </si>
  <si>
    <t>090606</t>
  </si>
  <si>
    <t>05080000</t>
  </si>
  <si>
    <t>05080001</t>
  </si>
  <si>
    <t>05080002</t>
  </si>
  <si>
    <t>FORNECIMENTO DE MATERIAIS CONFORME LISTA LM 04 - JD SANTA JULIA</t>
  </si>
  <si>
    <t>06000000</t>
  </si>
  <si>
    <t>EXECUÇÃO DE OBRAS DO COLETOR TRONCO - CT 8F</t>
  </si>
  <si>
    <t>06010000</t>
  </si>
  <si>
    <t>06010100</t>
  </si>
  <si>
    <t>06010101</t>
  </si>
  <si>
    <t>06010102</t>
  </si>
  <si>
    <t>06020000</t>
  </si>
  <si>
    <t>06020100</t>
  </si>
  <si>
    <t>06020101</t>
  </si>
  <si>
    <t>06020102</t>
  </si>
  <si>
    <t>06020103</t>
  </si>
  <si>
    <t>SINALIZAÇÃO DE TRÁFEGO</t>
  </si>
  <si>
    <t>030112</t>
  </si>
  <si>
    <t>06030000</t>
  </si>
  <si>
    <t>06030100</t>
  </si>
  <si>
    <t>06030101</t>
  </si>
  <si>
    <t>06030200</t>
  </si>
  <si>
    <t>06030201</t>
  </si>
  <si>
    <t>TRANSPORTE DE MATERIAL ESCAVADO - ROCHA (A)</t>
  </si>
  <si>
    <t>041004</t>
  </si>
  <si>
    <t>06040000</t>
  </si>
  <si>
    <t>06040100</t>
  </si>
  <si>
    <t>06040101</t>
  </si>
  <si>
    <t>06050000</t>
  </si>
  <si>
    <t>06050100</t>
  </si>
  <si>
    <t>06050101</t>
  </si>
  <si>
    <t>ASSENTAMENTO SIMPLES DE TUBOS E PEÇAS, DN   400MM, EM PVC RÍGIDO, RPVC E DEFOFO - JE (A)</t>
  </si>
  <si>
    <t>090607</t>
  </si>
  <si>
    <t>06060000</t>
  </si>
  <si>
    <t>06060001</t>
  </si>
  <si>
    <t>06060100</t>
  </si>
  <si>
    <t>06060101</t>
  </si>
  <si>
    <t>06060102</t>
  </si>
  <si>
    <t>06070000</t>
  </si>
  <si>
    <t>06070100</t>
  </si>
  <si>
    <t>06070101</t>
  </si>
  <si>
    <t>06070200</t>
  </si>
  <si>
    <t>06070201</t>
  </si>
  <si>
    <t>06070202</t>
  </si>
  <si>
    <t>06070203</t>
  </si>
  <si>
    <t>06070204</t>
  </si>
  <si>
    <t>06080000</t>
  </si>
  <si>
    <t>06080001</t>
  </si>
  <si>
    <t>FORNECIMENTO DE MATERIAIS CONFORME LISTA LM 06 - CT 8 F</t>
  </si>
  <si>
    <t>06080002</t>
  </si>
  <si>
    <t>07000000</t>
  </si>
  <si>
    <t>EXECUÇÃO DE OBRAS DO COLETOR TRONCO - JARDIM JACIRA</t>
  </si>
  <si>
    <t>07010000</t>
  </si>
  <si>
    <t>07010100</t>
  </si>
  <si>
    <t>07010101</t>
  </si>
  <si>
    <t>07010102</t>
  </si>
  <si>
    <t>07020000</t>
  </si>
  <si>
    <t>07020100</t>
  </si>
  <si>
    <t>07020101</t>
  </si>
  <si>
    <t>07020102</t>
  </si>
  <si>
    <t>07020200</t>
  </si>
  <si>
    <t>07020201</t>
  </si>
  <si>
    <t>07020202</t>
  </si>
  <si>
    <t>07020203</t>
  </si>
  <si>
    <t>07020300</t>
  </si>
  <si>
    <t>07020301</t>
  </si>
  <si>
    <t>07020302</t>
  </si>
  <si>
    <t>07020303</t>
  </si>
  <si>
    <t>07030000</t>
  </si>
  <si>
    <t>07030100</t>
  </si>
  <si>
    <t>07030101</t>
  </si>
  <si>
    <t>07030200</t>
  </si>
  <si>
    <t>07030201</t>
  </si>
  <si>
    <t>07030202</t>
  </si>
  <si>
    <t>07030300</t>
  </si>
  <si>
    <t>07030301</t>
  </si>
  <si>
    <t>07030302</t>
  </si>
  <si>
    <t>07030303</t>
  </si>
  <si>
    <t>07030400</t>
  </si>
  <si>
    <t>07030401</t>
  </si>
  <si>
    <t>07030402</t>
  </si>
  <si>
    <t>07030500</t>
  </si>
  <si>
    <t>07030501</t>
  </si>
  <si>
    <t>07040000</t>
  </si>
  <si>
    <t>07040100</t>
  </si>
  <si>
    <t>07040101</t>
  </si>
  <si>
    <t>07040102</t>
  </si>
  <si>
    <t>07040200</t>
  </si>
  <si>
    <t>ESTRUTURAS DE CIMBRAMENTO</t>
  </si>
  <si>
    <t>07040201</t>
  </si>
  <si>
    <t>CIMBRAMENTO DE MADEIRA</t>
  </si>
  <si>
    <t>050501</t>
  </si>
  <si>
    <t>07050000</t>
  </si>
  <si>
    <t>07050100</t>
  </si>
  <si>
    <t>07050101</t>
  </si>
  <si>
    <t>07050200</t>
  </si>
  <si>
    <t>07050201</t>
  </si>
  <si>
    <t>07050202</t>
  </si>
  <si>
    <t>07050203</t>
  </si>
  <si>
    <t>07060000</t>
  </si>
  <si>
    <t>07060100</t>
  </si>
  <si>
    <t>07060101</t>
  </si>
  <si>
    <t>07060102</t>
  </si>
  <si>
    <t>07060200</t>
  </si>
  <si>
    <t>AÇOS PARA CONCRETO</t>
  </si>
  <si>
    <t>07060201</t>
  </si>
  <si>
    <t>ARMAÇÃO EM AÇO CA-50</t>
  </si>
  <si>
    <t>081002</t>
  </si>
  <si>
    <t>KG</t>
  </si>
  <si>
    <t>07060300</t>
  </si>
  <si>
    <t>07060301</t>
  </si>
  <si>
    <t>07060400</t>
  </si>
  <si>
    <t>CONCRETO ESTRUTURAL PARA ESTRUTURAS EM CONTATO COM ESGOTO, GASES AGRESSIVOS, AMBIENTE MARÍTIMO E ESTRUTURAS PARA TRATAMENTO DE ÁGUA</t>
  </si>
  <si>
    <t>07060401</t>
  </si>
  <si>
    <t>CONCRETO ESTRUTURAL P/ ESTRUTURAS EM CONTATO COM ESGOTO, GASES AGRESSIVOS, AMBIENTE MARÍTIMO E ESTRUTURAS PARA TRATAMENTO DE ÁGUA, FCK = 20,0 MPA, A/C MÁX. 0,50 L/KG - MÍN. DE 350 KG DE CIMENTO/M³</t>
  </si>
  <si>
    <t>081401</t>
  </si>
  <si>
    <t>07060500</t>
  </si>
  <si>
    <t>07060501</t>
  </si>
  <si>
    <t>07060502</t>
  </si>
  <si>
    <t>07060503</t>
  </si>
  <si>
    <t>07060504</t>
  </si>
  <si>
    <t>082314</t>
  </si>
  <si>
    <t>07060505</t>
  </si>
  <si>
    <t>PV D=1,00M EM TUBO CONCRETO C/PBJE - PROF.ATÉ 6,00M</t>
  </si>
  <si>
    <t>082315</t>
  </si>
  <si>
    <t>07060506</t>
  </si>
  <si>
    <t>PV D=1,00M EM TUBO CONCRETO C/PBJE - PROF.ATÉ 7,00M</t>
  </si>
  <si>
    <t>082316</t>
  </si>
  <si>
    <t>07070000</t>
  </si>
  <si>
    <t>07070100</t>
  </si>
  <si>
    <t>07070101</t>
  </si>
  <si>
    <t>07070200</t>
  </si>
  <si>
    <t>ASSENTAMENTO SIMPLES DE TUBOS DE CONCRETO PARA ESGOTOS SANITÁRIOS - JUNTA ELÁSTICA</t>
  </si>
  <si>
    <t>07070201</t>
  </si>
  <si>
    <t>ASSENTAMENTO SIMPLES DE TUBOS DE CONCRETO, DN 500 MM, J.E. (A)</t>
  </si>
  <si>
    <t>091002</t>
  </si>
  <si>
    <t>07070300</t>
  </si>
  <si>
    <t>07070301</t>
  </si>
  <si>
    <t>EXECUÇÃO DE OBRAS DE RCE POR MÉTODO NÃO DESTRUTIVO (MND)- DH=300 MM,COM FORNECIMENTO DE MATERIAIS -   CONFORME PROJETO CT- JACIRA-001 - FLS 1/2 E 2/2 - ENTRE ESTACAS 24 + 12,32M   A   49+11,44M</t>
  </si>
  <si>
    <t>07080000</t>
  </si>
  <si>
    <t>07080100</t>
  </si>
  <si>
    <t>07080101</t>
  </si>
  <si>
    <t>07080102</t>
  </si>
  <si>
    <t>07080103</t>
  </si>
  <si>
    <t>07080104</t>
  </si>
  <si>
    <t>07080200</t>
  </si>
  <si>
    <t>07080201</t>
  </si>
  <si>
    <t>07080300</t>
  </si>
  <si>
    <t>07080301</t>
  </si>
  <si>
    <t>07080302</t>
  </si>
  <si>
    <t>07080303</t>
  </si>
  <si>
    <t>07080304</t>
  </si>
  <si>
    <t>07080400</t>
  </si>
  <si>
    <t>07080401</t>
  </si>
  <si>
    <t>07080402</t>
  </si>
  <si>
    <t>07080403</t>
  </si>
  <si>
    <t>07080404</t>
  </si>
  <si>
    <t>07090000</t>
  </si>
  <si>
    <t>07090001</t>
  </si>
  <si>
    <t>FORNECIMENTO DE MATERIAIS CONFORME LISTA LM 05 - CT JACIRA</t>
  </si>
  <si>
    <t>07090002</t>
  </si>
  <si>
    <t>08000000</t>
  </si>
  <si>
    <t>EXECUÇÃO DE OBRAS DO COLETOR TRONCO MOMBAÇA I</t>
  </si>
  <si>
    <t>08010000</t>
  </si>
  <si>
    <t>08010001</t>
  </si>
  <si>
    <t>EXECUÇÃO DE OBRAS DE RCE POR MÉTODO NÃO DESTRUTIVO (MND)- DH=300 MM,COM FORNECIMENTO DE MATERIAIS E CONSTRUÇÃO DOS POÇOS DE VISITA-CONFORME PROJETO CI-MSIE-189/11 - FLS 03/04 E 04/04 - ENTRE ESTACAS 0+0,00 A 66,00+7,30M</t>
  </si>
  <si>
    <t>09000000</t>
  </si>
  <si>
    <t>ESTAÇÃO ELEVATÓRIA DE ESGOTOS -12</t>
  </si>
  <si>
    <t>09010000</t>
  </si>
  <si>
    <t>MONTAGEM EM GERAL</t>
  </si>
  <si>
    <t>09010001</t>
  </si>
  <si>
    <t>MONTAGEM DE MATERIAIS E EQUIPAMENTOS CONFORME LM 7 - 07009 - HS4 - 001</t>
  </si>
  <si>
    <t>09010002</t>
  </si>
  <si>
    <t>MONTAGEM DE SISTEMA ELÉTRICO LM 8 - ELT - EE 12 - 01</t>
  </si>
  <si>
    <t>09020000</t>
  </si>
  <si>
    <t>09020001</t>
  </si>
  <si>
    <t>FORNECIMENTO DE MATERIAIS   - CONFORME LM - 08 - LM-ELT-EE 12 - 01</t>
  </si>
  <si>
    <t>09020002</t>
  </si>
  <si>
    <t>FORNECIMENTO DE MATERIAIS - ESTAÇÃO ELEVATÓRIA- CONFORME   LM - 07 - 07009 - HS4 - 001</t>
  </si>
  <si>
    <t>09030000</t>
  </si>
  <si>
    <t>OBRAS CIVIS</t>
  </si>
  <si>
    <t>09030001</t>
  </si>
  <si>
    <t>OBRAS CIVIS EE 12</t>
  </si>
  <si>
    <t>EMISSÁRIO POR RECALQUE - EEE 12</t>
  </si>
  <si>
    <t>EXECUÇÃO POR MND</t>
  </si>
  <si>
    <t>EXECUÇÃO DE OBRAS DA LINHA DE RECALQUE - PN10 - POR MND - DH=200MM, COM FORNECIMENTO DE MATERIAIS - CONF.PROJ. EXEC. - SES-MOM-EMM - 01 E 02 - FLS 01/02 E 02/02</t>
  </si>
  <si>
    <t>LINHA DE EXTRAVASÃO - EE 12</t>
  </si>
  <si>
    <t>FORMAS PARA CONCRETO</t>
  </si>
  <si>
    <t>FÔRMA PLANA DE MADEIRA - ESTRUTURA</t>
  </si>
  <si>
    <t>080902</t>
  </si>
  <si>
    <t>CONCRETO ESTRUTURAL P/ ESTRUTURAS NÃO SUJEITAS A CONTATO COM ÁGUA E ESGOTO, FCK = 30,0 MPA</t>
  </si>
  <si>
    <t>081204</t>
  </si>
  <si>
    <t>EXECUÇÃO DE OBRAS DA LINHA DE EXTRAVASÃO DA EE 12 - POR MND - DH= 300 MM,COM FORNECIMENTO DE MATERIAIS - CONF. PROJ. EXEC. - SES-MOM-EXT - FL 01/01</t>
  </si>
  <si>
    <t>ESCAVAÇÃO MECANIZADA DE POÇOS E CAVAS EM SOLO NÃO ROCHOSO</t>
  </si>
  <si>
    <t>ESCAVAÇÃO MECANIZADA DE POÇOS E CAVAS, EM SOLO NÃO ROCHOSO, COM PROFUNDIDADE ATÉ 3,00 M (A)</t>
  </si>
  <si>
    <t>040707</t>
  </si>
  <si>
    <t>ESTAÇÃO ELEVATÓRIA DE ESGOTOS ANALÂNDIA</t>
  </si>
  <si>
    <t>MONTAGEM DE MATERIAIS E EQUIPAMENTOS EEE ANALANDIA -CONFORME LM 10 - 07009 - HS4 - 201</t>
  </si>
  <si>
    <t>MONTAGEM DE MATERIAIS E EQUIPAMENTOS CONFORME LM 9 - ELT - EEANA - 01</t>
  </si>
  <si>
    <t>FORNECIMENTO DE MATERIAIS CONFORME LISTA LM 10 - ANALANDIA - 07009 - HS4 - 201</t>
  </si>
  <si>
    <t>FORNECIMENTO DE MATERIAIS   - ANALANDIA -CONFORME LM - 09 - ELT-EEANA - 01</t>
  </si>
  <si>
    <t>OBRAS CIVIS EE ANALÂNDIA</t>
  </si>
  <si>
    <t>PINTURAS</t>
  </si>
  <si>
    <t>PINTURA EM LÁTEX ACRÍLICO, COM MASSA CORRIDA ACRÍLICA</t>
  </si>
  <si>
    <t>URBANIZAÇÃO</t>
  </si>
  <si>
    <t>PORTÕES,CERCAS,MUROS E ALAMBRADOS</t>
  </si>
  <si>
    <t>PORTÃO DE TELA</t>
  </si>
  <si>
    <t>CERCAS DE TELA TIPO ALAMBRADO - ARAME GALVANIZADO</t>
  </si>
  <si>
    <t>EMISSÁRIO POR RECALQUE - EEE ANALÂNDIA</t>
  </si>
  <si>
    <t>ESCAVAÇÃO MECANIZADA DE POÇOS E CAVAS, EM SOLO NÃO ROCHOSO, COM PROFUNDIDADE ATÉ 2,00 M (A)</t>
  </si>
  <si>
    <t>040706</t>
  </si>
  <si>
    <t>LASTROS PARA ASSENTAMENTO DE TUBOS E PEÇAS</t>
  </si>
  <si>
    <t>LASTRO PARA ASSENTAMENTO, DIÂMETRO 100 MM (A)</t>
  </si>
  <si>
    <t>080501</t>
  </si>
  <si>
    <t>ANCORAGEM EM CONCRETO PARA PEÇAS</t>
  </si>
  <si>
    <t>CURVA 11º 15' Ø 100 MM</t>
  </si>
  <si>
    <t>CURVA 22º 30' Ø 100 MM</t>
  </si>
  <si>
    <t>CURVA 45º   Ø 100 MM</t>
  </si>
  <si>
    <t>CURVA 90º   Ø 100 MM</t>
  </si>
  <si>
    <t>FÔRMAS DE MADEIRA - COMUM</t>
  </si>
  <si>
    <t>080901</t>
  </si>
  <si>
    <t>CONCRETO ESTRUTURAL PARA ESTRUTURAS EM CONTATO COM ÁGUA BRUTA, ÁGUA TRATADA, SOLO E GASES AGRESSIVOS</t>
  </si>
  <si>
    <t>CONCRETO ESTRUTURAL P/ ESTRUTURAS EM CONTATO COM ÁGUA BRUTA, ÁGUA TRATADA, SOLO E GASES AGRESSIVOS, FCK = 20,0 MPA, A/C MÁX. 0,55 L/KG - MÍN. DE 320 KG DE CIMENTO/M³</t>
  </si>
  <si>
    <t>081301</t>
  </si>
  <si>
    <t>CAIXA DE ALVENARIA DE 1 TIJOLO</t>
  </si>
  <si>
    <t>CAIXA DE ALVENARIA DE 1 TIJOLO - 2,00 X 2,00 M</t>
  </si>
  <si>
    <t>082913</t>
  </si>
  <si>
    <t>ASSENTAMENTO SIMPLES DE TUBOS E PEÇAS EM FERRO FUNDIDO, JUNTA ELÁSTICA</t>
  </si>
  <si>
    <t>ASSENTAMENTO SIMPLES DE TUBOS E PEÇAS, DN 100 MM, EM FºFº, J.E. (A)</t>
  </si>
  <si>
    <t>090703</t>
  </si>
  <si>
    <t>FORNECIMENTO DE MATERIAIS CONFORME LISTA DE MATERIAIS LM 11 - LR ANALÂNDIA</t>
  </si>
  <si>
    <t>FORNECIMENTO DE MATERIAIS CONFORME DESENHO SES - ANA - VEN -01</t>
  </si>
  <si>
    <t>MONTAGEM DE CAIXA DE   VENTOSA CONFORME DESENHO SES - ANA -VEN - 01</t>
  </si>
  <si>
    <t>EMISSARIO POR GRAVIDADE - EEE ANALANDIA</t>
  </si>
  <si>
    <t>FORNECIMENTO DE TUBO Ø 200 MM EM/REC EEE- ANALANDIA</t>
  </si>
  <si>
    <t>01-ESTAÇÃO ELEVATORIA DE ESGOTOS JARDIM JACIRA</t>
  </si>
  <si>
    <t>ELETRICIDADE - TROCA DE CABOS, CONFORME TABELA DA LM08</t>
  </si>
  <si>
    <t>ELETRICIDADE - IMPLANTAÇÃO GERAL, CONFORME LM09</t>
  </si>
  <si>
    <t>MONTAGEM DE MATERIAIS E EQUIPAMENTOS ELETROMECANICOS CONFORME LM 01</t>
  </si>
  <si>
    <t>ELETRICIDADE - PORTARIA PADRÃO 3 DA SABESP CONFORME LM04</t>
  </si>
  <si>
    <t>ELETRICIDADE - QUADROS ELÉTRICOS E TELEFONIA, CONFORME LM05</t>
  </si>
  <si>
    <t>ELETRICIDADE- SUBESTAÇÃO DE ENERGIA E POSTO DE TRANSFORMAÇÃO CONFORME LM 02</t>
  </si>
  <si>
    <t>ELETRICIDADE - INSTRUMENTOS E EQUIPAMENTOS CONFORME LM06</t>
  </si>
  <si>
    <t>ELETRICIDADE - ESTAÇÃO ELEVATÓRIA, CONFORME LM07</t>
  </si>
  <si>
    <t>ELETRICIDADE - INSTALAÇOES PARA O MEDIDOR DE VAZÃO CONFORME LM03</t>
  </si>
  <si>
    <t>FORNECIMENTO DE MATERIAIS - TUBOS, PEÇAS E EQUIP.ELETRO MECÂNICOS   CONFORME LM - 01</t>
  </si>
  <si>
    <t>FORNECIMENTO DE MATERIAIS - ELETRICIDADE - SUBESTAÇÃO DE ENERGIA E POSTO DE TRANSFORMAÇÃO CONFORME LM - 02</t>
  </si>
  <si>
    <t>FORNECIMENTO DE MATERIAIS - MEDIDOR DE VAZÃO - CONFORME LM - 3</t>
  </si>
  <si>
    <t>FORNECIMENTO DE MATERIAIS - PORTARIA   PADRÃO 3 - CONFORME LM - 04</t>
  </si>
  <si>
    <t>FORNECIMENTO DE MATERIAIS - ESTAÇÃO ELEVATÓRIA- CONFORME   LM - 07</t>
  </si>
  <si>
    <t>FORNECIMENTO DE MATERIAIS - TABELA DE CABOS - CONFORME LM - 08</t>
  </si>
  <si>
    <t>FORNECIMENTO DE MATERIAIS - QUADROS ELÉTRICOS E TELEFONIA- CONFORME LM - 05</t>
  </si>
  <si>
    <t>FORNECIMENTO DE MATERIAIS -   IMPLANTAÇÃO GERAL - CONFORME LM - 09</t>
  </si>
  <si>
    <t>FORNECIMENTO DE MATERIAIS - INSTRUMENTOS E EQUIPAMENTOS -CONFORME   LM - 06</t>
  </si>
  <si>
    <t>OBRAS CIVIS EE JD JACIRA</t>
  </si>
  <si>
    <t>POSTO PRIMÁRIO</t>
  </si>
  <si>
    <t>POSTO PRIMÁRIO EE JD JACIRA</t>
  </si>
  <si>
    <t>02-LINHA DE RECALQUE DE ESGOTOS JARDIM JACIRA</t>
  </si>
  <si>
    <t>TAPUME DE CHAPA DE MADEIRA COMPENSADA</t>
  </si>
  <si>
    <t>030104</t>
  </si>
  <si>
    <t>CONCRETO ESTRUTURAL P/ ESTRUTURAS EM CONTATO COM ESGOTO, GASES AGRESSIVOS, AMBIENTE MARÍTIMO E ESTRUTURAS PARA TRATAMENTO DE ÁGUA, FCK = 25,0 MPA, A/C MÁX. 0,50 L/KG - MÍN. DE 350 KG DE CIMENTO/M³</t>
  </si>
  <si>
    <t>081402</t>
  </si>
  <si>
    <t>ASSENTAMENTO DE TUBOS E PEÇAS DE FERRO FUNDIDO DUCTIL, COM JUNTA TRAVADA EXTERNA</t>
  </si>
  <si>
    <t>TUBOS E PEÇAS, DIAMETRO 400 MM</t>
  </si>
  <si>
    <t>EXECUÇÃO DE OBRAS DA LINHA DE RECALQUE -PN 10 - POR MÉTODO NÃO DESTRUTIVO (MND) - DH=400 MM COM FORNECIMENTO DE MATERIAIS - CONF. PROJ. EXEC. - LREC - JACIRA - 001 - FLS 01/03, 02/03 E 03/03 E LREC - JACIRA - 002 - FL 1/1</t>
  </si>
  <si>
    <t>FORNECIMENTO DE MATERIAIS CONFORME LISTA LM 11 - LR JD JACIRA</t>
  </si>
  <si>
    <t>Total da Planilha</t>
  </si>
  <si>
    <t>33.451.236,88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</si>
</sst>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Arial Unicode MS"/>
      <family val="2"/>
    </font>
    <font>
      <sz val="10"/>
      <color theme="1"/>
      <name val="Comic Sans MS"/>
      <family val="2"/>
    </font>
    <font>
      <b/>
      <sz val="8"/>
      <color rgb="FF000000"/>
      <name val="Arial Unicode MS"/>
      <family val="2"/>
    </font>
    <font>
      <b/>
      <sz val="10"/>
      <color theme="1"/>
      <name val="Comic Sans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3" fontId="3" fillId="0" borderId="0" xfId="1" applyFont="1" applyBorder="1"/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9" fontId="4" fillId="0" borderId="2" xfId="0" applyNumberFormat="1" applyFont="1" applyBorder="1"/>
    <xf numFmtId="49" fontId="4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horizontal="center"/>
    </xf>
    <xf numFmtId="43" fontId="5" fillId="0" borderId="2" xfId="1" applyFont="1" applyBorder="1"/>
    <xf numFmtId="49" fontId="2" fillId="0" borderId="3" xfId="0" applyNumberFormat="1" applyFont="1" applyBorder="1"/>
    <xf numFmtId="49" fontId="2" fillId="0" borderId="3" xfId="0" applyNumberFormat="1" applyFont="1" applyBorder="1" applyAlignment="1">
      <alignment wrapText="1"/>
    </xf>
    <xf numFmtId="0" fontId="0" fillId="0" borderId="3" xfId="0" applyBorder="1" applyAlignment="1">
      <alignment horizontal="center"/>
    </xf>
    <xf numFmtId="43" fontId="3" fillId="0" borderId="3" xfId="1" applyFont="1" applyBorder="1"/>
    <xf numFmtId="1" fontId="2" fillId="0" borderId="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3" fontId="2" fillId="0" borderId="3" xfId="1" applyFont="1" applyBorder="1"/>
    <xf numFmtId="0" fontId="0" fillId="0" borderId="3" xfId="0" applyBorder="1"/>
    <xf numFmtId="0" fontId="0" fillId="0" borderId="3" xfId="0" applyBorder="1" applyAlignment="1">
      <alignment wrapText="1"/>
    </xf>
    <xf numFmtId="49" fontId="4" fillId="0" borderId="3" xfId="0" applyNumberFormat="1" applyFont="1" applyBorder="1"/>
    <xf numFmtId="49" fontId="4" fillId="0" borderId="3" xfId="0" applyNumberFormat="1" applyFont="1" applyBorder="1" applyAlignment="1">
      <alignment wrapText="1"/>
    </xf>
    <xf numFmtId="0" fontId="5" fillId="0" borderId="3" xfId="0" applyFont="1" applyBorder="1" applyAlignment="1">
      <alignment horizontal="center"/>
    </xf>
    <xf numFmtId="43" fontId="5" fillId="0" borderId="3" xfId="1" applyFont="1" applyBorder="1"/>
    <xf numFmtId="1" fontId="4" fillId="0" borderId="3" xfId="0" applyNumberFormat="1" applyFont="1" applyBorder="1"/>
    <xf numFmtId="1" fontId="2" fillId="0" borderId="3" xfId="0" applyNumberFormat="1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43" fontId="3" fillId="0" borderId="4" xfId="1" applyFont="1" applyBorder="1"/>
    <xf numFmtId="43" fontId="3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oeng.sharepoint.com/20000/ORCAMENTOO/EDITAIS%20-%20OR&#199;AMENTO%20E%20%20PROPOSTA/2012/SABESP/CP%2053337%20-%20Esgoto%20-%20Itapecirica/06%20-%20or&#231;amento/Planilha.xls" TargetMode="External"/><Relationship Id="rId1" Type="http://schemas.openxmlformats.org/officeDocument/2006/relationships/externalLinkPath" Target="https://geoeng.sharepoint.com/20000/ORCAMENTOO/EDITAIS%20-%20OR&#199;AMENTO%20E%20%20PROPOSTA/2012/SABESP/CP%2053337%20-%20Esgoto%20-%20Itapecirica/06%20-%20or&#231;amento/Planilh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1"/>
      <sheetName val="Serviços"/>
      <sheetName val="Plan3"/>
    </sheetNames>
    <sheetDataSet>
      <sheetData sheetId="0"/>
      <sheetData sheetId="1">
        <row r="6">
          <cell r="C6" t="str">
            <v>020201</v>
          </cell>
          <cell r="D6" t="str">
            <v>M</v>
          </cell>
          <cell r="E6">
            <v>25010</v>
          </cell>
          <cell r="F6">
            <v>0.65</v>
          </cell>
        </row>
        <row r="7">
          <cell r="C7" t="str">
            <v>020202</v>
          </cell>
          <cell r="D7" t="str">
            <v>M</v>
          </cell>
          <cell r="E7">
            <v>1963.5</v>
          </cell>
          <cell r="F7">
            <v>0.84</v>
          </cell>
        </row>
        <row r="8">
          <cell r="C8" t="str">
            <v>020205</v>
          </cell>
          <cell r="D8" t="str">
            <v>M</v>
          </cell>
          <cell r="E8">
            <v>25010</v>
          </cell>
          <cell r="F8">
            <v>1.64</v>
          </cell>
        </row>
        <row r="9">
          <cell r="C9" t="str">
            <v>020206</v>
          </cell>
          <cell r="D9" t="str">
            <v>M</v>
          </cell>
          <cell r="E9">
            <v>1963.5</v>
          </cell>
          <cell r="F9">
            <v>3.49</v>
          </cell>
        </row>
        <row r="10">
          <cell r="C10" t="str">
            <v>020207</v>
          </cell>
          <cell r="D10" t="str">
            <v>UN</v>
          </cell>
          <cell r="E10">
            <v>2860</v>
          </cell>
          <cell r="F10">
            <v>11.71</v>
          </cell>
        </row>
        <row r="11">
          <cell r="C11" t="str">
            <v>030101</v>
          </cell>
          <cell r="D11" t="str">
            <v>M</v>
          </cell>
          <cell r="E11">
            <v>27040.5</v>
          </cell>
          <cell r="F11">
            <v>2.41</v>
          </cell>
        </row>
        <row r="12">
          <cell r="C12" t="str">
            <v>030104</v>
          </cell>
          <cell r="D12" t="str">
            <v>M2</v>
          </cell>
          <cell r="E12">
            <v>440</v>
          </cell>
          <cell r="F12">
            <v>49.65</v>
          </cell>
        </row>
        <row r="13">
          <cell r="C13" t="str">
            <v>030110</v>
          </cell>
          <cell r="D13" t="str">
            <v>M</v>
          </cell>
          <cell r="E13">
            <v>26600.5</v>
          </cell>
          <cell r="F13">
            <v>4.34</v>
          </cell>
        </row>
        <row r="14">
          <cell r="C14" t="str">
            <v>030112</v>
          </cell>
          <cell r="D14" t="str">
            <v>M</v>
          </cell>
          <cell r="E14">
            <v>10</v>
          </cell>
          <cell r="F14">
            <v>1.51</v>
          </cell>
        </row>
        <row r="15">
          <cell r="C15" t="str">
            <v>030201</v>
          </cell>
          <cell r="D15" t="str">
            <v>M2</v>
          </cell>
          <cell r="E15">
            <v>437</v>
          </cell>
          <cell r="F15">
            <v>62.99</v>
          </cell>
        </row>
        <row r="16">
          <cell r="C16" t="str">
            <v>030205</v>
          </cell>
          <cell r="D16" t="str">
            <v>M2</v>
          </cell>
          <cell r="E16">
            <v>1358</v>
          </cell>
          <cell r="F16">
            <v>56.19</v>
          </cell>
        </row>
        <row r="17">
          <cell r="C17" t="str">
            <v>030206</v>
          </cell>
          <cell r="D17" t="str">
            <v>M2</v>
          </cell>
          <cell r="E17">
            <v>364</v>
          </cell>
          <cell r="F17">
            <v>88.18</v>
          </cell>
        </row>
        <row r="18">
          <cell r="C18" t="str">
            <v>030301</v>
          </cell>
          <cell r="D18" t="str">
            <v>UN</v>
          </cell>
          <cell r="E18">
            <v>37</v>
          </cell>
          <cell r="F18">
            <v>84.06</v>
          </cell>
        </row>
        <row r="19">
          <cell r="C19" t="str">
            <v>030302</v>
          </cell>
          <cell r="D19" t="str">
            <v>M3</v>
          </cell>
          <cell r="E19">
            <v>27</v>
          </cell>
          <cell r="F19">
            <v>1718.52</v>
          </cell>
        </row>
        <row r="20">
          <cell r="C20" t="str">
            <v>030303</v>
          </cell>
          <cell r="D20" t="str">
            <v>T</v>
          </cell>
          <cell r="E20">
            <v>21</v>
          </cell>
          <cell r="F20">
            <v>928.65</v>
          </cell>
        </row>
        <row r="21">
          <cell r="C21" t="str">
            <v>030501</v>
          </cell>
          <cell r="D21" t="str">
            <v>UN</v>
          </cell>
          <cell r="E21">
            <v>11</v>
          </cell>
          <cell r="F21">
            <v>14.46</v>
          </cell>
        </row>
        <row r="22">
          <cell r="C22" t="str">
            <v>030502</v>
          </cell>
          <cell r="D22" t="str">
            <v>M2</v>
          </cell>
          <cell r="E22">
            <v>200</v>
          </cell>
          <cell r="F22">
            <v>2.0699999999999998</v>
          </cell>
        </row>
        <row r="23">
          <cell r="C23" t="str">
            <v>040101</v>
          </cell>
          <cell r="D23" t="str">
            <v>M2</v>
          </cell>
          <cell r="E23">
            <v>200</v>
          </cell>
          <cell r="F23">
            <v>1.18</v>
          </cell>
        </row>
        <row r="24">
          <cell r="C24" t="str">
            <v>040104</v>
          </cell>
          <cell r="D24" t="str">
            <v>M3</v>
          </cell>
          <cell r="E24">
            <v>19820</v>
          </cell>
          <cell r="F24">
            <v>7.69</v>
          </cell>
        </row>
        <row r="25">
          <cell r="C25" t="str">
            <v>040109</v>
          </cell>
          <cell r="D25" t="str">
            <v>M3</v>
          </cell>
          <cell r="E25">
            <v>130</v>
          </cell>
          <cell r="F25">
            <v>315.77999999999997</v>
          </cell>
        </row>
        <row r="26">
          <cell r="C26" t="str">
            <v>040205</v>
          </cell>
          <cell r="D26" t="str">
            <v>M3</v>
          </cell>
          <cell r="E26">
            <v>740</v>
          </cell>
          <cell r="F26">
            <v>42.51</v>
          </cell>
        </row>
        <row r="27">
          <cell r="C27" t="str">
            <v>040207</v>
          </cell>
          <cell r="D27" t="str">
            <v>M3</v>
          </cell>
          <cell r="E27">
            <v>300</v>
          </cell>
          <cell r="F27">
            <v>49.6</v>
          </cell>
        </row>
        <row r="28">
          <cell r="C28" t="str">
            <v>040606</v>
          </cell>
          <cell r="D28" t="str">
            <v>M3</v>
          </cell>
          <cell r="E28">
            <v>41138</v>
          </cell>
          <cell r="F28">
            <v>6.26</v>
          </cell>
        </row>
        <row r="29">
          <cell r="C29" t="str">
            <v>040607</v>
          </cell>
          <cell r="D29" t="str">
            <v>M3</v>
          </cell>
          <cell r="E29">
            <v>11650</v>
          </cell>
          <cell r="F29">
            <v>6.94</v>
          </cell>
        </row>
        <row r="30">
          <cell r="C30" t="str">
            <v>040608</v>
          </cell>
          <cell r="D30" t="str">
            <v>M3</v>
          </cell>
          <cell r="E30">
            <v>928</v>
          </cell>
          <cell r="F30">
            <v>8.31</v>
          </cell>
        </row>
        <row r="31">
          <cell r="C31" t="str">
            <v>040609</v>
          </cell>
          <cell r="D31" t="str">
            <v>M3</v>
          </cell>
          <cell r="E31">
            <v>50</v>
          </cell>
          <cell r="F31">
            <v>13.79</v>
          </cell>
        </row>
        <row r="32">
          <cell r="C32" t="str">
            <v>040706</v>
          </cell>
          <cell r="D32" t="str">
            <v>M3</v>
          </cell>
          <cell r="E32">
            <v>1878</v>
          </cell>
          <cell r="F32">
            <v>10.44</v>
          </cell>
        </row>
        <row r="33">
          <cell r="C33" t="str">
            <v>040707</v>
          </cell>
          <cell r="D33" t="str">
            <v>M3</v>
          </cell>
          <cell r="E33">
            <v>180</v>
          </cell>
          <cell r="F33">
            <v>10.42</v>
          </cell>
        </row>
        <row r="34">
          <cell r="C34" t="str">
            <v>040802</v>
          </cell>
          <cell r="D34" t="str">
            <v>M3</v>
          </cell>
          <cell r="E34">
            <v>21776</v>
          </cell>
          <cell r="F34">
            <v>12.26</v>
          </cell>
        </row>
        <row r="35">
          <cell r="C35" t="str">
            <v>040803</v>
          </cell>
          <cell r="D35" t="str">
            <v>M3</v>
          </cell>
          <cell r="E35">
            <v>33853</v>
          </cell>
          <cell r="F35">
            <v>14.3</v>
          </cell>
        </row>
        <row r="36">
          <cell r="C36" t="str">
            <v>041002</v>
          </cell>
          <cell r="D36" t="str">
            <v>M3XKM</v>
          </cell>
          <cell r="E36">
            <v>314400</v>
          </cell>
          <cell r="F36">
            <v>1.61</v>
          </cell>
        </row>
        <row r="37">
          <cell r="C37" t="str">
            <v>041004</v>
          </cell>
          <cell r="D37" t="str">
            <v>M3XKM</v>
          </cell>
          <cell r="E37">
            <v>2000</v>
          </cell>
          <cell r="F37">
            <v>1.93</v>
          </cell>
        </row>
        <row r="38">
          <cell r="C38" t="str">
            <v>050101</v>
          </cell>
          <cell r="D38" t="str">
            <v>M2</v>
          </cell>
          <cell r="E38">
            <v>33526</v>
          </cell>
          <cell r="F38">
            <v>10.039999999999999</v>
          </cell>
        </row>
        <row r="39">
          <cell r="C39" t="str">
            <v>050102</v>
          </cell>
          <cell r="D39" t="str">
            <v>M2</v>
          </cell>
          <cell r="E39">
            <v>62750</v>
          </cell>
          <cell r="F39">
            <v>23.04</v>
          </cell>
        </row>
        <row r="40">
          <cell r="C40" t="str">
            <v>050103</v>
          </cell>
          <cell r="D40" t="str">
            <v>M2</v>
          </cell>
          <cell r="E40">
            <v>8360</v>
          </cell>
          <cell r="F40">
            <v>39.130000000000003</v>
          </cell>
        </row>
        <row r="41">
          <cell r="C41" t="str">
            <v>050104</v>
          </cell>
          <cell r="D41" t="str">
            <v>M2</v>
          </cell>
          <cell r="E41">
            <v>2020</v>
          </cell>
          <cell r="F41">
            <v>46.46</v>
          </cell>
        </row>
        <row r="42">
          <cell r="C42" t="str">
            <v>050207</v>
          </cell>
          <cell r="D42" t="str">
            <v>M2</v>
          </cell>
          <cell r="E42">
            <v>210</v>
          </cell>
          <cell r="F42">
            <v>121.95</v>
          </cell>
        </row>
        <row r="43">
          <cell r="C43" t="str">
            <v>050401</v>
          </cell>
          <cell r="D43" t="str">
            <v>M3</v>
          </cell>
          <cell r="E43">
            <v>45</v>
          </cell>
          <cell r="F43">
            <v>497.6</v>
          </cell>
        </row>
        <row r="44">
          <cell r="C44" t="str">
            <v>050501</v>
          </cell>
          <cell r="D44" t="str">
            <v>M3</v>
          </cell>
          <cell r="E44">
            <v>22</v>
          </cell>
          <cell r="F44">
            <v>41.11</v>
          </cell>
        </row>
        <row r="45">
          <cell r="C45" t="str">
            <v>060101</v>
          </cell>
          <cell r="D45" t="str">
            <v>HPXH</v>
          </cell>
          <cell r="E45">
            <v>32220</v>
          </cell>
          <cell r="F45">
            <v>1.41</v>
          </cell>
        </row>
        <row r="46">
          <cell r="C46" t="str">
            <v>060201</v>
          </cell>
          <cell r="D46" t="str">
            <v>M</v>
          </cell>
          <cell r="E46">
            <v>1120</v>
          </cell>
          <cell r="F46">
            <v>77.02</v>
          </cell>
        </row>
        <row r="47">
          <cell r="C47" t="str">
            <v>060202</v>
          </cell>
          <cell r="D47" t="str">
            <v>M</v>
          </cell>
          <cell r="E47">
            <v>400</v>
          </cell>
          <cell r="F47">
            <v>117.4</v>
          </cell>
        </row>
        <row r="48">
          <cell r="C48" t="str">
            <v>060203</v>
          </cell>
          <cell r="D48" t="str">
            <v>M</v>
          </cell>
          <cell r="E48">
            <v>30</v>
          </cell>
          <cell r="F48">
            <v>137.18</v>
          </cell>
        </row>
        <row r="49">
          <cell r="C49" t="str">
            <v>060204</v>
          </cell>
          <cell r="D49" t="str">
            <v>UN</v>
          </cell>
          <cell r="E49">
            <v>21</v>
          </cell>
          <cell r="F49">
            <v>2016</v>
          </cell>
        </row>
        <row r="50">
          <cell r="C50" t="str">
            <v>080401</v>
          </cell>
          <cell r="D50" t="str">
            <v>M3</v>
          </cell>
          <cell r="E50">
            <v>443</v>
          </cell>
          <cell r="F50">
            <v>189.06</v>
          </cell>
        </row>
        <row r="51">
          <cell r="C51" t="str">
            <v>080402</v>
          </cell>
          <cell r="D51" t="str">
            <v>M3</v>
          </cell>
          <cell r="E51">
            <v>791</v>
          </cell>
          <cell r="F51">
            <v>172.39</v>
          </cell>
        </row>
        <row r="52">
          <cell r="C52" t="str">
            <v>080403</v>
          </cell>
          <cell r="D52" t="str">
            <v>M3</v>
          </cell>
          <cell r="E52">
            <v>8</v>
          </cell>
          <cell r="F52">
            <v>168.92</v>
          </cell>
        </row>
        <row r="53">
          <cell r="C53" t="str">
            <v>080501</v>
          </cell>
          <cell r="D53" t="str">
            <v>M</v>
          </cell>
          <cell r="E53">
            <v>970</v>
          </cell>
          <cell r="F53">
            <v>26.62</v>
          </cell>
        </row>
        <row r="54">
          <cell r="C54" t="str">
            <v>080604</v>
          </cell>
          <cell r="D54" t="str">
            <v>M</v>
          </cell>
          <cell r="E54">
            <v>500</v>
          </cell>
          <cell r="F54">
            <v>74.92</v>
          </cell>
        </row>
        <row r="55">
          <cell r="C55" t="str">
            <v>080901</v>
          </cell>
          <cell r="D55" t="str">
            <v>M2</v>
          </cell>
          <cell r="E55">
            <v>30</v>
          </cell>
          <cell r="F55">
            <v>48.54</v>
          </cell>
        </row>
        <row r="56">
          <cell r="C56" t="str">
            <v>080902</v>
          </cell>
          <cell r="D56" t="str">
            <v>M2</v>
          </cell>
          <cell r="E56">
            <v>271</v>
          </cell>
          <cell r="F56">
            <v>68.13</v>
          </cell>
        </row>
        <row r="57">
          <cell r="C57" t="str">
            <v>081002</v>
          </cell>
          <cell r="D57" t="str">
            <v>KG</v>
          </cell>
          <cell r="E57">
            <v>3340</v>
          </cell>
          <cell r="F57">
            <v>7.51</v>
          </cell>
        </row>
        <row r="58">
          <cell r="C58" t="str">
            <v>081102</v>
          </cell>
          <cell r="D58" t="str">
            <v>M3</v>
          </cell>
          <cell r="E58">
            <v>32</v>
          </cell>
          <cell r="F58">
            <v>417.4</v>
          </cell>
        </row>
        <row r="59">
          <cell r="C59" t="str">
            <v>081202</v>
          </cell>
          <cell r="D59" t="str">
            <v>M3</v>
          </cell>
          <cell r="E59">
            <v>20</v>
          </cell>
          <cell r="F59">
            <v>482.59</v>
          </cell>
        </row>
        <row r="60">
          <cell r="C60" t="str">
            <v>081204</v>
          </cell>
          <cell r="D60" t="str">
            <v>M3</v>
          </cell>
          <cell r="E60">
            <v>18</v>
          </cell>
          <cell r="F60">
            <v>525.04</v>
          </cell>
        </row>
        <row r="61">
          <cell r="C61" t="str">
            <v>081301</v>
          </cell>
          <cell r="D61" t="str">
            <v>M3</v>
          </cell>
          <cell r="E61">
            <v>5</v>
          </cell>
          <cell r="F61">
            <v>496.76</v>
          </cell>
        </row>
        <row r="62">
          <cell r="C62" t="str">
            <v>081401</v>
          </cell>
          <cell r="D62" t="str">
            <v>M3</v>
          </cell>
          <cell r="E62">
            <v>2</v>
          </cell>
          <cell r="F62">
            <v>548.12</v>
          </cell>
        </row>
        <row r="63">
          <cell r="C63" t="str">
            <v>081402</v>
          </cell>
          <cell r="D63" t="str">
            <v>M3</v>
          </cell>
          <cell r="E63">
            <v>30</v>
          </cell>
          <cell r="F63">
            <v>564.16</v>
          </cell>
        </row>
        <row r="64">
          <cell r="C64" t="str">
            <v>082111</v>
          </cell>
          <cell r="D64" t="str">
            <v>UN</v>
          </cell>
          <cell r="E64">
            <v>372</v>
          </cell>
          <cell r="F64">
            <v>3405.5</v>
          </cell>
        </row>
        <row r="65">
          <cell r="C65" t="str">
            <v>082112</v>
          </cell>
          <cell r="D65" t="str">
            <v>UN</v>
          </cell>
          <cell r="E65">
            <v>162</v>
          </cell>
          <cell r="F65">
            <v>4130.07</v>
          </cell>
        </row>
        <row r="66">
          <cell r="C66" t="str">
            <v>082113</v>
          </cell>
          <cell r="D66" t="str">
            <v>UN</v>
          </cell>
          <cell r="E66">
            <v>20</v>
          </cell>
          <cell r="F66">
            <v>5077.24</v>
          </cell>
        </row>
        <row r="67">
          <cell r="C67" t="str">
            <v>082114</v>
          </cell>
          <cell r="D67" t="str">
            <v>UN</v>
          </cell>
          <cell r="E67">
            <v>2</v>
          </cell>
          <cell r="F67">
            <v>6514.88</v>
          </cell>
        </row>
        <row r="68">
          <cell r="C68" t="str">
            <v>082311</v>
          </cell>
          <cell r="D68" t="str">
            <v>UN</v>
          </cell>
          <cell r="E68">
            <v>35</v>
          </cell>
          <cell r="F68">
            <v>3193.31</v>
          </cell>
        </row>
        <row r="69">
          <cell r="C69" t="str">
            <v>082312</v>
          </cell>
          <cell r="D69" t="str">
            <v>UN</v>
          </cell>
          <cell r="E69">
            <v>16</v>
          </cell>
          <cell r="F69">
            <v>3783.62</v>
          </cell>
        </row>
        <row r="70">
          <cell r="C70" t="str">
            <v>082313</v>
          </cell>
          <cell r="D70" t="str">
            <v>UN</v>
          </cell>
          <cell r="E70">
            <v>12</v>
          </cell>
          <cell r="F70">
            <v>4625.16</v>
          </cell>
        </row>
        <row r="71">
          <cell r="C71" t="str">
            <v>082314</v>
          </cell>
          <cell r="D71" t="str">
            <v>UN</v>
          </cell>
          <cell r="E71">
            <v>3</v>
          </cell>
          <cell r="F71">
            <v>5658.82</v>
          </cell>
        </row>
        <row r="72">
          <cell r="C72" t="str">
            <v>082315</v>
          </cell>
          <cell r="D72" t="str">
            <v>UN</v>
          </cell>
          <cell r="E72">
            <v>7</v>
          </cell>
          <cell r="F72">
            <v>6692.48</v>
          </cell>
        </row>
        <row r="73">
          <cell r="C73" t="str">
            <v>082316</v>
          </cell>
          <cell r="D73" t="str">
            <v>UN</v>
          </cell>
          <cell r="E73">
            <v>3</v>
          </cell>
          <cell r="F73">
            <v>7726.14</v>
          </cell>
        </row>
        <row r="74">
          <cell r="C74" t="str">
            <v>082501</v>
          </cell>
          <cell r="D74" t="str">
            <v>UN</v>
          </cell>
          <cell r="E74">
            <v>10</v>
          </cell>
          <cell r="F74">
            <v>1797.31</v>
          </cell>
        </row>
        <row r="75">
          <cell r="C75" t="str">
            <v>082512</v>
          </cell>
          <cell r="D75" t="str">
            <v>UN</v>
          </cell>
          <cell r="E75">
            <v>300</v>
          </cell>
          <cell r="F75">
            <v>1441.64</v>
          </cell>
        </row>
        <row r="76">
          <cell r="C76" t="str">
            <v>082803</v>
          </cell>
          <cell r="D76" t="str">
            <v>M</v>
          </cell>
          <cell r="E76">
            <v>155</v>
          </cell>
          <cell r="F76">
            <v>251.83</v>
          </cell>
        </row>
        <row r="77">
          <cell r="C77" t="str">
            <v>082806</v>
          </cell>
          <cell r="D77" t="str">
            <v>UN</v>
          </cell>
          <cell r="E77">
            <v>126</v>
          </cell>
          <cell r="F77">
            <v>501.3</v>
          </cell>
        </row>
        <row r="78">
          <cell r="C78" t="str">
            <v>082913</v>
          </cell>
          <cell r="D78" t="str">
            <v>M</v>
          </cell>
          <cell r="E78">
            <v>2</v>
          </cell>
          <cell r="F78">
            <v>2311.62</v>
          </cell>
        </row>
        <row r="79">
          <cell r="C79" t="str">
            <v>090605</v>
          </cell>
          <cell r="D79" t="str">
            <v>M</v>
          </cell>
          <cell r="E79">
            <v>25144</v>
          </cell>
          <cell r="F79">
            <v>3.67</v>
          </cell>
        </row>
        <row r="80">
          <cell r="C80" t="str">
            <v>090606</v>
          </cell>
          <cell r="D80" t="str">
            <v>M</v>
          </cell>
          <cell r="E80">
            <v>405.5</v>
          </cell>
          <cell r="F80">
            <v>5.5</v>
          </cell>
        </row>
        <row r="81">
          <cell r="C81" t="str">
            <v>090607</v>
          </cell>
          <cell r="D81" t="str">
            <v>M</v>
          </cell>
          <cell r="E81">
            <v>10</v>
          </cell>
          <cell r="F81">
            <v>6.87</v>
          </cell>
        </row>
        <row r="82">
          <cell r="C82" t="str">
            <v>090703</v>
          </cell>
          <cell r="D82" t="str">
            <v>M</v>
          </cell>
          <cell r="E82">
            <v>938</v>
          </cell>
          <cell r="F82">
            <v>6.87</v>
          </cell>
        </row>
        <row r="83">
          <cell r="C83" t="str">
            <v>091002</v>
          </cell>
          <cell r="D83" t="str">
            <v>M</v>
          </cell>
          <cell r="E83">
            <v>34</v>
          </cell>
          <cell r="F83">
            <v>19.7</v>
          </cell>
        </row>
        <row r="84">
          <cell r="C84">
            <v>100101</v>
          </cell>
          <cell r="D84" t="str">
            <v>M2</v>
          </cell>
          <cell r="E84">
            <v>27238</v>
          </cell>
          <cell r="F84">
            <v>15.8</v>
          </cell>
        </row>
        <row r="85">
          <cell r="C85">
            <v>100102</v>
          </cell>
          <cell r="D85" t="str">
            <v>M2</v>
          </cell>
          <cell r="E85">
            <v>200</v>
          </cell>
          <cell r="F85">
            <v>13.63</v>
          </cell>
        </row>
        <row r="86">
          <cell r="C86">
            <v>100103</v>
          </cell>
          <cell r="D86" t="str">
            <v>M2</v>
          </cell>
          <cell r="E86">
            <v>3870</v>
          </cell>
          <cell r="F86">
            <v>10.16</v>
          </cell>
        </row>
        <row r="87">
          <cell r="C87">
            <v>100104</v>
          </cell>
          <cell r="D87" t="str">
            <v>M2</v>
          </cell>
          <cell r="E87">
            <v>145</v>
          </cell>
          <cell r="F87">
            <v>12.7</v>
          </cell>
        </row>
        <row r="88">
          <cell r="C88">
            <v>100106</v>
          </cell>
          <cell r="D88" t="str">
            <v>M3</v>
          </cell>
          <cell r="E88">
            <v>47</v>
          </cell>
          <cell r="F88">
            <v>70.87</v>
          </cell>
        </row>
        <row r="89">
          <cell r="C89">
            <v>100107</v>
          </cell>
          <cell r="D89" t="str">
            <v>M</v>
          </cell>
          <cell r="E89">
            <v>365</v>
          </cell>
          <cell r="F89">
            <v>13.63</v>
          </cell>
        </row>
        <row r="90">
          <cell r="C90">
            <v>100112</v>
          </cell>
          <cell r="D90" t="str">
            <v>M2</v>
          </cell>
          <cell r="E90">
            <v>115</v>
          </cell>
          <cell r="F90">
            <v>16.510000000000002</v>
          </cell>
        </row>
        <row r="91">
          <cell r="C91">
            <v>100201</v>
          </cell>
          <cell r="D91" t="str">
            <v>M2</v>
          </cell>
          <cell r="E91">
            <v>4930</v>
          </cell>
          <cell r="F91">
            <v>0.51</v>
          </cell>
        </row>
        <row r="92">
          <cell r="C92">
            <v>100303</v>
          </cell>
          <cell r="D92" t="str">
            <v>M2</v>
          </cell>
          <cell r="E92">
            <v>200</v>
          </cell>
          <cell r="F92">
            <v>44.66</v>
          </cell>
        </row>
        <row r="93">
          <cell r="C93">
            <v>100304</v>
          </cell>
          <cell r="D93" t="str">
            <v>M2</v>
          </cell>
          <cell r="E93">
            <v>200</v>
          </cell>
          <cell r="F93">
            <v>60.29</v>
          </cell>
        </row>
        <row r="94">
          <cell r="C94">
            <v>100305</v>
          </cell>
          <cell r="D94" t="str">
            <v>M2</v>
          </cell>
          <cell r="E94">
            <v>3870</v>
          </cell>
          <cell r="F94">
            <v>69.48</v>
          </cell>
        </row>
        <row r="95">
          <cell r="C95">
            <v>100306</v>
          </cell>
          <cell r="D95" t="str">
            <v>M2</v>
          </cell>
          <cell r="E95">
            <v>145</v>
          </cell>
          <cell r="F95">
            <v>46.53</v>
          </cell>
        </row>
        <row r="96">
          <cell r="C96">
            <v>100307</v>
          </cell>
          <cell r="D96" t="str">
            <v>M2</v>
          </cell>
          <cell r="E96">
            <v>145</v>
          </cell>
          <cell r="F96">
            <v>43.65</v>
          </cell>
        </row>
        <row r="97">
          <cell r="C97">
            <v>100310</v>
          </cell>
          <cell r="D97" t="str">
            <v>M</v>
          </cell>
          <cell r="E97">
            <v>365</v>
          </cell>
          <cell r="F97">
            <v>8.6999999999999993</v>
          </cell>
        </row>
        <row r="98">
          <cell r="C98">
            <v>100311</v>
          </cell>
          <cell r="D98" t="str">
            <v>M</v>
          </cell>
          <cell r="E98">
            <v>345</v>
          </cell>
          <cell r="F98">
            <v>25.33</v>
          </cell>
        </row>
        <row r="99">
          <cell r="C99">
            <v>100312</v>
          </cell>
          <cell r="D99" t="str">
            <v>M3</v>
          </cell>
          <cell r="E99">
            <v>47</v>
          </cell>
          <cell r="F99">
            <v>478.05</v>
          </cell>
        </row>
        <row r="100">
          <cell r="C100">
            <v>100401</v>
          </cell>
          <cell r="D100" t="str">
            <v>M2</v>
          </cell>
          <cell r="E100">
            <v>27238</v>
          </cell>
          <cell r="F100">
            <v>10.41</v>
          </cell>
        </row>
        <row r="101">
          <cell r="C101">
            <v>100404</v>
          </cell>
          <cell r="D101" t="str">
            <v>M2</v>
          </cell>
          <cell r="E101">
            <v>27238</v>
          </cell>
          <cell r="F101">
            <v>4.71</v>
          </cell>
        </row>
        <row r="102">
          <cell r="C102">
            <v>100406</v>
          </cell>
          <cell r="D102" t="str">
            <v>M3</v>
          </cell>
          <cell r="E102">
            <v>1107</v>
          </cell>
          <cell r="F102">
            <v>644.15</v>
          </cell>
        </row>
        <row r="103">
          <cell r="C103">
            <v>100407</v>
          </cell>
          <cell r="D103" t="str">
            <v>M3</v>
          </cell>
          <cell r="E103">
            <v>2713</v>
          </cell>
          <cell r="F103">
            <v>374.48</v>
          </cell>
        </row>
        <row r="104">
          <cell r="C104">
            <v>110213</v>
          </cell>
          <cell r="D104" t="str">
            <v>UN</v>
          </cell>
          <cell r="E104">
            <v>120</v>
          </cell>
          <cell r="F104">
            <v>57.05</v>
          </cell>
        </row>
        <row r="105">
          <cell r="C105">
            <v>110214</v>
          </cell>
          <cell r="D105" t="str">
            <v>UN</v>
          </cell>
          <cell r="E105">
            <v>1640</v>
          </cell>
          <cell r="F105">
            <v>171.17</v>
          </cell>
        </row>
        <row r="106">
          <cell r="C106">
            <v>110215</v>
          </cell>
          <cell r="D106" t="str">
            <v>UN</v>
          </cell>
          <cell r="E106">
            <v>120</v>
          </cell>
          <cell r="F106">
            <v>228.22</v>
          </cell>
        </row>
        <row r="107">
          <cell r="C107">
            <v>110216</v>
          </cell>
          <cell r="D107" t="str">
            <v>UN</v>
          </cell>
          <cell r="E107">
            <v>850</v>
          </cell>
          <cell r="F107">
            <v>285.29000000000002</v>
          </cell>
        </row>
        <row r="108">
          <cell r="C108">
            <v>110217</v>
          </cell>
          <cell r="D108" t="str">
            <v>UN</v>
          </cell>
          <cell r="E108">
            <v>30</v>
          </cell>
          <cell r="F108">
            <v>399.4</v>
          </cell>
        </row>
        <row r="109">
          <cell r="C109">
            <v>110223</v>
          </cell>
          <cell r="D109" t="str">
            <v>UN</v>
          </cell>
          <cell r="E109">
            <v>100</v>
          </cell>
          <cell r="F109">
            <v>120.19</v>
          </cell>
        </row>
        <row r="110">
          <cell r="C110">
            <v>130318</v>
          </cell>
          <cell r="D110" t="str">
            <v>M2</v>
          </cell>
          <cell r="E110">
            <v>300</v>
          </cell>
          <cell r="F110">
            <v>59.26</v>
          </cell>
        </row>
        <row r="111">
          <cell r="C111">
            <v>170101</v>
          </cell>
          <cell r="D111" t="str">
            <v>M2</v>
          </cell>
          <cell r="E111">
            <v>12</v>
          </cell>
          <cell r="F111">
            <v>396.42</v>
          </cell>
        </row>
        <row r="112">
          <cell r="C112">
            <v>170104</v>
          </cell>
          <cell r="D112" t="str">
            <v>M</v>
          </cell>
          <cell r="E112">
            <v>112</v>
          </cell>
          <cell r="F112">
            <v>115.97</v>
          </cell>
        </row>
        <row r="113">
          <cell r="C113">
            <v>355001</v>
          </cell>
          <cell r="D113" t="str">
            <v>GB</v>
          </cell>
          <cell r="E113">
            <v>1</v>
          </cell>
          <cell r="F113">
            <v>109000</v>
          </cell>
        </row>
        <row r="114">
          <cell r="C114">
            <v>355002</v>
          </cell>
          <cell r="D114" t="str">
            <v>MES</v>
          </cell>
          <cell r="E114">
            <v>24</v>
          </cell>
          <cell r="F114">
            <v>22125</v>
          </cell>
        </row>
        <row r="115">
          <cell r="C115">
            <v>355003</v>
          </cell>
          <cell r="D115" t="str">
            <v>MES</v>
          </cell>
          <cell r="E115">
            <v>24</v>
          </cell>
          <cell r="F115">
            <v>13424.94</v>
          </cell>
        </row>
        <row r="116">
          <cell r="C116">
            <v>355004</v>
          </cell>
          <cell r="D116" t="str">
            <v>MES</v>
          </cell>
          <cell r="E116">
            <v>24</v>
          </cell>
          <cell r="F116">
            <v>24144.080000000002</v>
          </cell>
        </row>
        <row r="117">
          <cell r="C117">
            <v>355005</v>
          </cell>
          <cell r="D117" t="str">
            <v>MES</v>
          </cell>
          <cell r="E117">
            <v>24</v>
          </cell>
          <cell r="F117">
            <v>13424.94</v>
          </cell>
        </row>
        <row r="118">
          <cell r="C118">
            <v>356005</v>
          </cell>
          <cell r="D118" t="str">
            <v>GB</v>
          </cell>
          <cell r="E118">
            <v>1</v>
          </cell>
          <cell r="F118">
            <v>862665</v>
          </cell>
        </row>
        <row r="119">
          <cell r="C119">
            <v>356006</v>
          </cell>
          <cell r="D119" t="str">
            <v>UN</v>
          </cell>
          <cell r="E119">
            <v>906</v>
          </cell>
          <cell r="F119">
            <v>437.4</v>
          </cell>
        </row>
        <row r="120">
          <cell r="C120">
            <v>356015</v>
          </cell>
          <cell r="D120" t="str">
            <v>GB</v>
          </cell>
          <cell r="E120">
            <v>1</v>
          </cell>
          <cell r="F120">
            <v>3184</v>
          </cell>
        </row>
        <row r="121">
          <cell r="C121">
            <v>356020</v>
          </cell>
          <cell r="D121" t="str">
            <v>GB</v>
          </cell>
          <cell r="E121">
            <v>1</v>
          </cell>
          <cell r="F121">
            <v>5644</v>
          </cell>
        </row>
        <row r="122">
          <cell r="C122">
            <v>356022</v>
          </cell>
          <cell r="D122" t="str">
            <v>GB</v>
          </cell>
          <cell r="E122">
            <v>1</v>
          </cell>
          <cell r="F122">
            <v>61914</v>
          </cell>
        </row>
        <row r="123">
          <cell r="C123">
            <v>356023</v>
          </cell>
          <cell r="D123" t="str">
            <v>GB</v>
          </cell>
          <cell r="E123">
            <v>1</v>
          </cell>
          <cell r="F123">
            <v>120617</v>
          </cell>
        </row>
        <row r="124">
          <cell r="C124">
            <v>356024</v>
          </cell>
          <cell r="D124" t="str">
            <v>GB</v>
          </cell>
          <cell r="E124">
            <v>1</v>
          </cell>
          <cell r="F124">
            <v>445153.5</v>
          </cell>
        </row>
        <row r="125">
          <cell r="C125">
            <v>356025</v>
          </cell>
          <cell r="D125" t="str">
            <v>GB</v>
          </cell>
          <cell r="E125">
            <v>1</v>
          </cell>
          <cell r="F125">
            <v>603087.75</v>
          </cell>
        </row>
        <row r="126">
          <cell r="C126">
            <v>356031</v>
          </cell>
          <cell r="D126" t="str">
            <v>GB</v>
          </cell>
          <cell r="E126">
            <v>1</v>
          </cell>
          <cell r="F126">
            <v>46349</v>
          </cell>
        </row>
        <row r="127">
          <cell r="C127">
            <v>356032</v>
          </cell>
          <cell r="D127" t="str">
            <v>GB</v>
          </cell>
          <cell r="E127">
            <v>1</v>
          </cell>
          <cell r="F127">
            <v>59710.3</v>
          </cell>
        </row>
        <row r="128">
          <cell r="C128">
            <v>356033</v>
          </cell>
          <cell r="D128" t="str">
            <v>GB</v>
          </cell>
          <cell r="E128">
            <v>1</v>
          </cell>
          <cell r="F128">
            <v>231749</v>
          </cell>
        </row>
        <row r="129">
          <cell r="C129">
            <v>356034</v>
          </cell>
          <cell r="D129" t="str">
            <v>GB</v>
          </cell>
          <cell r="E129">
            <v>1</v>
          </cell>
          <cell r="F129">
            <v>298551</v>
          </cell>
        </row>
        <row r="130">
          <cell r="C130">
            <v>356035</v>
          </cell>
          <cell r="D130" t="str">
            <v>GB</v>
          </cell>
          <cell r="E130">
            <v>1</v>
          </cell>
          <cell r="F130">
            <v>178006</v>
          </cell>
        </row>
        <row r="131">
          <cell r="C131">
            <v>356036</v>
          </cell>
          <cell r="D131" t="str">
            <v>M</v>
          </cell>
          <cell r="E131">
            <v>64</v>
          </cell>
          <cell r="F131">
            <v>25.35</v>
          </cell>
        </row>
        <row r="132">
          <cell r="C132">
            <v>356038</v>
          </cell>
          <cell r="D132" t="str">
            <v>UN</v>
          </cell>
          <cell r="E132">
            <v>3</v>
          </cell>
          <cell r="F132">
            <v>17.45</v>
          </cell>
        </row>
        <row r="133">
          <cell r="C133">
            <v>356039</v>
          </cell>
          <cell r="D133" t="str">
            <v>UN</v>
          </cell>
          <cell r="E133">
            <v>2</v>
          </cell>
          <cell r="F133">
            <v>18.98</v>
          </cell>
        </row>
        <row r="134">
          <cell r="C134">
            <v>356040</v>
          </cell>
          <cell r="D134" t="str">
            <v>UN</v>
          </cell>
          <cell r="E134">
            <v>2</v>
          </cell>
          <cell r="F134">
            <v>17.27</v>
          </cell>
        </row>
        <row r="135">
          <cell r="C135">
            <v>356041</v>
          </cell>
          <cell r="D135" t="str">
            <v>UN</v>
          </cell>
          <cell r="E135">
            <v>1</v>
          </cell>
          <cell r="F135">
            <v>37.21</v>
          </cell>
        </row>
        <row r="136">
          <cell r="C136">
            <v>356042</v>
          </cell>
          <cell r="D136" t="str">
            <v>M2</v>
          </cell>
          <cell r="E136">
            <v>115</v>
          </cell>
          <cell r="F136">
            <v>23.38</v>
          </cell>
        </row>
        <row r="137">
          <cell r="C137">
            <v>356043</v>
          </cell>
          <cell r="D137" t="str">
            <v>GB</v>
          </cell>
          <cell r="E137">
            <v>1</v>
          </cell>
          <cell r="F137">
            <v>257741</v>
          </cell>
        </row>
        <row r="138">
          <cell r="C138">
            <v>356050</v>
          </cell>
          <cell r="D138" t="str">
            <v>GB</v>
          </cell>
          <cell r="E138">
            <v>1</v>
          </cell>
          <cell r="F138">
            <v>89400</v>
          </cell>
        </row>
        <row r="139">
          <cell r="C139">
            <v>356052</v>
          </cell>
          <cell r="D139" t="str">
            <v>GB</v>
          </cell>
          <cell r="E139">
            <v>1</v>
          </cell>
          <cell r="F139">
            <v>268654.40000000002</v>
          </cell>
        </row>
        <row r="140">
          <cell r="C140">
            <v>356078</v>
          </cell>
          <cell r="D140" t="str">
            <v>GB</v>
          </cell>
          <cell r="E140">
            <v>1</v>
          </cell>
          <cell r="F140">
            <v>9206</v>
          </cell>
        </row>
        <row r="141">
          <cell r="C141">
            <v>356079</v>
          </cell>
          <cell r="D141" t="str">
            <v>GB</v>
          </cell>
          <cell r="E141">
            <v>1</v>
          </cell>
          <cell r="F141">
            <v>1841.2</v>
          </cell>
        </row>
        <row r="142">
          <cell r="C142">
            <v>356110</v>
          </cell>
          <cell r="D142" t="str">
            <v>GB</v>
          </cell>
          <cell r="E142">
            <v>1</v>
          </cell>
          <cell r="F142">
            <v>243786</v>
          </cell>
        </row>
        <row r="143">
          <cell r="C143">
            <v>356111</v>
          </cell>
          <cell r="D143" t="str">
            <v>GB</v>
          </cell>
          <cell r="E143">
            <v>1</v>
          </cell>
          <cell r="F143">
            <v>31970.880000000001</v>
          </cell>
        </row>
        <row r="144">
          <cell r="C144">
            <v>356112</v>
          </cell>
          <cell r="D144" t="str">
            <v>GB</v>
          </cell>
          <cell r="E144">
            <v>1</v>
          </cell>
          <cell r="F144">
            <v>5988.33</v>
          </cell>
        </row>
        <row r="145">
          <cell r="C145">
            <v>356113</v>
          </cell>
          <cell r="D145" t="str">
            <v>GB</v>
          </cell>
          <cell r="E145">
            <v>1</v>
          </cell>
          <cell r="F145">
            <v>109.6</v>
          </cell>
        </row>
        <row r="146">
          <cell r="C146">
            <v>356114</v>
          </cell>
          <cell r="D146" t="str">
            <v>GB</v>
          </cell>
          <cell r="E146">
            <v>1</v>
          </cell>
          <cell r="F146">
            <v>52160.77</v>
          </cell>
        </row>
        <row r="147">
          <cell r="C147">
            <v>356115</v>
          </cell>
          <cell r="D147" t="str">
            <v>GB</v>
          </cell>
          <cell r="E147">
            <v>1</v>
          </cell>
          <cell r="F147">
            <v>73295.320000000007</v>
          </cell>
        </row>
        <row r="148">
          <cell r="C148">
            <v>356116</v>
          </cell>
          <cell r="D148" t="str">
            <v>GB</v>
          </cell>
          <cell r="E148">
            <v>1</v>
          </cell>
          <cell r="F148">
            <v>17406.8</v>
          </cell>
        </row>
        <row r="149">
          <cell r="C149">
            <v>356117</v>
          </cell>
          <cell r="D149" t="str">
            <v>GB</v>
          </cell>
          <cell r="E149">
            <v>1</v>
          </cell>
          <cell r="F149">
            <v>28406.6</v>
          </cell>
        </row>
        <row r="150">
          <cell r="C150">
            <v>356118</v>
          </cell>
          <cell r="D150" t="str">
            <v>GB</v>
          </cell>
          <cell r="E150">
            <v>1</v>
          </cell>
          <cell r="F150">
            <v>3956.31</v>
          </cell>
        </row>
        <row r="151">
          <cell r="C151">
            <v>356119</v>
          </cell>
          <cell r="D151" t="str">
            <v>GB</v>
          </cell>
          <cell r="E151">
            <v>1</v>
          </cell>
          <cell r="F151">
            <v>1218934</v>
          </cell>
        </row>
        <row r="152">
          <cell r="C152">
            <v>356120</v>
          </cell>
          <cell r="D152" t="str">
            <v>GB</v>
          </cell>
          <cell r="E152">
            <v>1</v>
          </cell>
          <cell r="F152">
            <v>159854.39999999999</v>
          </cell>
        </row>
        <row r="153">
          <cell r="C153">
            <v>356121</v>
          </cell>
          <cell r="D153" t="str">
            <v>GB</v>
          </cell>
          <cell r="E153">
            <v>1</v>
          </cell>
          <cell r="F153">
            <v>29941.65</v>
          </cell>
        </row>
        <row r="154">
          <cell r="C154">
            <v>356122</v>
          </cell>
          <cell r="D154" t="str">
            <v>GB</v>
          </cell>
          <cell r="E154">
            <v>1</v>
          </cell>
          <cell r="F154">
            <v>548</v>
          </cell>
        </row>
        <row r="155">
          <cell r="C155">
            <v>356123</v>
          </cell>
          <cell r="D155" t="str">
            <v>GB</v>
          </cell>
          <cell r="E155">
            <v>1</v>
          </cell>
          <cell r="F155">
            <v>260802.36</v>
          </cell>
        </row>
        <row r="156">
          <cell r="C156">
            <v>356124</v>
          </cell>
          <cell r="D156" t="str">
            <v>GB</v>
          </cell>
          <cell r="E156">
            <v>1</v>
          </cell>
          <cell r="F156">
            <v>366479.53</v>
          </cell>
        </row>
        <row r="157">
          <cell r="C157">
            <v>356125</v>
          </cell>
          <cell r="D157" t="str">
            <v>GB</v>
          </cell>
          <cell r="E157">
            <v>1</v>
          </cell>
          <cell r="F157">
            <v>87034</v>
          </cell>
        </row>
        <row r="158">
          <cell r="C158">
            <v>356126</v>
          </cell>
          <cell r="D158" t="str">
            <v>GB</v>
          </cell>
          <cell r="E158">
            <v>1</v>
          </cell>
          <cell r="F158">
            <v>142033</v>
          </cell>
        </row>
        <row r="159">
          <cell r="C159">
            <v>356127</v>
          </cell>
          <cell r="D159" t="str">
            <v>GB</v>
          </cell>
          <cell r="E159">
            <v>1</v>
          </cell>
          <cell r="F159">
            <v>19781.55</v>
          </cell>
        </row>
        <row r="160">
          <cell r="C160">
            <v>356128</v>
          </cell>
          <cell r="D160" t="str">
            <v>GB</v>
          </cell>
          <cell r="E160">
            <v>1</v>
          </cell>
          <cell r="F160">
            <v>1102121.8999999999</v>
          </cell>
        </row>
        <row r="161">
          <cell r="C161">
            <v>356129</v>
          </cell>
          <cell r="D161" t="str">
            <v>GB</v>
          </cell>
          <cell r="E161">
            <v>1</v>
          </cell>
          <cell r="F161">
            <v>98893</v>
          </cell>
        </row>
        <row r="162">
          <cell r="C162">
            <v>356130</v>
          </cell>
          <cell r="D162" t="str">
            <v>M</v>
          </cell>
          <cell r="E162">
            <v>440</v>
          </cell>
          <cell r="F162">
            <v>19.989999999999998</v>
          </cell>
        </row>
        <row r="163">
          <cell r="C163">
            <v>356131</v>
          </cell>
          <cell r="D163" t="str">
            <v>GB</v>
          </cell>
          <cell r="E163">
            <v>1</v>
          </cell>
          <cell r="F163">
            <v>504800</v>
          </cell>
        </row>
        <row r="164">
          <cell r="C164">
            <v>358002</v>
          </cell>
          <cell r="D164" t="str">
            <v>M</v>
          </cell>
          <cell r="E164">
            <v>1923.77</v>
          </cell>
          <cell r="F164">
            <v>1088</v>
          </cell>
        </row>
        <row r="165">
          <cell r="C165">
            <v>358003</v>
          </cell>
          <cell r="D165" t="str">
            <v>M</v>
          </cell>
          <cell r="E165">
            <v>258.35000000000002</v>
          </cell>
          <cell r="F165">
            <v>1043</v>
          </cell>
        </row>
        <row r="166">
          <cell r="C166">
            <v>358004</v>
          </cell>
          <cell r="D166" t="str">
            <v>M</v>
          </cell>
          <cell r="E166">
            <v>945.83</v>
          </cell>
          <cell r="F166">
            <v>1506</v>
          </cell>
        </row>
        <row r="167">
          <cell r="C167">
            <v>358005</v>
          </cell>
          <cell r="D167" t="str">
            <v>GB</v>
          </cell>
          <cell r="E167">
            <v>1</v>
          </cell>
          <cell r="F167">
            <v>2370</v>
          </cell>
        </row>
        <row r="168">
          <cell r="C168">
            <v>358010</v>
          </cell>
          <cell r="D168" t="str">
            <v>M</v>
          </cell>
          <cell r="E168">
            <v>1350</v>
          </cell>
          <cell r="F168">
            <v>2601</v>
          </cell>
        </row>
        <row r="169">
          <cell r="C169">
            <v>358011</v>
          </cell>
          <cell r="D169" t="str">
            <v>M</v>
          </cell>
          <cell r="E169">
            <v>572</v>
          </cell>
          <cell r="F169">
            <v>2012</v>
          </cell>
        </row>
        <row r="170">
          <cell r="C170">
            <v>358012</v>
          </cell>
          <cell r="D170" t="str">
            <v>M</v>
          </cell>
          <cell r="E170">
            <v>620</v>
          </cell>
          <cell r="F170">
            <v>833.63</v>
          </cell>
        </row>
        <row r="171">
          <cell r="C171">
            <v>358013</v>
          </cell>
          <cell r="D171" t="str">
            <v>M</v>
          </cell>
          <cell r="E171">
            <v>251</v>
          </cell>
          <cell r="F171">
            <v>1199.71</v>
          </cell>
        </row>
        <row r="172">
          <cell r="C172">
            <v>358020</v>
          </cell>
          <cell r="D172" t="str">
            <v>M</v>
          </cell>
          <cell r="E172">
            <v>915</v>
          </cell>
          <cell r="F172">
            <v>2266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FEBE-5C99-46AB-8636-6B4DC784B5C9}">
  <dimension ref="A1:G750"/>
  <sheetViews>
    <sheetView tabSelected="1" workbookViewId="0">
      <selection sqref="A1:G1048576"/>
    </sheetView>
  </sheetViews>
  <sheetFormatPr defaultRowHeight="16.2" x14ac:dyDescent="0.4"/>
  <cols>
    <col min="1" max="1" width="13.33203125" customWidth="1"/>
    <col min="2" max="2" width="75.6640625" customWidth="1"/>
    <col min="3" max="3" width="14.109375" style="4" customWidth="1"/>
    <col min="4" max="4" width="11.88671875" style="4" bestFit="1" customWidth="1"/>
    <col min="5" max="5" width="11.21875" style="33" bestFit="1" customWidth="1"/>
    <col min="6" max="6" width="10.77734375" style="33" bestFit="1" customWidth="1"/>
    <col min="7" max="7" width="11.6640625" style="33" bestFit="1" customWidth="1"/>
  </cols>
  <sheetData>
    <row r="1" spans="1:7" ht="14.4" x14ac:dyDescent="0.3">
      <c r="A1" s="1" t="s">
        <v>0</v>
      </c>
      <c r="B1" s="2" t="s">
        <v>1</v>
      </c>
      <c r="C1" s="3"/>
      <c r="D1" s="3"/>
      <c r="E1" s="3"/>
      <c r="F1" s="3"/>
      <c r="G1" s="3"/>
    </row>
    <row r="2" spans="1:7" x14ac:dyDescent="0.4">
      <c r="A2" s="1"/>
      <c r="E2" s="5"/>
      <c r="F2" s="5"/>
      <c r="G2" s="5"/>
    </row>
    <row r="3" spans="1:7" ht="14.4" x14ac:dyDescent="0.3">
      <c r="A3" s="6" t="s">
        <v>2</v>
      </c>
      <c r="B3" s="7"/>
      <c r="C3" s="7"/>
      <c r="D3" s="7"/>
      <c r="E3" s="7"/>
      <c r="F3" s="7"/>
      <c r="G3" s="7"/>
    </row>
    <row r="4" spans="1:7" x14ac:dyDescent="0.4">
      <c r="E4" s="5"/>
      <c r="F4" s="5"/>
      <c r="G4" s="5"/>
    </row>
    <row r="5" spans="1:7" ht="14.4" x14ac:dyDescent="0.3">
      <c r="A5" s="8" t="s">
        <v>3</v>
      </c>
      <c r="B5" s="8" t="s">
        <v>4</v>
      </c>
      <c r="C5" s="8" t="s">
        <v>5</v>
      </c>
      <c r="D5" s="8" t="s">
        <v>6</v>
      </c>
      <c r="E5" s="9" t="s">
        <v>7</v>
      </c>
      <c r="F5" s="9" t="s">
        <v>8</v>
      </c>
      <c r="G5" s="9" t="s">
        <v>9</v>
      </c>
    </row>
    <row r="6" spans="1:7" ht="25.8" x14ac:dyDescent="0.45">
      <c r="A6" s="10" t="s">
        <v>10</v>
      </c>
      <c r="B6" s="11" t="s">
        <v>11</v>
      </c>
      <c r="C6" s="12"/>
      <c r="D6" s="12"/>
      <c r="E6" s="13"/>
      <c r="F6" s="13"/>
      <c r="G6" s="13"/>
    </row>
    <row r="7" spans="1:7" x14ac:dyDescent="0.4">
      <c r="A7" s="14" t="s">
        <v>12</v>
      </c>
      <c r="B7" s="15" t="s">
        <v>13</v>
      </c>
      <c r="C7" s="16"/>
      <c r="D7" s="16"/>
      <c r="E7" s="17"/>
      <c r="F7" s="17"/>
      <c r="G7" s="17"/>
    </row>
    <row r="8" spans="1:7" ht="14.4" x14ac:dyDescent="0.3">
      <c r="A8" s="14" t="s">
        <v>14</v>
      </c>
      <c r="B8" s="15" t="s">
        <v>15</v>
      </c>
      <c r="C8" s="18">
        <v>355001</v>
      </c>
      <c r="D8" s="19" t="s">
        <v>16</v>
      </c>
      <c r="E8" s="20">
        <v>1</v>
      </c>
      <c r="F8" s="20">
        <f>+VLOOKUP(C8,[1]Serviços!$C$6:$F$172,4,FALSE)</f>
        <v>109000</v>
      </c>
      <c r="G8" s="20">
        <f>+ROUND(F8*E8,2)</f>
        <v>109000</v>
      </c>
    </row>
    <row r="9" spans="1:7" x14ac:dyDescent="0.4">
      <c r="A9" s="21"/>
      <c r="B9" s="22"/>
      <c r="C9" s="16"/>
      <c r="D9" s="19" t="s">
        <v>17</v>
      </c>
      <c r="E9" s="17"/>
      <c r="F9" s="17"/>
      <c r="G9" s="20">
        <f>+G8</f>
        <v>109000</v>
      </c>
    </row>
    <row r="10" spans="1:7" x14ac:dyDescent="0.4">
      <c r="A10" s="14" t="s">
        <v>18</v>
      </c>
      <c r="B10" s="15" t="s">
        <v>19</v>
      </c>
      <c r="C10" s="16"/>
      <c r="D10" s="16"/>
      <c r="E10" s="17"/>
      <c r="F10" s="17"/>
      <c r="G10" s="17"/>
    </row>
    <row r="11" spans="1:7" ht="14.4" x14ac:dyDescent="0.3">
      <c r="A11" s="14" t="s">
        <v>20</v>
      </c>
      <c r="B11" s="15" t="s">
        <v>21</v>
      </c>
      <c r="C11" s="18">
        <v>355002</v>
      </c>
      <c r="D11" s="19" t="s">
        <v>22</v>
      </c>
      <c r="E11" s="20">
        <v>24</v>
      </c>
      <c r="F11" s="20">
        <f>+VLOOKUP(C11,[1]Serviços!$C$6:$F$172,4,FALSE)</f>
        <v>22125</v>
      </c>
      <c r="G11" s="20">
        <f>+ROUND(F11*E11,2)</f>
        <v>531000</v>
      </c>
    </row>
    <row r="12" spans="1:7" x14ac:dyDescent="0.4">
      <c r="A12" s="21"/>
      <c r="B12" s="22"/>
      <c r="C12" s="16"/>
      <c r="D12" s="19" t="s">
        <v>17</v>
      </c>
      <c r="E12" s="17"/>
      <c r="F12" s="17"/>
      <c r="G12" s="20">
        <f>+G11</f>
        <v>531000</v>
      </c>
    </row>
    <row r="13" spans="1:7" ht="25.2" x14ac:dyDescent="0.4">
      <c r="A13" s="14" t="s">
        <v>23</v>
      </c>
      <c r="B13" s="15" t="s">
        <v>24</v>
      </c>
      <c r="C13" s="16"/>
      <c r="D13" s="16"/>
      <c r="E13" s="17"/>
      <c r="F13" s="17"/>
      <c r="G13" s="17"/>
    </row>
    <row r="14" spans="1:7" ht="14.4" x14ac:dyDescent="0.3">
      <c r="A14" s="14" t="s">
        <v>25</v>
      </c>
      <c r="B14" s="15" t="s">
        <v>26</v>
      </c>
      <c r="C14" s="18">
        <v>355003</v>
      </c>
      <c r="D14" s="19" t="s">
        <v>22</v>
      </c>
      <c r="E14" s="20">
        <v>24</v>
      </c>
      <c r="F14" s="20">
        <f>+VLOOKUP(C14,[1]Serviços!$C$6:$F$172,4,FALSE)</f>
        <v>13424.94</v>
      </c>
      <c r="G14" s="20">
        <f>+ROUND(F14*E14,2)</f>
        <v>322198.56</v>
      </c>
    </row>
    <row r="15" spans="1:7" ht="14.4" x14ac:dyDescent="0.3">
      <c r="A15" s="14" t="s">
        <v>27</v>
      </c>
      <c r="B15" s="15" t="s">
        <v>28</v>
      </c>
      <c r="C15" s="18">
        <v>355004</v>
      </c>
      <c r="D15" s="19" t="s">
        <v>22</v>
      </c>
      <c r="E15" s="20">
        <v>24</v>
      </c>
      <c r="F15" s="20">
        <f>+VLOOKUP(C15,[1]Serviços!$C$6:$F$172,4,FALSE)</f>
        <v>24144.080000000002</v>
      </c>
      <c r="G15" s="20">
        <f>+ROUND(F15*E15,2)</f>
        <v>579457.92000000004</v>
      </c>
    </row>
    <row r="16" spans="1:7" ht="14.4" x14ac:dyDescent="0.3">
      <c r="A16" s="14" t="s">
        <v>29</v>
      </c>
      <c r="B16" s="15" t="s">
        <v>30</v>
      </c>
      <c r="C16" s="18">
        <v>355005</v>
      </c>
      <c r="D16" s="19" t="s">
        <v>22</v>
      </c>
      <c r="E16" s="20">
        <v>24</v>
      </c>
      <c r="F16" s="20">
        <f>+VLOOKUP(C16,[1]Serviços!$C$6:$F$172,4,FALSE)</f>
        <v>13424.94</v>
      </c>
      <c r="G16" s="20">
        <f>+ROUND(F16*E16,2)</f>
        <v>322198.56</v>
      </c>
    </row>
    <row r="17" spans="1:7" x14ac:dyDescent="0.4">
      <c r="A17" s="21"/>
      <c r="B17" s="22"/>
      <c r="C17" s="16"/>
      <c r="D17" s="19" t="s">
        <v>17</v>
      </c>
      <c r="E17" s="17"/>
      <c r="F17" s="17"/>
      <c r="G17" s="20">
        <f>SUM(G14:G16)</f>
        <v>1223855.04</v>
      </c>
    </row>
    <row r="18" spans="1:7" x14ac:dyDescent="0.4">
      <c r="A18" s="14" t="s">
        <v>31</v>
      </c>
      <c r="B18" s="15" t="s">
        <v>32</v>
      </c>
      <c r="C18" s="16"/>
      <c r="D18" s="16"/>
      <c r="E18" s="17"/>
      <c r="F18" s="17"/>
      <c r="G18" s="17"/>
    </row>
    <row r="19" spans="1:7" x14ac:dyDescent="0.4">
      <c r="A19" s="14" t="s">
        <v>33</v>
      </c>
      <c r="B19" s="15" t="s">
        <v>34</v>
      </c>
      <c r="C19" s="16"/>
      <c r="D19" s="16"/>
      <c r="E19" s="17"/>
      <c r="F19" s="17"/>
      <c r="G19" s="17"/>
    </row>
    <row r="20" spans="1:7" ht="14.4" x14ac:dyDescent="0.3">
      <c r="A20" s="14" t="s">
        <v>35</v>
      </c>
      <c r="B20" s="15" t="s">
        <v>36</v>
      </c>
      <c r="C20" s="19" t="s">
        <v>37</v>
      </c>
      <c r="D20" s="19" t="s">
        <v>38</v>
      </c>
      <c r="E20" s="20">
        <v>25000</v>
      </c>
      <c r="F20" s="20">
        <f>+VLOOKUP(C20,[1]Serviços!$C$6:$F$172,4,FALSE)</f>
        <v>0.65</v>
      </c>
      <c r="G20" s="20">
        <f>+ROUND(F20*E20,2)</f>
        <v>16250</v>
      </c>
    </row>
    <row r="21" spans="1:7" ht="14.4" x14ac:dyDescent="0.3">
      <c r="A21" s="14" t="s">
        <v>39</v>
      </c>
      <c r="B21" s="15" t="s">
        <v>40</v>
      </c>
      <c r="C21" s="19" t="s">
        <v>41</v>
      </c>
      <c r="D21" s="19" t="s">
        <v>38</v>
      </c>
      <c r="E21" s="20">
        <v>25000</v>
      </c>
      <c r="F21" s="20">
        <f>+VLOOKUP(C21,[1]Serviços!$C$6:$F$172,4,FALSE)</f>
        <v>1.64</v>
      </c>
      <c r="G21" s="20">
        <f>+ROUND(F21*E21,2)</f>
        <v>41000</v>
      </c>
    </row>
    <row r="22" spans="1:7" x14ac:dyDescent="0.4">
      <c r="A22" s="21"/>
      <c r="B22" s="22"/>
      <c r="C22" s="16"/>
      <c r="D22" s="19" t="s">
        <v>17</v>
      </c>
      <c r="E22" s="17"/>
      <c r="F22" s="17"/>
      <c r="G22" s="20">
        <f>SUM(G20:G21)</f>
        <v>57250</v>
      </c>
    </row>
    <row r="23" spans="1:7" x14ac:dyDescent="0.4">
      <c r="A23" s="14" t="s">
        <v>42</v>
      </c>
      <c r="B23" s="15" t="s">
        <v>43</v>
      </c>
      <c r="C23" s="16"/>
      <c r="D23" s="16"/>
      <c r="E23" s="17"/>
      <c r="F23" s="17"/>
      <c r="G23" s="17"/>
    </row>
    <row r="24" spans="1:7" x14ac:dyDescent="0.4">
      <c r="A24" s="14" t="s">
        <v>44</v>
      </c>
      <c r="B24" s="15" t="s">
        <v>45</v>
      </c>
      <c r="C24" s="16"/>
      <c r="D24" s="16"/>
      <c r="E24" s="17"/>
      <c r="F24" s="17"/>
      <c r="G24" s="17"/>
    </row>
    <row r="25" spans="1:7" ht="14.4" x14ac:dyDescent="0.3">
      <c r="A25" s="14" t="s">
        <v>46</v>
      </c>
      <c r="B25" s="15" t="s">
        <v>47</v>
      </c>
      <c r="C25" s="19" t="s">
        <v>48</v>
      </c>
      <c r="D25" s="19" t="s">
        <v>38</v>
      </c>
      <c r="E25" s="20">
        <v>25000</v>
      </c>
      <c r="F25" s="20">
        <f>+VLOOKUP(C25,[1]Serviços!$C$6:$F$172,4,FALSE)</f>
        <v>2.41</v>
      </c>
      <c r="G25" s="20">
        <f>+ROUND(F25*E25,2)</f>
        <v>60250</v>
      </c>
    </row>
    <row r="26" spans="1:7" ht="14.4" x14ac:dyDescent="0.3">
      <c r="A26" s="14" t="s">
        <v>49</v>
      </c>
      <c r="B26" s="15" t="s">
        <v>50</v>
      </c>
      <c r="C26" s="19" t="s">
        <v>51</v>
      </c>
      <c r="D26" s="19" t="s">
        <v>38</v>
      </c>
      <c r="E26" s="20">
        <v>25000</v>
      </c>
      <c r="F26" s="20">
        <f>+VLOOKUP(C26,[1]Serviços!$C$6:$F$172,4,FALSE)</f>
        <v>4.34</v>
      </c>
      <c r="G26" s="20">
        <f>+ROUND(F26*E26,2)</f>
        <v>108500</v>
      </c>
    </row>
    <row r="27" spans="1:7" x14ac:dyDescent="0.4">
      <c r="A27" s="14" t="s">
        <v>52</v>
      </c>
      <c r="B27" s="15" t="s">
        <v>53</v>
      </c>
      <c r="C27" s="16"/>
      <c r="D27" s="16"/>
      <c r="E27" s="17"/>
      <c r="F27" s="17"/>
      <c r="G27" s="17"/>
    </row>
    <row r="28" spans="1:7" ht="14.4" x14ac:dyDescent="0.3">
      <c r="A28" s="14" t="s">
        <v>54</v>
      </c>
      <c r="B28" s="15" t="s">
        <v>55</v>
      </c>
      <c r="C28" s="19" t="s">
        <v>56</v>
      </c>
      <c r="D28" s="19" t="s">
        <v>57</v>
      </c>
      <c r="E28" s="20">
        <v>400</v>
      </c>
      <c r="F28" s="20">
        <f>+VLOOKUP(C28,[1]Serviços!$C$6:$F$172,4,FALSE)</f>
        <v>62.99</v>
      </c>
      <c r="G28" s="20">
        <f>+ROUND(F28*E28,2)</f>
        <v>25196</v>
      </c>
    </row>
    <row r="29" spans="1:7" ht="14.4" x14ac:dyDescent="0.3">
      <c r="A29" s="14" t="s">
        <v>58</v>
      </c>
      <c r="B29" s="15" t="s">
        <v>59</v>
      </c>
      <c r="C29" s="19" t="s">
        <v>60</v>
      </c>
      <c r="D29" s="19" t="s">
        <v>57</v>
      </c>
      <c r="E29" s="20">
        <v>1200</v>
      </c>
      <c r="F29" s="20">
        <f>+VLOOKUP(C29,[1]Serviços!$C$6:$F$172,4,FALSE)</f>
        <v>56.19</v>
      </c>
      <c r="G29" s="20">
        <f>+ROUND(F29*E29,2)</f>
        <v>67428</v>
      </c>
    </row>
    <row r="30" spans="1:7" ht="14.4" x14ac:dyDescent="0.3">
      <c r="A30" s="14" t="s">
        <v>61</v>
      </c>
      <c r="B30" s="15" t="s">
        <v>62</v>
      </c>
      <c r="C30" s="19" t="s">
        <v>63</v>
      </c>
      <c r="D30" s="19" t="s">
        <v>57</v>
      </c>
      <c r="E30" s="20">
        <v>300</v>
      </c>
      <c r="F30" s="20">
        <f>+VLOOKUP(C30,[1]Serviços!$C$6:$F$172,4,FALSE)</f>
        <v>88.18</v>
      </c>
      <c r="G30" s="20">
        <f>+ROUND(F30*E30,2)</f>
        <v>26454</v>
      </c>
    </row>
    <row r="31" spans="1:7" x14ac:dyDescent="0.4">
      <c r="A31" s="14" t="s">
        <v>64</v>
      </c>
      <c r="B31" s="15" t="s">
        <v>65</v>
      </c>
      <c r="C31" s="16"/>
      <c r="D31" s="16"/>
      <c r="E31" s="17"/>
      <c r="F31" s="17"/>
      <c r="G31" s="17"/>
    </row>
    <row r="32" spans="1:7" ht="14.4" x14ac:dyDescent="0.3">
      <c r="A32" s="14" t="s">
        <v>66</v>
      </c>
      <c r="B32" s="15" t="s">
        <v>67</v>
      </c>
      <c r="C32" s="19" t="s">
        <v>68</v>
      </c>
      <c r="D32" s="19" t="s">
        <v>69</v>
      </c>
      <c r="E32" s="20">
        <v>20</v>
      </c>
      <c r="F32" s="20">
        <f>+VLOOKUP(C32,[1]Serviços!$C$6:$F$172,4,FALSE)</f>
        <v>84.06</v>
      </c>
      <c r="G32" s="20">
        <f>+ROUND(F32*E32,2)</f>
        <v>1681.2</v>
      </c>
    </row>
    <row r="33" spans="1:7" ht="14.4" x14ac:dyDescent="0.3">
      <c r="A33" s="14" t="s">
        <v>70</v>
      </c>
      <c r="B33" s="15" t="s">
        <v>71</v>
      </c>
      <c r="C33" s="19" t="s">
        <v>72</v>
      </c>
      <c r="D33" s="19" t="s">
        <v>73</v>
      </c>
      <c r="E33" s="20">
        <v>10</v>
      </c>
      <c r="F33" s="20">
        <f>+VLOOKUP(C33,[1]Serviços!$C$6:$F$172,4,FALSE)</f>
        <v>1718.52</v>
      </c>
      <c r="G33" s="20">
        <f>+ROUND(F33*E33,2)</f>
        <v>17185.2</v>
      </c>
    </row>
    <row r="34" spans="1:7" ht="14.4" x14ac:dyDescent="0.3">
      <c r="A34" s="14" t="s">
        <v>74</v>
      </c>
      <c r="B34" s="15" t="s">
        <v>75</v>
      </c>
      <c r="C34" s="19" t="s">
        <v>76</v>
      </c>
      <c r="D34" s="19" t="s">
        <v>77</v>
      </c>
      <c r="E34" s="20">
        <v>8</v>
      </c>
      <c r="F34" s="20">
        <f>+VLOOKUP(C34,[1]Serviços!$C$6:$F$172,4,FALSE)</f>
        <v>928.65</v>
      </c>
      <c r="G34" s="20">
        <f>+ROUND(F34*E34,2)</f>
        <v>7429.2</v>
      </c>
    </row>
    <row r="35" spans="1:7" x14ac:dyDescent="0.4">
      <c r="A35" s="14" t="s">
        <v>78</v>
      </c>
      <c r="B35" s="15" t="s">
        <v>79</v>
      </c>
      <c r="C35" s="16"/>
      <c r="D35" s="16"/>
      <c r="E35" s="17"/>
      <c r="F35" s="17"/>
      <c r="G35" s="17"/>
    </row>
    <row r="36" spans="1:7" ht="14.4" x14ac:dyDescent="0.3">
      <c r="A36" s="14" t="s">
        <v>80</v>
      </c>
      <c r="B36" s="15" t="s">
        <v>81</v>
      </c>
      <c r="C36" s="19" t="s">
        <v>82</v>
      </c>
      <c r="D36" s="19" t="s">
        <v>69</v>
      </c>
      <c r="E36" s="20">
        <v>10</v>
      </c>
      <c r="F36" s="20">
        <f>+VLOOKUP(C36,[1]Serviços!$C$6:$F$172,4,FALSE)</f>
        <v>14.46</v>
      </c>
      <c r="G36" s="20">
        <f>+ROUND(F36*E36,2)</f>
        <v>144.6</v>
      </c>
    </row>
    <row r="37" spans="1:7" ht="14.4" x14ac:dyDescent="0.3">
      <c r="A37" s="14" t="s">
        <v>83</v>
      </c>
      <c r="B37" s="15" t="s">
        <v>84</v>
      </c>
      <c r="C37" s="19" t="s">
        <v>85</v>
      </c>
      <c r="D37" s="19" t="s">
        <v>57</v>
      </c>
      <c r="E37" s="20">
        <v>180</v>
      </c>
      <c r="F37" s="20">
        <f>+VLOOKUP(C37,[1]Serviços!$C$6:$F$172,4,FALSE)</f>
        <v>2.0699999999999998</v>
      </c>
      <c r="G37" s="20">
        <f>+ROUND(F37*E37,2)</f>
        <v>372.6</v>
      </c>
    </row>
    <row r="38" spans="1:7" x14ac:dyDescent="0.4">
      <c r="A38" s="21"/>
      <c r="B38" s="22"/>
      <c r="C38" s="16"/>
      <c r="D38" s="19" t="s">
        <v>17</v>
      </c>
      <c r="E38" s="17"/>
      <c r="F38" s="17"/>
      <c r="G38" s="20">
        <f>SUM(G25:G37)</f>
        <v>314640.8</v>
      </c>
    </row>
    <row r="39" spans="1:7" x14ac:dyDescent="0.4">
      <c r="A39" s="14" t="s">
        <v>86</v>
      </c>
      <c r="B39" s="15" t="s">
        <v>87</v>
      </c>
      <c r="C39" s="16"/>
      <c r="D39" s="16"/>
      <c r="E39" s="17"/>
      <c r="F39" s="17"/>
      <c r="G39" s="17"/>
    </row>
    <row r="40" spans="1:7" x14ac:dyDescent="0.4">
      <c r="A40" s="14" t="s">
        <v>88</v>
      </c>
      <c r="B40" s="15" t="s">
        <v>89</v>
      </c>
      <c r="C40" s="16"/>
      <c r="D40" s="16"/>
      <c r="E40" s="17"/>
      <c r="F40" s="17"/>
      <c r="G40" s="17"/>
    </row>
    <row r="41" spans="1:7" ht="14.4" x14ac:dyDescent="0.3">
      <c r="A41" s="14" t="s">
        <v>90</v>
      </c>
      <c r="B41" s="15" t="s">
        <v>91</v>
      </c>
      <c r="C41" s="19" t="s">
        <v>92</v>
      </c>
      <c r="D41" s="19" t="s">
        <v>57</v>
      </c>
      <c r="E41" s="20">
        <v>180</v>
      </c>
      <c r="F41" s="20">
        <f>+VLOOKUP(C41,[1]Serviços!$C$6:$F$172,4,FALSE)</f>
        <v>1.18</v>
      </c>
      <c r="G41" s="20">
        <f>+ROUND(F41*E41,2)</f>
        <v>212.4</v>
      </c>
    </row>
    <row r="42" spans="1:7" ht="14.4" x14ac:dyDescent="0.3">
      <c r="A42" s="14" t="s">
        <v>93</v>
      </c>
      <c r="B42" s="15" t="s">
        <v>94</v>
      </c>
      <c r="C42" s="19" t="s">
        <v>95</v>
      </c>
      <c r="D42" s="19" t="s">
        <v>73</v>
      </c>
      <c r="E42" s="20">
        <v>17500</v>
      </c>
      <c r="F42" s="20">
        <f>+VLOOKUP(C42,[1]Serviços!$C$6:$F$172,4,FALSE)</f>
        <v>7.69</v>
      </c>
      <c r="G42" s="20">
        <f>+ROUND(F42*E42,2)</f>
        <v>134575</v>
      </c>
    </row>
    <row r="43" spans="1:7" ht="14.4" x14ac:dyDescent="0.3">
      <c r="A43" s="14" t="s">
        <v>96</v>
      </c>
      <c r="B43" s="15" t="s">
        <v>97</v>
      </c>
      <c r="C43" s="19" t="s">
        <v>98</v>
      </c>
      <c r="D43" s="19" t="s">
        <v>73</v>
      </c>
      <c r="E43" s="20">
        <v>50</v>
      </c>
      <c r="F43" s="20">
        <f>+VLOOKUP(C43,[1]Serviços!$C$6:$F$172,4,FALSE)</f>
        <v>315.77999999999997</v>
      </c>
      <c r="G43" s="20">
        <f>+ROUND(F43*E43,2)</f>
        <v>15789</v>
      </c>
    </row>
    <row r="44" spans="1:7" x14ac:dyDescent="0.4">
      <c r="A44" s="14" t="s">
        <v>99</v>
      </c>
      <c r="B44" s="15" t="s">
        <v>100</v>
      </c>
      <c r="C44" s="16"/>
      <c r="D44" s="16"/>
      <c r="E44" s="17"/>
      <c r="F44" s="17"/>
      <c r="G44" s="17"/>
    </row>
    <row r="45" spans="1:7" ht="24" x14ac:dyDescent="0.3">
      <c r="A45" s="14" t="s">
        <v>101</v>
      </c>
      <c r="B45" s="15" t="s">
        <v>102</v>
      </c>
      <c r="C45" s="19" t="s">
        <v>103</v>
      </c>
      <c r="D45" s="19" t="s">
        <v>73</v>
      </c>
      <c r="E45" s="20">
        <v>680</v>
      </c>
      <c r="F45" s="20">
        <f>+VLOOKUP(C45,[1]Serviços!$C$6:$F$172,4,FALSE)</f>
        <v>42.51</v>
      </c>
      <c r="G45" s="20">
        <f>+ROUND(F45*E45,2)</f>
        <v>28906.799999999999</v>
      </c>
    </row>
    <row r="46" spans="1:7" ht="24" x14ac:dyDescent="0.3">
      <c r="A46" s="14" t="s">
        <v>104</v>
      </c>
      <c r="B46" s="15" t="s">
        <v>105</v>
      </c>
      <c r="C46" s="19" t="s">
        <v>106</v>
      </c>
      <c r="D46" s="19" t="s">
        <v>73</v>
      </c>
      <c r="E46" s="20">
        <v>250</v>
      </c>
      <c r="F46" s="20">
        <f>+VLOOKUP(C46,[1]Serviços!$C$6:$F$172,4,FALSE)</f>
        <v>49.6</v>
      </c>
      <c r="G46" s="20">
        <f>+ROUND(F46*E46,2)</f>
        <v>12400</v>
      </c>
    </row>
    <row r="47" spans="1:7" x14ac:dyDescent="0.4">
      <c r="A47" s="14" t="s">
        <v>107</v>
      </c>
      <c r="B47" s="15" t="s">
        <v>108</v>
      </c>
      <c r="C47" s="16"/>
      <c r="D47" s="16"/>
      <c r="E47" s="17"/>
      <c r="F47" s="17"/>
      <c r="G47" s="17"/>
    </row>
    <row r="48" spans="1:7" ht="14.4" x14ac:dyDescent="0.3">
      <c r="A48" s="14" t="s">
        <v>109</v>
      </c>
      <c r="B48" s="15" t="s">
        <v>110</v>
      </c>
      <c r="C48" s="19" t="s">
        <v>111</v>
      </c>
      <c r="D48" s="19" t="s">
        <v>73</v>
      </c>
      <c r="E48" s="20">
        <v>38800</v>
      </c>
      <c r="F48" s="20">
        <f>+VLOOKUP(C48,[1]Serviços!$C$6:$F$172,4,FALSE)</f>
        <v>6.26</v>
      </c>
      <c r="G48" s="20">
        <f>+ROUND(F48*E48,2)</f>
        <v>242888</v>
      </c>
    </row>
    <row r="49" spans="1:7" ht="14.4" x14ac:dyDescent="0.3">
      <c r="A49" s="14" t="s">
        <v>112</v>
      </c>
      <c r="B49" s="15" t="s">
        <v>113</v>
      </c>
      <c r="C49" s="19" t="s">
        <v>114</v>
      </c>
      <c r="D49" s="19" t="s">
        <v>73</v>
      </c>
      <c r="E49" s="20">
        <v>11200</v>
      </c>
      <c r="F49" s="20">
        <f>+VLOOKUP(C49,[1]Serviços!$C$6:$F$172,4,FALSE)</f>
        <v>6.94</v>
      </c>
      <c r="G49" s="20">
        <f>+ROUND(F49*E49,2)</f>
        <v>77728</v>
      </c>
    </row>
    <row r="50" spans="1:7" ht="14.4" x14ac:dyDescent="0.3">
      <c r="A50" s="14" t="s">
        <v>115</v>
      </c>
      <c r="B50" s="15" t="s">
        <v>116</v>
      </c>
      <c r="C50" s="19" t="s">
        <v>117</v>
      </c>
      <c r="D50" s="19" t="s">
        <v>73</v>
      </c>
      <c r="E50" s="20">
        <v>500</v>
      </c>
      <c r="F50" s="20">
        <f>+VLOOKUP(C50,[1]Serviços!$C$6:$F$172,4,FALSE)</f>
        <v>8.31</v>
      </c>
      <c r="G50" s="20">
        <f>+ROUND(F50*E50,2)</f>
        <v>4155</v>
      </c>
    </row>
    <row r="51" spans="1:7" ht="14.4" x14ac:dyDescent="0.3">
      <c r="A51" s="14" t="s">
        <v>118</v>
      </c>
      <c r="B51" s="15" t="s">
        <v>119</v>
      </c>
      <c r="C51" s="19" t="s">
        <v>120</v>
      </c>
      <c r="D51" s="19" t="s">
        <v>73</v>
      </c>
      <c r="E51" s="20">
        <v>50</v>
      </c>
      <c r="F51" s="20">
        <f>+VLOOKUP(C51,[1]Serviços!$C$6:$F$172,4,FALSE)</f>
        <v>13.79</v>
      </c>
      <c r="G51" s="20">
        <f>+ROUND(F51*E51,2)</f>
        <v>689.5</v>
      </c>
    </row>
    <row r="52" spans="1:7" x14ac:dyDescent="0.4">
      <c r="A52" s="14" t="s">
        <v>121</v>
      </c>
      <c r="B52" s="15" t="s">
        <v>122</v>
      </c>
      <c r="C52" s="16"/>
      <c r="D52" s="16"/>
      <c r="E52" s="17"/>
      <c r="F52" s="17"/>
      <c r="G52" s="17"/>
    </row>
    <row r="53" spans="1:7" ht="14.4" x14ac:dyDescent="0.3">
      <c r="A53" s="14" t="s">
        <v>123</v>
      </c>
      <c r="B53" s="15" t="s">
        <v>124</v>
      </c>
      <c r="C53" s="19" t="s">
        <v>125</v>
      </c>
      <c r="D53" s="19" t="s">
        <v>73</v>
      </c>
      <c r="E53" s="20">
        <v>20220</v>
      </c>
      <c r="F53" s="20">
        <f>+VLOOKUP(C53,[1]Serviços!$C$6:$F$172,4,FALSE)</f>
        <v>12.26</v>
      </c>
      <c r="G53" s="20">
        <f>+ROUND(F53*E53,2)</f>
        <v>247897.2</v>
      </c>
    </row>
    <row r="54" spans="1:7" ht="24" x14ac:dyDescent="0.3">
      <c r="A54" s="14" t="s">
        <v>126</v>
      </c>
      <c r="B54" s="15" t="s">
        <v>127</v>
      </c>
      <c r="C54" s="19" t="s">
        <v>128</v>
      </c>
      <c r="D54" s="19" t="s">
        <v>73</v>
      </c>
      <c r="E54" s="20">
        <v>30330</v>
      </c>
      <c r="F54" s="20">
        <f>+VLOOKUP(C54,[1]Serviços!$C$6:$F$172,4,FALSE)</f>
        <v>14.3</v>
      </c>
      <c r="G54" s="20">
        <f>+ROUND(F54*E54,2)</f>
        <v>433719</v>
      </c>
    </row>
    <row r="55" spans="1:7" x14ac:dyDescent="0.4">
      <c r="A55" s="14" t="s">
        <v>129</v>
      </c>
      <c r="B55" s="15" t="s">
        <v>130</v>
      </c>
      <c r="C55" s="16"/>
      <c r="D55" s="16"/>
      <c r="E55" s="17"/>
      <c r="F55" s="17"/>
      <c r="G55" s="17"/>
    </row>
    <row r="56" spans="1:7" ht="14.4" x14ac:dyDescent="0.3">
      <c r="A56" s="14" t="s">
        <v>131</v>
      </c>
      <c r="B56" s="15" t="s">
        <v>132</v>
      </c>
      <c r="C56" s="19" t="s">
        <v>133</v>
      </c>
      <c r="D56" s="19" t="s">
        <v>134</v>
      </c>
      <c r="E56" s="20">
        <v>262500</v>
      </c>
      <c r="F56" s="20">
        <f>+VLOOKUP(C56,[1]Serviços!$C$6:$F$172,4,FALSE)</f>
        <v>1.61</v>
      </c>
      <c r="G56" s="20">
        <f>+ROUND(F56*E56,2)</f>
        <v>422625</v>
      </c>
    </row>
    <row r="57" spans="1:7" x14ac:dyDescent="0.4">
      <c r="A57" s="21"/>
      <c r="B57" s="22"/>
      <c r="C57" s="16"/>
      <c r="D57" s="19" t="s">
        <v>17</v>
      </c>
      <c r="E57" s="17"/>
      <c r="F57" s="17"/>
      <c r="G57" s="20">
        <f>SUM(G41:G56)</f>
        <v>1621584.9</v>
      </c>
    </row>
    <row r="58" spans="1:7" x14ac:dyDescent="0.4">
      <c r="A58" s="14" t="s">
        <v>135</v>
      </c>
      <c r="B58" s="15" t="s">
        <v>136</v>
      </c>
      <c r="C58" s="16"/>
      <c r="D58" s="16"/>
      <c r="E58" s="17"/>
      <c r="F58" s="17"/>
      <c r="G58" s="17"/>
    </row>
    <row r="59" spans="1:7" x14ac:dyDescent="0.4">
      <c r="A59" s="14" t="s">
        <v>137</v>
      </c>
      <c r="B59" s="15" t="s">
        <v>138</v>
      </c>
      <c r="C59" s="16"/>
      <c r="D59" s="16"/>
      <c r="E59" s="17"/>
      <c r="F59" s="17"/>
      <c r="G59" s="17"/>
    </row>
    <row r="60" spans="1:7" ht="14.4" x14ac:dyDescent="0.3">
      <c r="A60" s="14" t="s">
        <v>139</v>
      </c>
      <c r="B60" s="15" t="s">
        <v>140</v>
      </c>
      <c r="C60" s="19" t="s">
        <v>141</v>
      </c>
      <c r="D60" s="19" t="s">
        <v>57</v>
      </c>
      <c r="E60" s="20">
        <v>31250</v>
      </c>
      <c r="F60" s="20">
        <f>+VLOOKUP(C60,[1]Serviços!$C$6:$F$172,4,FALSE)</f>
        <v>10.039999999999999</v>
      </c>
      <c r="G60" s="20">
        <f>+ROUND(F60*E60,2)</f>
        <v>313750</v>
      </c>
    </row>
    <row r="61" spans="1:7" ht="14.4" x14ac:dyDescent="0.3">
      <c r="A61" s="14" t="s">
        <v>142</v>
      </c>
      <c r="B61" s="15" t="s">
        <v>143</v>
      </c>
      <c r="C61" s="19" t="s">
        <v>144</v>
      </c>
      <c r="D61" s="19" t="s">
        <v>57</v>
      </c>
      <c r="E61" s="20">
        <v>61250</v>
      </c>
      <c r="F61" s="20">
        <f>+VLOOKUP(C61,[1]Serviços!$C$6:$F$172,4,FALSE)</f>
        <v>23.04</v>
      </c>
      <c r="G61" s="20">
        <f>+ROUND(F61*E61,2)</f>
        <v>1411200</v>
      </c>
    </row>
    <row r="62" spans="1:7" ht="14.4" x14ac:dyDescent="0.3">
      <c r="A62" s="14" t="s">
        <v>145</v>
      </c>
      <c r="B62" s="15" t="s">
        <v>146</v>
      </c>
      <c r="C62" s="19" t="s">
        <v>147</v>
      </c>
      <c r="D62" s="19" t="s">
        <v>57</v>
      </c>
      <c r="E62" s="20">
        <v>5000</v>
      </c>
      <c r="F62" s="20">
        <f>+VLOOKUP(C62,[1]Serviços!$C$6:$F$172,4,FALSE)</f>
        <v>39.130000000000003</v>
      </c>
      <c r="G62" s="20">
        <f>+ROUND(F62*E62,2)</f>
        <v>195650</v>
      </c>
    </row>
    <row r="63" spans="1:7" ht="14.4" x14ac:dyDescent="0.3">
      <c r="A63" s="14" t="s">
        <v>148</v>
      </c>
      <c r="B63" s="15" t="s">
        <v>149</v>
      </c>
      <c r="C63" s="19" t="s">
        <v>150</v>
      </c>
      <c r="D63" s="19" t="s">
        <v>57</v>
      </c>
      <c r="E63" s="20">
        <v>1250</v>
      </c>
      <c r="F63" s="20">
        <f>+VLOOKUP(C63,[1]Serviços!$C$6:$F$172,4,FALSE)</f>
        <v>46.46</v>
      </c>
      <c r="G63" s="20">
        <f>+ROUND(F63*E63,2)</f>
        <v>58075</v>
      </c>
    </row>
    <row r="64" spans="1:7" ht="25.2" x14ac:dyDescent="0.4">
      <c r="A64" s="14" t="s">
        <v>151</v>
      </c>
      <c r="B64" s="15" t="s">
        <v>152</v>
      </c>
      <c r="C64" s="16"/>
      <c r="D64" s="16"/>
      <c r="E64" s="17"/>
      <c r="F64" s="17"/>
      <c r="G64" s="17"/>
    </row>
    <row r="65" spans="1:7" ht="14.4" x14ac:dyDescent="0.3">
      <c r="A65" s="14" t="s">
        <v>153</v>
      </c>
      <c r="B65" s="15" t="s">
        <v>154</v>
      </c>
      <c r="C65" s="19" t="s">
        <v>155</v>
      </c>
      <c r="D65" s="19" t="s">
        <v>73</v>
      </c>
      <c r="E65" s="20">
        <v>40</v>
      </c>
      <c r="F65" s="20">
        <f>+VLOOKUP(C65,[1]Serviços!$C$6:$F$172,4,FALSE)</f>
        <v>497.6</v>
      </c>
      <c r="G65" s="20">
        <f>+ROUND(F65*E65,2)</f>
        <v>19904</v>
      </c>
    </row>
    <row r="66" spans="1:7" x14ac:dyDescent="0.4">
      <c r="A66" s="21"/>
      <c r="B66" s="22"/>
      <c r="C66" s="16"/>
      <c r="D66" s="19" t="s">
        <v>17</v>
      </c>
      <c r="E66" s="17"/>
      <c r="F66" s="17"/>
      <c r="G66" s="20">
        <f>SUM(G60:G65)</f>
        <v>1998579</v>
      </c>
    </row>
    <row r="67" spans="1:7" x14ac:dyDescent="0.4">
      <c r="A67" s="14" t="s">
        <v>156</v>
      </c>
      <c r="B67" s="15" t="s">
        <v>157</v>
      </c>
      <c r="C67" s="16"/>
      <c r="D67" s="16"/>
      <c r="E67" s="17"/>
      <c r="F67" s="17"/>
      <c r="G67" s="17"/>
    </row>
    <row r="68" spans="1:7" x14ac:dyDescent="0.4">
      <c r="A68" s="14" t="s">
        <v>158</v>
      </c>
      <c r="B68" s="15" t="s">
        <v>159</v>
      </c>
      <c r="C68" s="16"/>
      <c r="D68" s="16"/>
      <c r="E68" s="17"/>
      <c r="F68" s="17"/>
      <c r="G68" s="17"/>
    </row>
    <row r="69" spans="1:7" ht="14.4" x14ac:dyDescent="0.3">
      <c r="A69" s="14" t="s">
        <v>160</v>
      </c>
      <c r="B69" s="15" t="s">
        <v>161</v>
      </c>
      <c r="C69" s="19" t="s">
        <v>162</v>
      </c>
      <c r="D69" s="19" t="s">
        <v>163</v>
      </c>
      <c r="E69" s="20">
        <v>22000</v>
      </c>
      <c r="F69" s="20">
        <f>+VLOOKUP(C69,[1]Serviços!$C$6:$F$172,4,FALSE)</f>
        <v>1.41</v>
      </c>
      <c r="G69" s="20">
        <f>+ROUND(F69*E69,2)</f>
        <v>31020</v>
      </c>
    </row>
    <row r="70" spans="1:7" x14ac:dyDescent="0.4">
      <c r="A70" s="14" t="s">
        <v>164</v>
      </c>
      <c r="B70" s="15" t="s">
        <v>165</v>
      </c>
      <c r="C70" s="16"/>
      <c r="D70" s="16"/>
      <c r="E70" s="17"/>
      <c r="F70" s="17"/>
      <c r="G70" s="17"/>
    </row>
    <row r="71" spans="1:7" ht="14.4" x14ac:dyDescent="0.3">
      <c r="A71" s="14" t="s">
        <v>166</v>
      </c>
      <c r="B71" s="15" t="s">
        <v>167</v>
      </c>
      <c r="C71" s="19" t="s">
        <v>168</v>
      </c>
      <c r="D71" s="19" t="s">
        <v>38</v>
      </c>
      <c r="E71" s="20">
        <v>600</v>
      </c>
      <c r="F71" s="20">
        <f>+VLOOKUP(C71,[1]Serviços!$C$6:$F$172,4,FALSE)</f>
        <v>77.02</v>
      </c>
      <c r="G71" s="20">
        <f>+ROUND(F71*E71,2)</f>
        <v>46212</v>
      </c>
    </row>
    <row r="72" spans="1:7" ht="14.4" x14ac:dyDescent="0.3">
      <c r="A72" s="14" t="s">
        <v>169</v>
      </c>
      <c r="B72" s="15" t="s">
        <v>170</v>
      </c>
      <c r="C72" s="19" t="s">
        <v>171</v>
      </c>
      <c r="D72" s="19" t="s">
        <v>38</v>
      </c>
      <c r="E72" s="20">
        <v>300</v>
      </c>
      <c r="F72" s="20">
        <f>+VLOOKUP(C72,[1]Serviços!$C$6:$F$172,4,FALSE)</f>
        <v>117.4</v>
      </c>
      <c r="G72" s="20">
        <f>+ROUND(F72*E72,2)</f>
        <v>35220</v>
      </c>
    </row>
    <row r="73" spans="1:7" ht="14.4" x14ac:dyDescent="0.3">
      <c r="A73" s="14" t="s">
        <v>172</v>
      </c>
      <c r="B73" s="15" t="s">
        <v>173</v>
      </c>
      <c r="C73" s="19" t="s">
        <v>174</v>
      </c>
      <c r="D73" s="19" t="s">
        <v>38</v>
      </c>
      <c r="E73" s="20">
        <v>30</v>
      </c>
      <c r="F73" s="20">
        <f>+VLOOKUP(C73,[1]Serviços!$C$6:$F$172,4,FALSE)</f>
        <v>137.18</v>
      </c>
      <c r="G73" s="20">
        <f>+ROUND(F73*E73,2)</f>
        <v>4115.3999999999996</v>
      </c>
    </row>
    <row r="74" spans="1:7" ht="14.4" x14ac:dyDescent="0.3">
      <c r="A74" s="14" t="s">
        <v>175</v>
      </c>
      <c r="B74" s="15" t="s">
        <v>176</v>
      </c>
      <c r="C74" s="19" t="s">
        <v>177</v>
      </c>
      <c r="D74" s="19" t="s">
        <v>69</v>
      </c>
      <c r="E74" s="20">
        <v>15</v>
      </c>
      <c r="F74" s="20">
        <f>+VLOOKUP(C74,[1]Serviços!$C$6:$F$172,4,FALSE)</f>
        <v>2016</v>
      </c>
      <c r="G74" s="20">
        <f>+ROUND(F74*E74,2)</f>
        <v>30240</v>
      </c>
    </row>
    <row r="75" spans="1:7" x14ac:dyDescent="0.4">
      <c r="A75" s="21"/>
      <c r="B75" s="22"/>
      <c r="C75" s="16"/>
      <c r="D75" s="19" t="s">
        <v>17</v>
      </c>
      <c r="E75" s="17"/>
      <c r="F75" s="17"/>
      <c r="G75" s="20">
        <f>SUM(G69:G74)</f>
        <v>146807.4</v>
      </c>
    </row>
    <row r="76" spans="1:7" x14ac:dyDescent="0.4">
      <c r="A76" s="14" t="s">
        <v>178</v>
      </c>
      <c r="B76" s="15" t="s">
        <v>179</v>
      </c>
      <c r="C76" s="16"/>
      <c r="D76" s="16"/>
      <c r="E76" s="17"/>
      <c r="F76" s="17"/>
      <c r="G76" s="17"/>
    </row>
    <row r="77" spans="1:7" x14ac:dyDescent="0.4">
      <c r="A77" s="14" t="s">
        <v>180</v>
      </c>
      <c r="B77" s="15" t="s">
        <v>181</v>
      </c>
      <c r="C77" s="16"/>
      <c r="D77" s="16"/>
      <c r="E77" s="17"/>
      <c r="F77" s="17"/>
      <c r="G77" s="17"/>
    </row>
    <row r="78" spans="1:7" ht="14.4" x14ac:dyDescent="0.3">
      <c r="A78" s="14" t="s">
        <v>182</v>
      </c>
      <c r="B78" s="15" t="s">
        <v>183</v>
      </c>
      <c r="C78" s="19" t="s">
        <v>184</v>
      </c>
      <c r="D78" s="19" t="s">
        <v>73</v>
      </c>
      <c r="E78" s="20">
        <v>380</v>
      </c>
      <c r="F78" s="20">
        <f>+VLOOKUP(C78,[1]Serviços!$C$6:$F$172,4,FALSE)</f>
        <v>189.06</v>
      </c>
      <c r="G78" s="20">
        <f>+ROUND(F78*E78,2)</f>
        <v>71842.8</v>
      </c>
    </row>
    <row r="79" spans="1:7" ht="14.4" x14ac:dyDescent="0.3">
      <c r="A79" s="14" t="s">
        <v>185</v>
      </c>
      <c r="B79" s="15" t="s">
        <v>186</v>
      </c>
      <c r="C79" s="19" t="s">
        <v>187</v>
      </c>
      <c r="D79" s="19" t="s">
        <v>73</v>
      </c>
      <c r="E79" s="20">
        <v>650</v>
      </c>
      <c r="F79" s="20">
        <f>+VLOOKUP(C79,[1]Serviços!$C$6:$F$172,4,FALSE)</f>
        <v>172.39</v>
      </c>
      <c r="G79" s="20">
        <f>+ROUND(F79*E79,2)</f>
        <v>112053.5</v>
      </c>
    </row>
    <row r="80" spans="1:7" x14ac:dyDescent="0.4">
      <c r="A80" s="14" t="s">
        <v>188</v>
      </c>
      <c r="B80" s="15" t="s">
        <v>189</v>
      </c>
      <c r="C80" s="16"/>
      <c r="D80" s="16"/>
      <c r="E80" s="17"/>
      <c r="F80" s="17"/>
      <c r="G80" s="17"/>
    </row>
    <row r="81" spans="1:7" ht="14.4" x14ac:dyDescent="0.3">
      <c r="A81" s="14" t="s">
        <v>190</v>
      </c>
      <c r="B81" s="15" t="s">
        <v>191</v>
      </c>
      <c r="C81" s="19" t="s">
        <v>192</v>
      </c>
      <c r="D81" s="19" t="s">
        <v>38</v>
      </c>
      <c r="E81" s="20">
        <v>500</v>
      </c>
      <c r="F81" s="20">
        <f>+VLOOKUP(C81,[1]Serviços!$C$6:$F$172,4,FALSE)</f>
        <v>74.92</v>
      </c>
      <c r="G81" s="20">
        <f>+ROUND(F81*E81,2)</f>
        <v>37460</v>
      </c>
    </row>
    <row r="82" spans="1:7" x14ac:dyDescent="0.4">
      <c r="A82" s="14" t="s">
        <v>193</v>
      </c>
      <c r="B82" s="15" t="s">
        <v>194</v>
      </c>
      <c r="C82" s="16"/>
      <c r="D82" s="16"/>
      <c r="E82" s="17"/>
      <c r="F82" s="17"/>
      <c r="G82" s="17"/>
    </row>
    <row r="83" spans="1:7" ht="24" x14ac:dyDescent="0.3">
      <c r="A83" s="14" t="s">
        <v>195</v>
      </c>
      <c r="B83" s="15" t="s">
        <v>196</v>
      </c>
      <c r="C83" s="19" t="s">
        <v>197</v>
      </c>
      <c r="D83" s="19" t="s">
        <v>73</v>
      </c>
      <c r="E83" s="20">
        <v>20</v>
      </c>
      <c r="F83" s="20">
        <f>+VLOOKUP(C83,[1]Serviços!$C$6:$F$172,4,FALSE)</f>
        <v>482.59</v>
      </c>
      <c r="G83" s="20">
        <f>+ROUND(F83*E83,2)</f>
        <v>9651.7999999999993</v>
      </c>
    </row>
    <row r="84" spans="1:7" x14ac:dyDescent="0.4">
      <c r="A84" s="14" t="s">
        <v>198</v>
      </c>
      <c r="B84" s="15" t="s">
        <v>199</v>
      </c>
      <c r="C84" s="16"/>
      <c r="D84" s="16"/>
      <c r="E84" s="17"/>
      <c r="F84" s="17"/>
      <c r="G84" s="17"/>
    </row>
    <row r="85" spans="1:7" ht="14.4" x14ac:dyDescent="0.3">
      <c r="A85" s="14" t="s">
        <v>200</v>
      </c>
      <c r="B85" s="15" t="s">
        <v>201</v>
      </c>
      <c r="C85" s="19" t="s">
        <v>202</v>
      </c>
      <c r="D85" s="19" t="s">
        <v>69</v>
      </c>
      <c r="E85" s="20">
        <v>372</v>
      </c>
      <c r="F85" s="20">
        <f>+VLOOKUP(C85,[1]Serviços!$C$6:$F$172,4,FALSE)</f>
        <v>3405.5</v>
      </c>
      <c r="G85" s="20">
        <f>+ROUND(F85*E85,2)</f>
        <v>1266846</v>
      </c>
    </row>
    <row r="86" spans="1:7" ht="14.4" x14ac:dyDescent="0.3">
      <c r="A86" s="14" t="s">
        <v>203</v>
      </c>
      <c r="B86" s="15" t="s">
        <v>204</v>
      </c>
      <c r="C86" s="19" t="s">
        <v>205</v>
      </c>
      <c r="D86" s="19" t="s">
        <v>69</v>
      </c>
      <c r="E86" s="20">
        <v>162</v>
      </c>
      <c r="F86" s="20">
        <f>+VLOOKUP(C86,[1]Serviços!$C$6:$F$172,4,FALSE)</f>
        <v>4130.07</v>
      </c>
      <c r="G86" s="20">
        <f>+ROUND(F86*E86,2)</f>
        <v>669071.34</v>
      </c>
    </row>
    <row r="87" spans="1:7" ht="14.4" x14ac:dyDescent="0.3">
      <c r="A87" s="14" t="s">
        <v>206</v>
      </c>
      <c r="B87" s="15" t="s">
        <v>207</v>
      </c>
      <c r="C87" s="19" t="s">
        <v>208</v>
      </c>
      <c r="D87" s="19" t="s">
        <v>69</v>
      </c>
      <c r="E87" s="20">
        <v>20</v>
      </c>
      <c r="F87" s="20">
        <f>+VLOOKUP(C87,[1]Serviços!$C$6:$F$172,4,FALSE)</f>
        <v>5077.24</v>
      </c>
      <c r="G87" s="20">
        <f>+ROUND(F87*E87,2)</f>
        <v>101544.8</v>
      </c>
    </row>
    <row r="88" spans="1:7" ht="14.4" x14ac:dyDescent="0.3">
      <c r="A88" s="14" t="s">
        <v>209</v>
      </c>
      <c r="B88" s="15" t="s">
        <v>210</v>
      </c>
      <c r="C88" s="19" t="s">
        <v>211</v>
      </c>
      <c r="D88" s="19" t="s">
        <v>69</v>
      </c>
      <c r="E88" s="20">
        <v>2</v>
      </c>
      <c r="F88" s="20">
        <f>+VLOOKUP(C88,[1]Serviços!$C$6:$F$172,4,FALSE)</f>
        <v>6514.88</v>
      </c>
      <c r="G88" s="20">
        <f>+ROUND(F88*E88,2)</f>
        <v>13029.76</v>
      </c>
    </row>
    <row r="89" spans="1:7" x14ac:dyDescent="0.4">
      <c r="A89" s="14" t="s">
        <v>212</v>
      </c>
      <c r="B89" s="15" t="s">
        <v>213</v>
      </c>
      <c r="C89" s="16"/>
      <c r="D89" s="16"/>
      <c r="E89" s="17"/>
      <c r="F89" s="17"/>
      <c r="G89" s="17"/>
    </row>
    <row r="90" spans="1:7" ht="14.4" x14ac:dyDescent="0.3">
      <c r="A90" s="14" t="s">
        <v>214</v>
      </c>
      <c r="B90" s="15" t="s">
        <v>215</v>
      </c>
      <c r="C90" s="19" t="s">
        <v>216</v>
      </c>
      <c r="D90" s="19" t="s">
        <v>69</v>
      </c>
      <c r="E90" s="20">
        <v>10</v>
      </c>
      <c r="F90" s="20">
        <f>+VLOOKUP(C90,[1]Serviços!$C$6:$F$172,4,FALSE)</f>
        <v>1797.31</v>
      </c>
      <c r="G90" s="20">
        <f>+ROUND(F90*E90,2)</f>
        <v>17973.099999999999</v>
      </c>
    </row>
    <row r="91" spans="1:7" ht="14.4" x14ac:dyDescent="0.3">
      <c r="A91" s="14" t="s">
        <v>217</v>
      </c>
      <c r="B91" s="15" t="s">
        <v>218</v>
      </c>
      <c r="C91" s="19" t="s">
        <v>219</v>
      </c>
      <c r="D91" s="19" t="s">
        <v>69</v>
      </c>
      <c r="E91" s="20">
        <v>300</v>
      </c>
      <c r="F91" s="20">
        <f>+VLOOKUP(C91,[1]Serviços!$C$6:$F$172,4,FALSE)</f>
        <v>1441.64</v>
      </c>
      <c r="G91" s="20">
        <f>+ROUND(F91*E91,2)</f>
        <v>432492</v>
      </c>
    </row>
    <row r="92" spans="1:7" x14ac:dyDescent="0.4">
      <c r="A92" s="14" t="s">
        <v>220</v>
      </c>
      <c r="B92" s="15" t="s">
        <v>221</v>
      </c>
      <c r="C92" s="16"/>
      <c r="D92" s="16"/>
      <c r="E92" s="17"/>
      <c r="F92" s="17"/>
      <c r="G92" s="17"/>
    </row>
    <row r="93" spans="1:7" ht="14.4" x14ac:dyDescent="0.3">
      <c r="A93" s="14" t="s">
        <v>222</v>
      </c>
      <c r="B93" s="15" t="s">
        <v>223</v>
      </c>
      <c r="C93" s="19" t="s">
        <v>224</v>
      </c>
      <c r="D93" s="19" t="s">
        <v>38</v>
      </c>
      <c r="E93" s="20">
        <v>150</v>
      </c>
      <c r="F93" s="20">
        <f>+VLOOKUP(C93,[1]Serviços!$C$6:$F$172,4,FALSE)</f>
        <v>251.83</v>
      </c>
      <c r="G93" s="20">
        <f>+ROUND(F93*E93,2)</f>
        <v>37774.5</v>
      </c>
    </row>
    <row r="94" spans="1:7" ht="14.4" x14ac:dyDescent="0.3">
      <c r="A94" s="14" t="s">
        <v>225</v>
      </c>
      <c r="B94" s="15" t="s">
        <v>226</v>
      </c>
      <c r="C94" s="19" t="s">
        <v>227</v>
      </c>
      <c r="D94" s="19" t="s">
        <v>69</v>
      </c>
      <c r="E94" s="20">
        <v>126</v>
      </c>
      <c r="F94" s="20">
        <f>+VLOOKUP(C94,[1]Serviços!$C$6:$F$172,4,FALSE)</f>
        <v>501.3</v>
      </c>
      <c r="G94" s="20">
        <f>+ROUND(F94*E94,2)</f>
        <v>63163.8</v>
      </c>
    </row>
    <row r="95" spans="1:7" x14ac:dyDescent="0.4">
      <c r="A95" s="21"/>
      <c r="B95" s="22"/>
      <c r="C95" s="16"/>
      <c r="D95" s="19" t="s">
        <v>17</v>
      </c>
      <c r="E95" s="17"/>
      <c r="F95" s="17"/>
      <c r="G95" s="20">
        <f>SUM(G78:G94)</f>
        <v>2832903.3999999994</v>
      </c>
    </row>
    <row r="96" spans="1:7" x14ac:dyDescent="0.4">
      <c r="A96" s="14" t="s">
        <v>228</v>
      </c>
      <c r="B96" s="15" t="s">
        <v>229</v>
      </c>
      <c r="C96" s="16"/>
      <c r="D96" s="16"/>
      <c r="E96" s="17"/>
      <c r="F96" s="17"/>
      <c r="G96" s="17"/>
    </row>
    <row r="97" spans="1:7" x14ac:dyDescent="0.4">
      <c r="A97" s="14" t="s">
        <v>230</v>
      </c>
      <c r="B97" s="15" t="s">
        <v>231</v>
      </c>
      <c r="C97" s="16"/>
      <c r="D97" s="16"/>
      <c r="E97" s="17"/>
      <c r="F97" s="17"/>
      <c r="G97" s="17"/>
    </row>
    <row r="98" spans="1:7" ht="14.4" x14ac:dyDescent="0.3">
      <c r="A98" s="14" t="s">
        <v>232</v>
      </c>
      <c r="B98" s="15" t="s">
        <v>233</v>
      </c>
      <c r="C98" s="19" t="s">
        <v>234</v>
      </c>
      <c r="D98" s="19" t="s">
        <v>38</v>
      </c>
      <c r="E98" s="20">
        <v>25000</v>
      </c>
      <c r="F98" s="20">
        <f>+VLOOKUP(C98,[1]Serviços!$C$6:$F$172,4,FALSE)</f>
        <v>3.67</v>
      </c>
      <c r="G98" s="20">
        <f>+ROUND(F98*E98,2)</f>
        <v>91750</v>
      </c>
    </row>
    <row r="99" spans="1:7" ht="24" x14ac:dyDescent="0.3">
      <c r="A99" s="14" t="s">
        <v>235</v>
      </c>
      <c r="B99" s="15" t="s">
        <v>236</v>
      </c>
      <c r="C99" s="18">
        <v>358002</v>
      </c>
      <c r="D99" s="19" t="s">
        <v>38</v>
      </c>
      <c r="E99" s="20">
        <v>1760</v>
      </c>
      <c r="F99" s="20">
        <f>+VLOOKUP(C99,[1]Serviços!$C$6:$F$172,4,FALSE)</f>
        <v>1088</v>
      </c>
      <c r="G99" s="20">
        <f>+ROUND(F99*E99,2)</f>
        <v>1914880</v>
      </c>
    </row>
    <row r="100" spans="1:7" x14ac:dyDescent="0.4">
      <c r="A100" s="21"/>
      <c r="B100" s="22"/>
      <c r="C100" s="16"/>
      <c r="D100" s="19" t="s">
        <v>17</v>
      </c>
      <c r="E100" s="17"/>
      <c r="F100" s="17"/>
      <c r="G100" s="20">
        <f>SUM(G98:G99)</f>
        <v>2006630</v>
      </c>
    </row>
    <row r="101" spans="1:7" x14ac:dyDescent="0.4">
      <c r="A101" s="14" t="s">
        <v>237</v>
      </c>
      <c r="B101" s="15" t="s">
        <v>238</v>
      </c>
      <c r="C101" s="16"/>
      <c r="D101" s="16"/>
      <c r="E101" s="17"/>
      <c r="F101" s="17"/>
      <c r="G101" s="17"/>
    </row>
    <row r="102" spans="1:7" x14ac:dyDescent="0.4">
      <c r="A102" s="14" t="s">
        <v>239</v>
      </c>
      <c r="B102" s="15" t="s">
        <v>240</v>
      </c>
      <c r="C102" s="16"/>
      <c r="D102" s="16"/>
      <c r="E102" s="17"/>
      <c r="F102" s="17"/>
      <c r="G102" s="17"/>
    </row>
    <row r="103" spans="1:7" ht="14.4" x14ac:dyDescent="0.3">
      <c r="A103" s="14" t="s">
        <v>241</v>
      </c>
      <c r="B103" s="15" t="s">
        <v>242</v>
      </c>
      <c r="C103" s="18">
        <v>100101</v>
      </c>
      <c r="D103" s="19" t="s">
        <v>57</v>
      </c>
      <c r="E103" s="20">
        <v>26000</v>
      </c>
      <c r="F103" s="20">
        <f>+VLOOKUP(C103,[1]Serviços!$C$6:$F$172,4,FALSE)</f>
        <v>15.8</v>
      </c>
      <c r="G103" s="20">
        <f t="shared" ref="G103:G109" si="0">+ROUND(F103*E103,2)</f>
        <v>410800</v>
      </c>
    </row>
    <row r="104" spans="1:7" ht="14.4" x14ac:dyDescent="0.3">
      <c r="A104" s="14" t="s">
        <v>243</v>
      </c>
      <c r="B104" s="15" t="s">
        <v>244</v>
      </c>
      <c r="C104" s="18">
        <v>100102</v>
      </c>
      <c r="D104" s="19" t="s">
        <v>57</v>
      </c>
      <c r="E104" s="20">
        <v>200</v>
      </c>
      <c r="F104" s="20">
        <f>+VLOOKUP(C104,[1]Serviços!$C$6:$F$172,4,FALSE)</f>
        <v>13.63</v>
      </c>
      <c r="G104" s="20">
        <f t="shared" si="0"/>
        <v>2726</v>
      </c>
    </row>
    <row r="105" spans="1:7" ht="14.4" x14ac:dyDescent="0.3">
      <c r="A105" s="14" t="s">
        <v>245</v>
      </c>
      <c r="B105" s="15" t="s">
        <v>246</v>
      </c>
      <c r="C105" s="18">
        <v>100103</v>
      </c>
      <c r="D105" s="19" t="s">
        <v>57</v>
      </c>
      <c r="E105" s="20">
        <v>3800</v>
      </c>
      <c r="F105" s="20">
        <f>+VLOOKUP(C105,[1]Serviços!$C$6:$F$172,4,FALSE)</f>
        <v>10.16</v>
      </c>
      <c r="G105" s="20">
        <f t="shared" si="0"/>
        <v>38608</v>
      </c>
    </row>
    <row r="106" spans="1:7" ht="14.4" x14ac:dyDescent="0.3">
      <c r="A106" s="14" t="s">
        <v>247</v>
      </c>
      <c r="B106" s="15" t="s">
        <v>248</v>
      </c>
      <c r="C106" s="18">
        <v>100104</v>
      </c>
      <c r="D106" s="19" t="s">
        <v>57</v>
      </c>
      <c r="E106" s="20">
        <v>145</v>
      </c>
      <c r="F106" s="20">
        <f>+VLOOKUP(C106,[1]Serviços!$C$6:$F$172,4,FALSE)</f>
        <v>12.7</v>
      </c>
      <c r="G106" s="20">
        <f t="shared" si="0"/>
        <v>1841.5</v>
      </c>
    </row>
    <row r="107" spans="1:7" ht="14.4" x14ac:dyDescent="0.3">
      <c r="A107" s="14" t="s">
        <v>249</v>
      </c>
      <c r="B107" s="15" t="s">
        <v>250</v>
      </c>
      <c r="C107" s="18">
        <v>100106</v>
      </c>
      <c r="D107" s="19" t="s">
        <v>73</v>
      </c>
      <c r="E107" s="20">
        <v>30</v>
      </c>
      <c r="F107" s="20">
        <f>+VLOOKUP(C107,[1]Serviços!$C$6:$F$172,4,FALSE)</f>
        <v>70.87</v>
      </c>
      <c r="G107" s="20">
        <f t="shared" si="0"/>
        <v>2126.1</v>
      </c>
    </row>
    <row r="108" spans="1:7" ht="14.4" x14ac:dyDescent="0.3">
      <c r="A108" s="14" t="s">
        <v>251</v>
      </c>
      <c r="B108" s="15" t="s">
        <v>252</v>
      </c>
      <c r="C108" s="18">
        <v>100107</v>
      </c>
      <c r="D108" s="19" t="s">
        <v>38</v>
      </c>
      <c r="E108" s="20">
        <v>300</v>
      </c>
      <c r="F108" s="20">
        <f>+VLOOKUP(C108,[1]Serviços!$C$6:$F$172,4,FALSE)</f>
        <v>13.63</v>
      </c>
      <c r="G108" s="20">
        <f t="shared" si="0"/>
        <v>4089</v>
      </c>
    </row>
    <row r="109" spans="1:7" ht="14.4" x14ac:dyDescent="0.3">
      <c r="A109" s="14" t="s">
        <v>253</v>
      </c>
      <c r="B109" s="15" t="s">
        <v>254</v>
      </c>
      <c r="C109" s="18">
        <v>100112</v>
      </c>
      <c r="D109" s="19" t="s">
        <v>57</v>
      </c>
      <c r="E109" s="20">
        <v>115</v>
      </c>
      <c r="F109" s="20">
        <f>+VLOOKUP(C109,[1]Serviços!$C$6:$F$172,4,FALSE)</f>
        <v>16.510000000000002</v>
      </c>
      <c r="G109" s="20">
        <f t="shared" si="0"/>
        <v>1898.65</v>
      </c>
    </row>
    <row r="110" spans="1:7" x14ac:dyDescent="0.4">
      <c r="A110" s="14" t="s">
        <v>255</v>
      </c>
      <c r="B110" s="15" t="s">
        <v>256</v>
      </c>
      <c r="C110" s="16"/>
      <c r="D110" s="16"/>
      <c r="E110" s="17"/>
      <c r="F110" s="17"/>
      <c r="G110" s="17"/>
    </row>
    <row r="111" spans="1:7" ht="14.4" x14ac:dyDescent="0.3">
      <c r="A111" s="14" t="s">
        <v>257</v>
      </c>
      <c r="B111" s="15" t="s">
        <v>258</v>
      </c>
      <c r="C111" s="18">
        <v>100201</v>
      </c>
      <c r="D111" s="19" t="s">
        <v>57</v>
      </c>
      <c r="E111" s="20">
        <v>1500</v>
      </c>
      <c r="F111" s="20">
        <f>+VLOOKUP(C111,[1]Serviços!$C$6:$F$172,4,FALSE)</f>
        <v>0.51</v>
      </c>
      <c r="G111" s="20">
        <f>+ROUND(F111*E111,2)</f>
        <v>765</v>
      </c>
    </row>
    <row r="112" spans="1:7" x14ac:dyDescent="0.4">
      <c r="A112" s="14" t="s">
        <v>259</v>
      </c>
      <c r="B112" s="15" t="s">
        <v>260</v>
      </c>
      <c r="C112" s="16"/>
      <c r="D112" s="16"/>
      <c r="E112" s="17"/>
      <c r="F112" s="17"/>
      <c r="G112" s="17"/>
    </row>
    <row r="113" spans="1:7" ht="14.4" x14ac:dyDescent="0.3">
      <c r="A113" s="14" t="s">
        <v>261</v>
      </c>
      <c r="B113" s="15" t="s">
        <v>262</v>
      </c>
      <c r="C113" s="18">
        <v>100312</v>
      </c>
      <c r="D113" s="19" t="s">
        <v>73</v>
      </c>
      <c r="E113" s="20">
        <v>30</v>
      </c>
      <c r="F113" s="20">
        <f>+VLOOKUP(C113,[1]Serviços!$C$6:$F$172,4,FALSE)</f>
        <v>478.05</v>
      </c>
      <c r="G113" s="20">
        <f t="shared" ref="G113:G120" si="1">+ROUND(F113*E113,2)</f>
        <v>14341.5</v>
      </c>
    </row>
    <row r="114" spans="1:7" ht="14.4" x14ac:dyDescent="0.3">
      <c r="A114" s="14" t="s">
        <v>263</v>
      </c>
      <c r="B114" s="15" t="s">
        <v>264</v>
      </c>
      <c r="C114" s="18">
        <v>100303</v>
      </c>
      <c r="D114" s="19" t="s">
        <v>57</v>
      </c>
      <c r="E114" s="20">
        <v>200</v>
      </c>
      <c r="F114" s="20">
        <f>+VLOOKUP(C114,[1]Serviços!$C$6:$F$172,4,FALSE)</f>
        <v>44.66</v>
      </c>
      <c r="G114" s="20">
        <f t="shared" si="1"/>
        <v>8932</v>
      </c>
    </row>
    <row r="115" spans="1:7" ht="14.4" x14ac:dyDescent="0.3">
      <c r="A115" s="14" t="s">
        <v>265</v>
      </c>
      <c r="B115" s="15" t="s">
        <v>266</v>
      </c>
      <c r="C115" s="18">
        <v>100304</v>
      </c>
      <c r="D115" s="19" t="s">
        <v>57</v>
      </c>
      <c r="E115" s="20">
        <v>200</v>
      </c>
      <c r="F115" s="20">
        <f>+VLOOKUP(C115,[1]Serviços!$C$6:$F$172,4,FALSE)</f>
        <v>60.29</v>
      </c>
      <c r="G115" s="20">
        <f t="shared" si="1"/>
        <v>12058</v>
      </c>
    </row>
    <row r="116" spans="1:7" ht="14.4" x14ac:dyDescent="0.3">
      <c r="A116" s="14" t="s">
        <v>267</v>
      </c>
      <c r="B116" s="15" t="s">
        <v>268</v>
      </c>
      <c r="C116" s="18">
        <v>100305</v>
      </c>
      <c r="D116" s="19" t="s">
        <v>57</v>
      </c>
      <c r="E116" s="20">
        <v>3800</v>
      </c>
      <c r="F116" s="20">
        <f>+VLOOKUP(C116,[1]Serviços!$C$6:$F$172,4,FALSE)</f>
        <v>69.48</v>
      </c>
      <c r="G116" s="20">
        <f t="shared" si="1"/>
        <v>264024</v>
      </c>
    </row>
    <row r="117" spans="1:7" ht="14.4" x14ac:dyDescent="0.3">
      <c r="A117" s="14" t="s">
        <v>269</v>
      </c>
      <c r="B117" s="15" t="s">
        <v>270</v>
      </c>
      <c r="C117" s="18">
        <v>100306</v>
      </c>
      <c r="D117" s="19" t="s">
        <v>57</v>
      </c>
      <c r="E117" s="20">
        <v>145</v>
      </c>
      <c r="F117" s="20">
        <f>+VLOOKUP(C117,[1]Serviços!$C$6:$F$172,4,FALSE)</f>
        <v>46.53</v>
      </c>
      <c r="G117" s="20">
        <f t="shared" si="1"/>
        <v>6746.85</v>
      </c>
    </row>
    <row r="118" spans="1:7" ht="14.4" x14ac:dyDescent="0.3">
      <c r="A118" s="14" t="s">
        <v>271</v>
      </c>
      <c r="B118" s="15" t="s">
        <v>272</v>
      </c>
      <c r="C118" s="18">
        <v>100307</v>
      </c>
      <c r="D118" s="19" t="s">
        <v>57</v>
      </c>
      <c r="E118" s="20">
        <v>145</v>
      </c>
      <c r="F118" s="20">
        <f>+VLOOKUP(C118,[1]Serviços!$C$6:$F$172,4,FALSE)</f>
        <v>43.65</v>
      </c>
      <c r="G118" s="20">
        <f t="shared" si="1"/>
        <v>6329.25</v>
      </c>
    </row>
    <row r="119" spans="1:7" ht="14.4" x14ac:dyDescent="0.3">
      <c r="A119" s="14" t="s">
        <v>273</v>
      </c>
      <c r="B119" s="15" t="s">
        <v>274</v>
      </c>
      <c r="C119" s="18">
        <v>100310</v>
      </c>
      <c r="D119" s="19" t="s">
        <v>38</v>
      </c>
      <c r="E119" s="20">
        <v>300</v>
      </c>
      <c r="F119" s="20">
        <f>+VLOOKUP(C119,[1]Serviços!$C$6:$F$172,4,FALSE)</f>
        <v>8.6999999999999993</v>
      </c>
      <c r="G119" s="20">
        <f t="shared" si="1"/>
        <v>2610</v>
      </c>
    </row>
    <row r="120" spans="1:7" ht="14.4" x14ac:dyDescent="0.3">
      <c r="A120" s="14" t="s">
        <v>275</v>
      </c>
      <c r="B120" s="15" t="s">
        <v>276</v>
      </c>
      <c r="C120" s="18">
        <v>100311</v>
      </c>
      <c r="D120" s="19" t="s">
        <v>38</v>
      </c>
      <c r="E120" s="20">
        <v>300</v>
      </c>
      <c r="F120" s="20">
        <f>+VLOOKUP(C120,[1]Serviços!$C$6:$F$172,4,FALSE)</f>
        <v>25.33</v>
      </c>
      <c r="G120" s="20">
        <f t="shared" si="1"/>
        <v>7599</v>
      </c>
    </row>
    <row r="121" spans="1:7" x14ac:dyDescent="0.4">
      <c r="A121" s="14" t="s">
        <v>277</v>
      </c>
      <c r="B121" s="15" t="s">
        <v>278</v>
      </c>
      <c r="C121" s="16"/>
      <c r="D121" s="16"/>
      <c r="E121" s="17"/>
      <c r="F121" s="17"/>
      <c r="G121" s="17"/>
    </row>
    <row r="122" spans="1:7" ht="14.4" x14ac:dyDescent="0.3">
      <c r="A122" s="14" t="s">
        <v>279</v>
      </c>
      <c r="B122" s="15" t="s">
        <v>280</v>
      </c>
      <c r="C122" s="18">
        <v>100401</v>
      </c>
      <c r="D122" s="19" t="s">
        <v>57</v>
      </c>
      <c r="E122" s="20">
        <v>26000</v>
      </c>
      <c r="F122" s="20">
        <f>+VLOOKUP(C122,[1]Serviços!$C$6:$F$172,4,FALSE)</f>
        <v>10.41</v>
      </c>
      <c r="G122" s="20">
        <f>+ROUND(F122*E122,2)</f>
        <v>270660</v>
      </c>
    </row>
    <row r="123" spans="1:7" ht="14.4" x14ac:dyDescent="0.3">
      <c r="A123" s="14" t="s">
        <v>281</v>
      </c>
      <c r="B123" s="15" t="s">
        <v>282</v>
      </c>
      <c r="C123" s="18">
        <v>100404</v>
      </c>
      <c r="D123" s="19" t="s">
        <v>57</v>
      </c>
      <c r="E123" s="20">
        <v>26000</v>
      </c>
      <c r="F123" s="20">
        <f>+VLOOKUP(C123,[1]Serviços!$C$6:$F$172,4,FALSE)</f>
        <v>4.71</v>
      </c>
      <c r="G123" s="20">
        <f>+ROUND(F123*E123,2)</f>
        <v>122460</v>
      </c>
    </row>
    <row r="124" spans="1:7" ht="14.4" x14ac:dyDescent="0.3">
      <c r="A124" s="14" t="s">
        <v>283</v>
      </c>
      <c r="B124" s="15" t="s">
        <v>284</v>
      </c>
      <c r="C124" s="18">
        <v>100406</v>
      </c>
      <c r="D124" s="19" t="s">
        <v>73</v>
      </c>
      <c r="E124" s="20">
        <v>1040</v>
      </c>
      <c r="F124" s="20">
        <f>+VLOOKUP(C124,[1]Serviços!$C$6:$F$172,4,FALSE)</f>
        <v>644.15</v>
      </c>
      <c r="G124" s="20">
        <f>+ROUND(F124*E124,2)</f>
        <v>669916</v>
      </c>
    </row>
    <row r="125" spans="1:7" ht="14.4" x14ac:dyDescent="0.3">
      <c r="A125" s="14" t="s">
        <v>285</v>
      </c>
      <c r="B125" s="15" t="s">
        <v>286</v>
      </c>
      <c r="C125" s="18">
        <v>100407</v>
      </c>
      <c r="D125" s="19" t="s">
        <v>73</v>
      </c>
      <c r="E125" s="20">
        <v>2600</v>
      </c>
      <c r="F125" s="20">
        <f>+VLOOKUP(C125,[1]Serviços!$C$6:$F$172,4,FALSE)</f>
        <v>374.48</v>
      </c>
      <c r="G125" s="20">
        <f>+ROUND(F125*E125,2)</f>
        <v>973648</v>
      </c>
    </row>
    <row r="126" spans="1:7" ht="14.4" x14ac:dyDescent="0.3">
      <c r="A126" s="14" t="s">
        <v>287</v>
      </c>
      <c r="B126" s="15" t="s">
        <v>288</v>
      </c>
      <c r="C126" s="18">
        <v>356042</v>
      </c>
      <c r="D126" s="19" t="s">
        <v>57</v>
      </c>
      <c r="E126" s="20">
        <v>115</v>
      </c>
      <c r="F126" s="20">
        <f>+VLOOKUP(C126,[1]Serviços!$C$6:$F$172,4,FALSE)</f>
        <v>23.38</v>
      </c>
      <c r="G126" s="20">
        <f>+ROUND(F126*E126,2)</f>
        <v>2688.7</v>
      </c>
    </row>
    <row r="127" spans="1:7" x14ac:dyDescent="0.4">
      <c r="A127" s="21"/>
      <c r="B127" s="22"/>
      <c r="C127" s="16"/>
      <c r="D127" s="19" t="s">
        <v>17</v>
      </c>
      <c r="E127" s="17"/>
      <c r="F127" s="17"/>
      <c r="G127" s="20">
        <f>SUM(G103:G126)</f>
        <v>2824867.5500000003</v>
      </c>
    </row>
    <row r="128" spans="1:7" x14ac:dyDescent="0.4">
      <c r="A128" s="14" t="s">
        <v>289</v>
      </c>
      <c r="B128" s="15" t="s">
        <v>290</v>
      </c>
      <c r="C128" s="16"/>
      <c r="D128" s="16"/>
      <c r="E128" s="17"/>
      <c r="F128" s="17"/>
      <c r="G128" s="17"/>
    </row>
    <row r="129" spans="1:7" ht="14.4" x14ac:dyDescent="0.3">
      <c r="A129" s="14" t="s">
        <v>291</v>
      </c>
      <c r="B129" s="15" t="s">
        <v>292</v>
      </c>
      <c r="C129" s="18">
        <v>356005</v>
      </c>
      <c r="D129" s="19" t="s">
        <v>16</v>
      </c>
      <c r="E129" s="20">
        <v>1</v>
      </c>
      <c r="F129" s="20">
        <f>+VLOOKUP(C129,[1]Serviços!$C$6:$F$172,4,FALSE)</f>
        <v>862665</v>
      </c>
      <c r="G129" s="20">
        <f>+ROUND(F129*E129,2)</f>
        <v>862665</v>
      </c>
    </row>
    <row r="130" spans="1:7" ht="14.4" x14ac:dyDescent="0.3">
      <c r="A130" s="14" t="s">
        <v>293</v>
      </c>
      <c r="B130" s="15" t="s">
        <v>294</v>
      </c>
      <c r="C130" s="18">
        <v>356006</v>
      </c>
      <c r="D130" s="19" t="s">
        <v>69</v>
      </c>
      <c r="E130" s="20">
        <v>866</v>
      </c>
      <c r="F130" s="20">
        <f>+VLOOKUP(C130,[1]Serviços!$C$6:$F$172,4,FALSE)</f>
        <v>437.4</v>
      </c>
      <c r="G130" s="20">
        <f>+ROUND(F130*E130,2)</f>
        <v>378788.4</v>
      </c>
    </row>
    <row r="131" spans="1:7" x14ac:dyDescent="0.4">
      <c r="A131" s="21"/>
      <c r="B131" s="22"/>
      <c r="C131" s="16"/>
      <c r="D131" s="19" t="s">
        <v>17</v>
      </c>
      <c r="E131" s="17"/>
      <c r="F131" s="17"/>
      <c r="G131" s="20">
        <f>SUM(G129:G130)</f>
        <v>1241453.3999999999</v>
      </c>
    </row>
    <row r="132" spans="1:7" x14ac:dyDescent="0.4">
      <c r="A132" s="21"/>
      <c r="B132" s="22"/>
      <c r="C132" s="16"/>
      <c r="D132" s="19" t="s">
        <v>295</v>
      </c>
      <c r="E132" s="17"/>
      <c r="F132" s="17"/>
      <c r="G132" s="20">
        <f>SUM(G7:G131)/2</f>
        <v>14908571.49</v>
      </c>
    </row>
    <row r="133" spans="1:7" ht="16.8" x14ac:dyDescent="0.45">
      <c r="A133" s="23" t="s">
        <v>296</v>
      </c>
      <c r="B133" s="24" t="s">
        <v>297</v>
      </c>
      <c r="C133" s="25"/>
      <c r="D133" s="25"/>
      <c r="E133" s="26"/>
      <c r="F133" s="26"/>
      <c r="G133" s="26"/>
    </row>
    <row r="134" spans="1:7" x14ac:dyDescent="0.4">
      <c r="A134" s="14" t="s">
        <v>298</v>
      </c>
      <c r="B134" s="15" t="s">
        <v>299</v>
      </c>
      <c r="C134" s="16"/>
      <c r="D134" s="16"/>
      <c r="E134" s="17"/>
      <c r="F134" s="17"/>
      <c r="G134" s="17"/>
    </row>
    <row r="135" spans="1:7" x14ac:dyDescent="0.4">
      <c r="A135" s="14" t="s">
        <v>300</v>
      </c>
      <c r="B135" s="15" t="s">
        <v>34</v>
      </c>
      <c r="C135" s="16"/>
      <c r="D135" s="16"/>
      <c r="E135" s="17"/>
      <c r="F135" s="17"/>
      <c r="G135" s="17"/>
    </row>
    <row r="136" spans="1:7" ht="14.4" x14ac:dyDescent="0.3">
      <c r="A136" s="14" t="s">
        <v>301</v>
      </c>
      <c r="B136" s="15" t="s">
        <v>302</v>
      </c>
      <c r="C136" s="19" t="s">
        <v>303</v>
      </c>
      <c r="D136" s="19" t="s">
        <v>69</v>
      </c>
      <c r="E136" s="20">
        <v>2860</v>
      </c>
      <c r="F136" s="20">
        <f>+VLOOKUP(C136,[1]Serviços!$C$6:$F$172,4,FALSE)</f>
        <v>11.71</v>
      </c>
      <c r="G136" s="20">
        <f>+ROUND(F136*E136,2)</f>
        <v>33490.6</v>
      </c>
    </row>
    <row r="137" spans="1:7" x14ac:dyDescent="0.4">
      <c r="A137" s="21"/>
      <c r="B137" s="22"/>
      <c r="C137" s="16"/>
      <c r="D137" s="19" t="s">
        <v>17</v>
      </c>
      <c r="E137" s="17"/>
      <c r="F137" s="17"/>
      <c r="G137" s="20">
        <f>SUM(G136)</f>
        <v>33490.6</v>
      </c>
    </row>
    <row r="138" spans="1:7" x14ac:dyDescent="0.4">
      <c r="A138" s="14" t="s">
        <v>304</v>
      </c>
      <c r="B138" s="15" t="s">
        <v>305</v>
      </c>
      <c r="C138" s="16"/>
      <c r="D138" s="16"/>
      <c r="E138" s="17"/>
      <c r="F138" s="17"/>
      <c r="G138" s="17"/>
    </row>
    <row r="139" spans="1:7" x14ac:dyDescent="0.4">
      <c r="A139" s="14" t="s">
        <v>306</v>
      </c>
      <c r="B139" s="15" t="s">
        <v>307</v>
      </c>
      <c r="C139" s="16"/>
      <c r="D139" s="16"/>
      <c r="E139" s="17"/>
      <c r="F139" s="17"/>
      <c r="G139" s="17"/>
    </row>
    <row r="140" spans="1:7" ht="14.4" x14ac:dyDescent="0.3">
      <c r="A140" s="14" t="s">
        <v>308</v>
      </c>
      <c r="B140" s="15" t="s">
        <v>309</v>
      </c>
      <c r="C140" s="18">
        <v>110223</v>
      </c>
      <c r="D140" s="19" t="s">
        <v>69</v>
      </c>
      <c r="E140" s="20">
        <v>100</v>
      </c>
      <c r="F140" s="20">
        <f>+VLOOKUP(C140,[1]Serviços!$C$6:$F$172,4,FALSE)</f>
        <v>120.19</v>
      </c>
      <c r="G140" s="20">
        <f t="shared" ref="G140:G145" si="2">+ROUND(F140*E140,2)</f>
        <v>12019</v>
      </c>
    </row>
    <row r="141" spans="1:7" ht="14.4" x14ac:dyDescent="0.3">
      <c r="A141" s="14" t="s">
        <v>310</v>
      </c>
      <c r="B141" s="15" t="s">
        <v>311</v>
      </c>
      <c r="C141" s="18">
        <v>110213</v>
      </c>
      <c r="D141" s="19" t="s">
        <v>69</v>
      </c>
      <c r="E141" s="20">
        <v>120</v>
      </c>
      <c r="F141" s="20">
        <f>+VLOOKUP(C141,[1]Serviços!$C$6:$F$172,4,FALSE)</f>
        <v>57.05</v>
      </c>
      <c r="G141" s="20">
        <f t="shared" si="2"/>
        <v>6846</v>
      </c>
    </row>
    <row r="142" spans="1:7" ht="14.4" x14ac:dyDescent="0.3">
      <c r="A142" s="14" t="s">
        <v>312</v>
      </c>
      <c r="B142" s="15" t="s">
        <v>313</v>
      </c>
      <c r="C142" s="18">
        <v>110214</v>
      </c>
      <c r="D142" s="19" t="s">
        <v>69</v>
      </c>
      <c r="E142" s="20">
        <v>1640</v>
      </c>
      <c r="F142" s="20">
        <f>+VLOOKUP(C142,[1]Serviços!$C$6:$F$172,4,FALSE)</f>
        <v>171.17</v>
      </c>
      <c r="G142" s="20">
        <f t="shared" si="2"/>
        <v>280718.8</v>
      </c>
    </row>
    <row r="143" spans="1:7" ht="14.4" x14ac:dyDescent="0.3">
      <c r="A143" s="14" t="s">
        <v>314</v>
      </c>
      <c r="B143" s="15" t="s">
        <v>315</v>
      </c>
      <c r="C143" s="18">
        <v>110215</v>
      </c>
      <c r="D143" s="19" t="s">
        <v>69</v>
      </c>
      <c r="E143" s="20">
        <v>120</v>
      </c>
      <c r="F143" s="20">
        <f>+VLOOKUP(C143,[1]Serviços!$C$6:$F$172,4,FALSE)</f>
        <v>228.22</v>
      </c>
      <c r="G143" s="20">
        <f t="shared" si="2"/>
        <v>27386.400000000001</v>
      </c>
    </row>
    <row r="144" spans="1:7" ht="14.4" x14ac:dyDescent="0.3">
      <c r="A144" s="14" t="s">
        <v>316</v>
      </c>
      <c r="B144" s="15" t="s">
        <v>317</v>
      </c>
      <c r="C144" s="18">
        <v>110216</v>
      </c>
      <c r="D144" s="19" t="s">
        <v>69</v>
      </c>
      <c r="E144" s="20">
        <v>850</v>
      </c>
      <c r="F144" s="20">
        <f>+VLOOKUP(C144,[1]Serviços!$C$6:$F$172,4,FALSE)</f>
        <v>285.29000000000002</v>
      </c>
      <c r="G144" s="20">
        <f t="shared" si="2"/>
        <v>242496.5</v>
      </c>
    </row>
    <row r="145" spans="1:7" ht="14.4" x14ac:dyDescent="0.3">
      <c r="A145" s="14" t="s">
        <v>318</v>
      </c>
      <c r="B145" s="15" t="s">
        <v>319</v>
      </c>
      <c r="C145" s="18">
        <v>110217</v>
      </c>
      <c r="D145" s="19" t="s">
        <v>69</v>
      </c>
      <c r="E145" s="20">
        <v>30</v>
      </c>
      <c r="F145" s="20">
        <f>+VLOOKUP(C145,[1]Serviços!$C$6:$F$172,4,FALSE)</f>
        <v>399.4</v>
      </c>
      <c r="G145" s="20">
        <f t="shared" si="2"/>
        <v>11982</v>
      </c>
    </row>
    <row r="146" spans="1:7" x14ac:dyDescent="0.4">
      <c r="A146" s="21"/>
      <c r="B146" s="22"/>
      <c r="C146" s="16"/>
      <c r="D146" s="19" t="s">
        <v>17</v>
      </c>
      <c r="E146" s="17"/>
      <c r="F146" s="17"/>
      <c r="G146" s="20">
        <f>SUM(G140:G145)</f>
        <v>581448.69999999995</v>
      </c>
    </row>
    <row r="147" spans="1:7" x14ac:dyDescent="0.4">
      <c r="A147" s="14" t="s">
        <v>320</v>
      </c>
      <c r="B147" s="15" t="s">
        <v>290</v>
      </c>
      <c r="C147" s="16"/>
      <c r="D147" s="16"/>
      <c r="E147" s="17"/>
      <c r="F147" s="17"/>
      <c r="G147" s="17"/>
    </row>
    <row r="148" spans="1:7" ht="14.4" x14ac:dyDescent="0.3">
      <c r="A148" s="14" t="s">
        <v>321</v>
      </c>
      <c r="B148" s="15" t="s">
        <v>322</v>
      </c>
      <c r="C148" s="18">
        <v>356043</v>
      </c>
      <c r="D148" s="19" t="s">
        <v>16</v>
      </c>
      <c r="E148" s="20">
        <v>1</v>
      </c>
      <c r="F148" s="20">
        <f>+VLOOKUP(C148,[1]Serviços!$C$6:$F$172,4,FALSE)</f>
        <v>257741</v>
      </c>
      <c r="G148" s="20">
        <f>+ROUND(F148*E148,2)</f>
        <v>257741</v>
      </c>
    </row>
    <row r="149" spans="1:7" x14ac:dyDescent="0.4">
      <c r="A149" s="21"/>
      <c r="B149" s="22"/>
      <c r="C149" s="16"/>
      <c r="D149" s="19" t="s">
        <v>17</v>
      </c>
      <c r="E149" s="17"/>
      <c r="F149" s="17"/>
      <c r="G149" s="20">
        <f>SUM(G148)</f>
        <v>257741</v>
      </c>
    </row>
    <row r="150" spans="1:7" x14ac:dyDescent="0.4">
      <c r="A150" s="21"/>
      <c r="B150" s="22"/>
      <c r="C150" s="16"/>
      <c r="D150" s="19" t="s">
        <v>295</v>
      </c>
      <c r="E150" s="17"/>
      <c r="F150" s="17"/>
      <c r="G150" s="20">
        <f>SUM(G136:G149)/2</f>
        <v>872680.3</v>
      </c>
    </row>
    <row r="151" spans="1:7" ht="16.8" x14ac:dyDescent="0.45">
      <c r="A151" s="23" t="s">
        <v>323</v>
      </c>
      <c r="B151" s="24" t="s">
        <v>324</v>
      </c>
      <c r="C151" s="25"/>
      <c r="D151" s="25"/>
      <c r="E151" s="26"/>
      <c r="F151" s="26"/>
      <c r="G151" s="26"/>
    </row>
    <row r="152" spans="1:7" x14ac:dyDescent="0.4">
      <c r="A152" s="14" t="s">
        <v>325</v>
      </c>
      <c r="B152" s="15" t="s">
        <v>326</v>
      </c>
      <c r="C152" s="16"/>
      <c r="D152" s="16"/>
      <c r="E152" s="17"/>
      <c r="F152" s="17"/>
      <c r="G152" s="17"/>
    </row>
    <row r="153" spans="1:7" ht="24" x14ac:dyDescent="0.3">
      <c r="A153" s="14" t="s">
        <v>327</v>
      </c>
      <c r="B153" s="15" t="s">
        <v>328</v>
      </c>
      <c r="C153" s="18">
        <v>358003</v>
      </c>
      <c r="D153" s="19" t="s">
        <v>38</v>
      </c>
      <c r="E153" s="20">
        <v>258.35000000000002</v>
      </c>
      <c r="F153" s="20">
        <f>+VLOOKUP(C153,[1]Serviços!$C$6:$F$172,4,FALSE)</f>
        <v>1043</v>
      </c>
      <c r="G153" s="20">
        <f>+ROUND(F153*E153,2)</f>
        <v>269459.05</v>
      </c>
    </row>
    <row r="154" spans="1:7" ht="24" x14ac:dyDescent="0.3">
      <c r="A154" s="14" t="s">
        <v>329</v>
      </c>
      <c r="B154" s="15" t="s">
        <v>236</v>
      </c>
      <c r="C154" s="18">
        <v>358002</v>
      </c>
      <c r="D154" s="19" t="s">
        <v>38</v>
      </c>
      <c r="E154" s="20">
        <v>96.77</v>
      </c>
      <c r="F154" s="20">
        <f>+VLOOKUP(C154,[1]Serviços!$C$6:$F$172,4,FALSE)</f>
        <v>1088</v>
      </c>
      <c r="G154" s="20">
        <f>+ROUND(F154*E154,2)</f>
        <v>105285.75999999999</v>
      </c>
    </row>
    <row r="155" spans="1:7" ht="24" x14ac:dyDescent="0.3">
      <c r="A155" s="14" t="s">
        <v>330</v>
      </c>
      <c r="B155" s="15" t="s">
        <v>331</v>
      </c>
      <c r="C155" s="18">
        <v>358004</v>
      </c>
      <c r="D155" s="19" t="s">
        <v>38</v>
      </c>
      <c r="E155" s="20">
        <v>15.83</v>
      </c>
      <c r="F155" s="20">
        <f>+VLOOKUP(C155,[1]Serviços!$C$6:$F$172,4,FALSE)</f>
        <v>1506</v>
      </c>
      <c r="G155" s="20">
        <f>+ROUND(F155*E155,2)</f>
        <v>23839.98</v>
      </c>
    </row>
    <row r="156" spans="1:7" x14ac:dyDescent="0.4">
      <c r="A156" s="14" t="s">
        <v>332</v>
      </c>
      <c r="B156" s="15" t="s">
        <v>333</v>
      </c>
      <c r="C156" s="16"/>
      <c r="D156" s="16"/>
      <c r="E156" s="17"/>
      <c r="F156" s="17"/>
      <c r="G156" s="17"/>
    </row>
    <row r="157" spans="1:7" ht="14.4" x14ac:dyDescent="0.3">
      <c r="A157" s="14" t="s">
        <v>334</v>
      </c>
      <c r="B157" s="15" t="s">
        <v>201</v>
      </c>
      <c r="C157" s="19" t="s">
        <v>335</v>
      </c>
      <c r="D157" s="19" t="s">
        <v>69</v>
      </c>
      <c r="E157" s="20">
        <v>11</v>
      </c>
      <c r="F157" s="20">
        <f>+VLOOKUP(C157,[1]Serviços!$C$6:$F$172,4,FALSE)</f>
        <v>3193.31</v>
      </c>
      <c r="G157" s="20">
        <f>+ROUND(F157*E157,2)</f>
        <v>35126.410000000003</v>
      </c>
    </row>
    <row r="158" spans="1:7" ht="14.4" x14ac:dyDescent="0.3">
      <c r="A158" s="14" t="s">
        <v>336</v>
      </c>
      <c r="B158" s="15" t="s">
        <v>204</v>
      </c>
      <c r="C158" s="19" t="s">
        <v>337</v>
      </c>
      <c r="D158" s="19" t="s">
        <v>69</v>
      </c>
      <c r="E158" s="20">
        <v>2</v>
      </c>
      <c r="F158" s="20">
        <f>+VLOOKUP(C158,[1]Serviços!$C$6:$F$172,4,FALSE)</f>
        <v>3783.62</v>
      </c>
      <c r="G158" s="20">
        <f>+ROUND(F158*E158,2)</f>
        <v>7567.24</v>
      </c>
    </row>
    <row r="159" spans="1:7" ht="14.4" x14ac:dyDescent="0.3">
      <c r="A159" s="14" t="s">
        <v>338</v>
      </c>
      <c r="B159" s="15" t="s">
        <v>207</v>
      </c>
      <c r="C159" s="19" t="s">
        <v>339</v>
      </c>
      <c r="D159" s="19" t="s">
        <v>69</v>
      </c>
      <c r="E159" s="20">
        <v>1</v>
      </c>
      <c r="F159" s="20">
        <f>+VLOOKUP(C159,[1]Serviços!$C$6:$F$172,4,FALSE)</f>
        <v>4625.16</v>
      </c>
      <c r="G159" s="20">
        <f>+ROUND(F159*E159,2)</f>
        <v>4625.16</v>
      </c>
    </row>
    <row r="160" spans="1:7" x14ac:dyDescent="0.4">
      <c r="A160" s="21"/>
      <c r="B160" s="22"/>
      <c r="C160" s="16"/>
      <c r="D160" s="19" t="s">
        <v>17</v>
      </c>
      <c r="E160" s="17"/>
      <c r="F160" s="17"/>
      <c r="G160" s="20">
        <f>SUM(G153:G159)</f>
        <v>445903.59999999992</v>
      </c>
    </row>
    <row r="161" spans="1:7" x14ac:dyDescent="0.4">
      <c r="A161" s="21"/>
      <c r="B161" s="22"/>
      <c r="C161" s="16"/>
      <c r="D161" s="19" t="s">
        <v>295</v>
      </c>
      <c r="E161" s="17"/>
      <c r="F161" s="17"/>
      <c r="G161" s="20">
        <f>+G160</f>
        <v>445903.59999999992</v>
      </c>
    </row>
    <row r="162" spans="1:7" ht="16.8" x14ac:dyDescent="0.45">
      <c r="A162" s="23" t="s">
        <v>340</v>
      </c>
      <c r="B162" s="24" t="s">
        <v>341</v>
      </c>
      <c r="C162" s="25"/>
      <c r="D162" s="25"/>
      <c r="E162" s="26"/>
      <c r="F162" s="26"/>
      <c r="G162" s="26"/>
    </row>
    <row r="163" spans="1:7" x14ac:dyDescent="0.4">
      <c r="A163" s="14" t="s">
        <v>342</v>
      </c>
      <c r="B163" s="15" t="s">
        <v>299</v>
      </c>
      <c r="C163" s="16"/>
      <c r="D163" s="16"/>
      <c r="E163" s="17"/>
      <c r="F163" s="17"/>
      <c r="G163" s="17"/>
    </row>
    <row r="164" spans="1:7" ht="14.4" x14ac:dyDescent="0.3">
      <c r="A164" s="14" t="s">
        <v>343</v>
      </c>
      <c r="B164" s="15" t="s">
        <v>344</v>
      </c>
      <c r="C164" s="19" t="s">
        <v>345</v>
      </c>
      <c r="D164" s="19" t="s">
        <v>38</v>
      </c>
      <c r="E164" s="20">
        <v>80</v>
      </c>
      <c r="F164" s="20">
        <f>+VLOOKUP(C164,[1]Serviços!$C$6:$F$172,4,FALSE)</f>
        <v>3.49</v>
      </c>
      <c r="G164" s="20">
        <f>+ROUND(F164*E164,2)</f>
        <v>279.2</v>
      </c>
    </row>
    <row r="165" spans="1:7" ht="14.4" x14ac:dyDescent="0.3">
      <c r="A165" s="14" t="s">
        <v>346</v>
      </c>
      <c r="B165" s="15" t="s">
        <v>347</v>
      </c>
      <c r="C165" s="19" t="s">
        <v>348</v>
      </c>
      <c r="D165" s="19" t="s">
        <v>38</v>
      </c>
      <c r="E165" s="20">
        <v>80</v>
      </c>
      <c r="F165" s="20">
        <f>+VLOOKUP(C165,[1]Serviços!$C$6:$F$172,4,FALSE)</f>
        <v>0.84</v>
      </c>
      <c r="G165" s="20">
        <f>+ROUND(F165*E165,2)</f>
        <v>67.2</v>
      </c>
    </row>
    <row r="166" spans="1:7" x14ac:dyDescent="0.4">
      <c r="A166" s="21"/>
      <c r="B166" s="22"/>
      <c r="C166" s="16"/>
      <c r="D166" s="19" t="s">
        <v>17</v>
      </c>
      <c r="E166" s="17"/>
      <c r="F166" s="17"/>
      <c r="G166" s="20">
        <f>SUM(G164:G165)</f>
        <v>346.4</v>
      </c>
    </row>
    <row r="167" spans="1:7" x14ac:dyDescent="0.4">
      <c r="A167" s="14" t="s">
        <v>349</v>
      </c>
      <c r="B167" s="15" t="s">
        <v>43</v>
      </c>
      <c r="C167" s="16"/>
      <c r="D167" s="16"/>
      <c r="E167" s="17"/>
      <c r="F167" s="17"/>
      <c r="G167" s="17"/>
    </row>
    <row r="168" spans="1:7" x14ac:dyDescent="0.4">
      <c r="A168" s="14" t="s">
        <v>350</v>
      </c>
      <c r="B168" s="15" t="s">
        <v>45</v>
      </c>
      <c r="C168" s="16"/>
      <c r="D168" s="16"/>
      <c r="E168" s="17"/>
      <c r="F168" s="17"/>
      <c r="G168" s="17"/>
    </row>
    <row r="169" spans="1:7" ht="14.4" x14ac:dyDescent="0.3">
      <c r="A169" s="14" t="s">
        <v>351</v>
      </c>
      <c r="B169" s="15" t="s">
        <v>47</v>
      </c>
      <c r="C169" s="19" t="s">
        <v>48</v>
      </c>
      <c r="D169" s="19" t="s">
        <v>38</v>
      </c>
      <c r="E169" s="20">
        <v>147</v>
      </c>
      <c r="F169" s="20">
        <f>+VLOOKUP(C169,[1]Serviços!$C$6:$F$172,4,FALSE)</f>
        <v>2.41</v>
      </c>
      <c r="G169" s="20">
        <f>+ROUND(F169*E169,2)</f>
        <v>354.27</v>
      </c>
    </row>
    <row r="170" spans="1:7" ht="14.4" x14ac:dyDescent="0.3">
      <c r="A170" s="14" t="s">
        <v>352</v>
      </c>
      <c r="B170" s="15" t="s">
        <v>50</v>
      </c>
      <c r="C170" s="19" t="s">
        <v>51</v>
      </c>
      <c r="D170" s="19" t="s">
        <v>38</v>
      </c>
      <c r="E170" s="20">
        <v>147</v>
      </c>
      <c r="F170" s="20">
        <f>+VLOOKUP(C170,[1]Serviços!$C$6:$F$172,4,FALSE)</f>
        <v>4.34</v>
      </c>
      <c r="G170" s="20">
        <f>+ROUND(F170*E170,2)</f>
        <v>637.98</v>
      </c>
    </row>
    <row r="171" spans="1:7" x14ac:dyDescent="0.4">
      <c r="A171" s="14" t="s">
        <v>353</v>
      </c>
      <c r="B171" s="15" t="s">
        <v>53</v>
      </c>
      <c r="C171" s="16"/>
      <c r="D171" s="16"/>
      <c r="E171" s="17"/>
      <c r="F171" s="17"/>
      <c r="G171" s="17"/>
    </row>
    <row r="172" spans="1:7" ht="14.4" x14ac:dyDescent="0.3">
      <c r="A172" s="14" t="s">
        <v>354</v>
      </c>
      <c r="B172" s="15" t="s">
        <v>55</v>
      </c>
      <c r="C172" s="19" t="s">
        <v>56</v>
      </c>
      <c r="D172" s="19" t="s">
        <v>57</v>
      </c>
      <c r="E172" s="20">
        <v>5</v>
      </c>
      <c r="F172" s="20">
        <f>+VLOOKUP(C172,[1]Serviços!$C$6:$F$172,4,FALSE)</f>
        <v>62.99</v>
      </c>
      <c r="G172" s="20">
        <f>+ROUND(F172*E172,2)</f>
        <v>314.95</v>
      </c>
    </row>
    <row r="173" spans="1:7" ht="14.4" x14ac:dyDescent="0.3">
      <c r="A173" s="14" t="s">
        <v>355</v>
      </c>
      <c r="B173" s="15" t="s">
        <v>59</v>
      </c>
      <c r="C173" s="19" t="s">
        <v>60</v>
      </c>
      <c r="D173" s="19" t="s">
        <v>57</v>
      </c>
      <c r="E173" s="20">
        <v>10</v>
      </c>
      <c r="F173" s="20">
        <f>+VLOOKUP(C173,[1]Serviços!$C$6:$F$172,4,FALSE)</f>
        <v>56.19</v>
      </c>
      <c r="G173" s="20">
        <f>+ROUND(F173*E173,2)</f>
        <v>561.9</v>
      </c>
    </row>
    <row r="174" spans="1:7" ht="14.4" x14ac:dyDescent="0.3">
      <c r="A174" s="14" t="s">
        <v>356</v>
      </c>
      <c r="B174" s="15" t="s">
        <v>62</v>
      </c>
      <c r="C174" s="19" t="s">
        <v>63</v>
      </c>
      <c r="D174" s="19" t="s">
        <v>57</v>
      </c>
      <c r="E174" s="20">
        <v>10</v>
      </c>
      <c r="F174" s="20">
        <f>+VLOOKUP(C174,[1]Serviços!$C$6:$F$172,4,FALSE)</f>
        <v>88.18</v>
      </c>
      <c r="G174" s="20">
        <f>+ROUND(F174*E174,2)</f>
        <v>881.8</v>
      </c>
    </row>
    <row r="175" spans="1:7" x14ac:dyDescent="0.4">
      <c r="A175" s="14" t="s">
        <v>357</v>
      </c>
      <c r="B175" s="15" t="s">
        <v>65</v>
      </c>
      <c r="C175" s="16"/>
      <c r="D175" s="16"/>
      <c r="E175" s="17"/>
      <c r="F175" s="17"/>
      <c r="G175" s="17"/>
    </row>
    <row r="176" spans="1:7" ht="14.4" x14ac:dyDescent="0.3">
      <c r="A176" s="14" t="s">
        <v>358</v>
      </c>
      <c r="B176" s="15" t="s">
        <v>67</v>
      </c>
      <c r="C176" s="19" t="s">
        <v>68</v>
      </c>
      <c r="D176" s="19" t="s">
        <v>69</v>
      </c>
      <c r="E176" s="20">
        <v>2</v>
      </c>
      <c r="F176" s="20">
        <f>+VLOOKUP(C176,[1]Serviços!$C$6:$F$172,4,FALSE)</f>
        <v>84.06</v>
      </c>
      <c r="G176" s="20">
        <f>+ROUND(F176*E176,2)</f>
        <v>168.12</v>
      </c>
    </row>
    <row r="177" spans="1:7" ht="14.4" x14ac:dyDescent="0.3">
      <c r="A177" s="14" t="s">
        <v>359</v>
      </c>
      <c r="B177" s="15" t="s">
        <v>71</v>
      </c>
      <c r="C177" s="19" t="s">
        <v>72</v>
      </c>
      <c r="D177" s="19" t="s">
        <v>73</v>
      </c>
      <c r="E177" s="20">
        <v>1</v>
      </c>
      <c r="F177" s="20">
        <f>+VLOOKUP(C177,[1]Serviços!$C$6:$F$172,4,FALSE)</f>
        <v>1718.52</v>
      </c>
      <c r="G177" s="20">
        <f>+ROUND(F177*E177,2)</f>
        <v>1718.52</v>
      </c>
    </row>
    <row r="178" spans="1:7" x14ac:dyDescent="0.4">
      <c r="A178" s="14" t="s">
        <v>360</v>
      </c>
      <c r="B178" s="15" t="s">
        <v>79</v>
      </c>
      <c r="C178" s="16"/>
      <c r="D178" s="16"/>
      <c r="E178" s="17"/>
      <c r="F178" s="17"/>
      <c r="G178" s="17"/>
    </row>
    <row r="179" spans="1:7" ht="14.4" x14ac:dyDescent="0.3">
      <c r="A179" s="14" t="s">
        <v>361</v>
      </c>
      <c r="B179" s="15" t="s">
        <v>81</v>
      </c>
      <c r="C179" s="19" t="s">
        <v>82</v>
      </c>
      <c r="D179" s="19" t="s">
        <v>69</v>
      </c>
      <c r="E179" s="20">
        <v>1</v>
      </c>
      <c r="F179" s="20">
        <f>+VLOOKUP(C179,[1]Serviços!$C$6:$F$172,4,FALSE)</f>
        <v>14.46</v>
      </c>
      <c r="G179" s="20">
        <f>+ROUND(F179*E179,2)</f>
        <v>14.46</v>
      </c>
    </row>
    <row r="180" spans="1:7" ht="14.4" x14ac:dyDescent="0.3">
      <c r="A180" s="14" t="s">
        <v>362</v>
      </c>
      <c r="B180" s="15" t="s">
        <v>84</v>
      </c>
      <c r="C180" s="19" t="s">
        <v>85</v>
      </c>
      <c r="D180" s="19" t="s">
        <v>57</v>
      </c>
      <c r="E180" s="20">
        <v>20</v>
      </c>
      <c r="F180" s="20">
        <f>+VLOOKUP(C180,[1]Serviços!$C$6:$F$172,4,FALSE)</f>
        <v>2.0699999999999998</v>
      </c>
      <c r="G180" s="20">
        <f>+ROUND(F180*E180,2)</f>
        <v>41.4</v>
      </c>
    </row>
    <row r="181" spans="1:7" x14ac:dyDescent="0.4">
      <c r="A181" s="21"/>
      <c r="B181" s="22"/>
      <c r="C181" s="16"/>
      <c r="D181" s="19" t="s">
        <v>17</v>
      </c>
      <c r="E181" s="17"/>
      <c r="F181" s="17"/>
      <c r="G181" s="20">
        <f>SUM(G169:G180)</f>
        <v>4693.3999999999987</v>
      </c>
    </row>
    <row r="182" spans="1:7" x14ac:dyDescent="0.4">
      <c r="A182" s="14" t="s">
        <v>363</v>
      </c>
      <c r="B182" s="15" t="s">
        <v>87</v>
      </c>
      <c r="C182" s="16"/>
      <c r="D182" s="16"/>
      <c r="E182" s="17"/>
      <c r="F182" s="17"/>
      <c r="G182" s="17"/>
    </row>
    <row r="183" spans="1:7" x14ac:dyDescent="0.4">
      <c r="A183" s="14" t="s">
        <v>364</v>
      </c>
      <c r="B183" s="15" t="s">
        <v>89</v>
      </c>
      <c r="C183" s="16"/>
      <c r="D183" s="16"/>
      <c r="E183" s="17"/>
      <c r="F183" s="17"/>
      <c r="G183" s="17"/>
    </row>
    <row r="184" spans="1:7" ht="14.4" x14ac:dyDescent="0.3">
      <c r="A184" s="14" t="s">
        <v>365</v>
      </c>
      <c r="B184" s="15" t="s">
        <v>91</v>
      </c>
      <c r="C184" s="19" t="s">
        <v>92</v>
      </c>
      <c r="D184" s="19" t="s">
        <v>57</v>
      </c>
      <c r="E184" s="20">
        <v>20</v>
      </c>
      <c r="F184" s="20">
        <f>+VLOOKUP(C184,[1]Serviços!$C$6:$F$172,4,FALSE)</f>
        <v>1.18</v>
      </c>
      <c r="G184" s="20">
        <f>+ROUND(F184*E184,2)</f>
        <v>23.6</v>
      </c>
    </row>
    <row r="185" spans="1:7" ht="14.4" x14ac:dyDescent="0.3">
      <c r="A185" s="14" t="s">
        <v>366</v>
      </c>
      <c r="B185" s="15" t="s">
        <v>94</v>
      </c>
      <c r="C185" s="19" t="s">
        <v>95</v>
      </c>
      <c r="D185" s="19" t="s">
        <v>73</v>
      </c>
      <c r="E185" s="20">
        <v>90</v>
      </c>
      <c r="F185" s="20">
        <f>+VLOOKUP(C185,[1]Serviços!$C$6:$F$172,4,FALSE)</f>
        <v>7.69</v>
      </c>
      <c r="G185" s="20">
        <f>+ROUND(F185*E185,2)</f>
        <v>692.1</v>
      </c>
    </row>
    <row r="186" spans="1:7" x14ac:dyDescent="0.4">
      <c r="A186" s="14" t="s">
        <v>367</v>
      </c>
      <c r="B186" s="15" t="s">
        <v>100</v>
      </c>
      <c r="C186" s="16"/>
      <c r="D186" s="16"/>
      <c r="E186" s="17"/>
      <c r="F186" s="17"/>
      <c r="G186" s="17"/>
    </row>
    <row r="187" spans="1:7" ht="24" x14ac:dyDescent="0.3">
      <c r="A187" s="14" t="s">
        <v>368</v>
      </c>
      <c r="B187" s="15" t="s">
        <v>105</v>
      </c>
      <c r="C187" s="19" t="s">
        <v>106</v>
      </c>
      <c r="D187" s="19" t="s">
        <v>73</v>
      </c>
      <c r="E187" s="20">
        <v>10</v>
      </c>
      <c r="F187" s="20">
        <f>+VLOOKUP(C187,[1]Serviços!$C$6:$F$172,4,FALSE)</f>
        <v>49.6</v>
      </c>
      <c r="G187" s="20">
        <f>+ROUND(F187*E187,2)</f>
        <v>496</v>
      </c>
    </row>
    <row r="188" spans="1:7" ht="24" x14ac:dyDescent="0.3">
      <c r="A188" s="14" t="s">
        <v>369</v>
      </c>
      <c r="B188" s="15" t="s">
        <v>102</v>
      </c>
      <c r="C188" s="19" t="s">
        <v>103</v>
      </c>
      <c r="D188" s="19" t="s">
        <v>73</v>
      </c>
      <c r="E188" s="20">
        <v>10</v>
      </c>
      <c r="F188" s="20">
        <f>+VLOOKUP(C188,[1]Serviços!$C$6:$F$172,4,FALSE)</f>
        <v>42.51</v>
      </c>
      <c r="G188" s="20">
        <f>+ROUND(F188*E188,2)</f>
        <v>425.1</v>
      </c>
    </row>
    <row r="189" spans="1:7" x14ac:dyDescent="0.4">
      <c r="A189" s="14" t="s">
        <v>370</v>
      </c>
      <c r="B189" s="15" t="s">
        <v>108</v>
      </c>
      <c r="C189" s="16"/>
      <c r="D189" s="16"/>
      <c r="E189" s="17"/>
      <c r="F189" s="17"/>
      <c r="G189" s="17"/>
    </row>
    <row r="190" spans="1:7" ht="14.4" x14ac:dyDescent="0.3">
      <c r="A190" s="14" t="s">
        <v>371</v>
      </c>
      <c r="B190" s="15" t="s">
        <v>110</v>
      </c>
      <c r="C190" s="19" t="s">
        <v>111</v>
      </c>
      <c r="D190" s="19" t="s">
        <v>73</v>
      </c>
      <c r="E190" s="20">
        <v>90</v>
      </c>
      <c r="F190" s="20">
        <f>+VLOOKUP(C190,[1]Serviços!$C$6:$F$172,4,FALSE)</f>
        <v>6.26</v>
      </c>
      <c r="G190" s="20">
        <f>+ROUND(F190*E190,2)</f>
        <v>563.4</v>
      </c>
    </row>
    <row r="191" spans="1:7" ht="14.4" x14ac:dyDescent="0.3">
      <c r="A191" s="14" t="s">
        <v>372</v>
      </c>
      <c r="B191" s="15" t="s">
        <v>116</v>
      </c>
      <c r="C191" s="19" t="s">
        <v>117</v>
      </c>
      <c r="D191" s="19" t="s">
        <v>73</v>
      </c>
      <c r="E191" s="20">
        <v>128</v>
      </c>
      <c r="F191" s="20">
        <f>+VLOOKUP(C191,[1]Serviços!$C$6:$F$172,4,FALSE)</f>
        <v>8.31</v>
      </c>
      <c r="G191" s="20">
        <f>+ROUND(F191*E191,2)</f>
        <v>1063.68</v>
      </c>
    </row>
    <row r="192" spans="1:7" x14ac:dyDescent="0.4">
      <c r="A192" s="14" t="s">
        <v>373</v>
      </c>
      <c r="B192" s="15" t="s">
        <v>122</v>
      </c>
      <c r="C192" s="16"/>
      <c r="D192" s="16"/>
      <c r="E192" s="17"/>
      <c r="F192" s="17"/>
      <c r="G192" s="17"/>
    </row>
    <row r="193" spans="1:7" ht="14.4" x14ac:dyDescent="0.3">
      <c r="A193" s="14" t="s">
        <v>374</v>
      </c>
      <c r="B193" s="15" t="s">
        <v>124</v>
      </c>
      <c r="C193" s="19" t="s">
        <v>125</v>
      </c>
      <c r="D193" s="19" t="s">
        <v>73</v>
      </c>
      <c r="E193" s="20">
        <v>82</v>
      </c>
      <c r="F193" s="20">
        <f>+VLOOKUP(C193,[1]Serviços!$C$6:$F$172,4,FALSE)</f>
        <v>12.26</v>
      </c>
      <c r="G193" s="20">
        <f>+ROUND(F193*E193,2)</f>
        <v>1005.32</v>
      </c>
    </row>
    <row r="194" spans="1:7" ht="24" x14ac:dyDescent="0.3">
      <c r="A194" s="14" t="s">
        <v>375</v>
      </c>
      <c r="B194" s="15" t="s">
        <v>127</v>
      </c>
      <c r="C194" s="19" t="s">
        <v>128</v>
      </c>
      <c r="D194" s="19" t="s">
        <v>73</v>
      </c>
      <c r="E194" s="20">
        <v>123</v>
      </c>
      <c r="F194" s="20">
        <f>+VLOOKUP(C194,[1]Serviços!$C$6:$F$172,4,FALSE)</f>
        <v>14.3</v>
      </c>
      <c r="G194" s="20">
        <f>+ROUND(F194*E194,2)</f>
        <v>1758.9</v>
      </c>
    </row>
    <row r="195" spans="1:7" x14ac:dyDescent="0.4">
      <c r="A195" s="14" t="s">
        <v>376</v>
      </c>
      <c r="B195" s="15" t="s">
        <v>130</v>
      </c>
      <c r="C195" s="16"/>
      <c r="D195" s="16"/>
      <c r="E195" s="17"/>
      <c r="F195" s="17"/>
      <c r="G195" s="17"/>
    </row>
    <row r="196" spans="1:7" ht="14.4" x14ac:dyDescent="0.3">
      <c r="A196" s="14" t="s">
        <v>377</v>
      </c>
      <c r="B196" s="15" t="s">
        <v>132</v>
      </c>
      <c r="C196" s="19" t="s">
        <v>133</v>
      </c>
      <c r="D196" s="19" t="s">
        <v>134</v>
      </c>
      <c r="E196" s="20">
        <v>2250</v>
      </c>
      <c r="F196" s="20">
        <f>+VLOOKUP(C196,[1]Serviços!$C$6:$F$172,4,FALSE)</f>
        <v>1.61</v>
      </c>
      <c r="G196" s="20">
        <f>+ROUND(F196*E196,2)</f>
        <v>3622.5</v>
      </c>
    </row>
    <row r="197" spans="1:7" x14ac:dyDescent="0.4">
      <c r="A197" s="21"/>
      <c r="B197" s="22"/>
      <c r="C197" s="16"/>
      <c r="D197" s="19" t="s">
        <v>17</v>
      </c>
      <c r="E197" s="17"/>
      <c r="F197" s="17"/>
      <c r="G197" s="20">
        <f>SUM(G184:G196)</f>
        <v>9650.6</v>
      </c>
    </row>
    <row r="198" spans="1:7" x14ac:dyDescent="0.4">
      <c r="A198" s="14" t="s">
        <v>378</v>
      </c>
      <c r="B198" s="15" t="s">
        <v>136</v>
      </c>
      <c r="C198" s="16"/>
      <c r="D198" s="16"/>
      <c r="E198" s="17"/>
      <c r="F198" s="17"/>
      <c r="G198" s="17"/>
    </row>
    <row r="199" spans="1:7" x14ac:dyDescent="0.4">
      <c r="A199" s="14" t="s">
        <v>379</v>
      </c>
      <c r="B199" s="15" t="s">
        <v>138</v>
      </c>
      <c r="C199" s="16"/>
      <c r="D199" s="16"/>
      <c r="E199" s="17"/>
      <c r="F199" s="17"/>
      <c r="G199" s="17"/>
    </row>
    <row r="200" spans="1:7" ht="14.4" x14ac:dyDescent="0.3">
      <c r="A200" s="14" t="s">
        <v>380</v>
      </c>
      <c r="B200" s="15" t="s">
        <v>143</v>
      </c>
      <c r="C200" s="19" t="s">
        <v>144</v>
      </c>
      <c r="D200" s="19" t="s">
        <v>57</v>
      </c>
      <c r="E200" s="20">
        <v>360</v>
      </c>
      <c r="F200" s="20">
        <f>+VLOOKUP(C200,[1]Serviços!$C$6:$F$172,4,FALSE)</f>
        <v>23.04</v>
      </c>
      <c r="G200" s="20">
        <f>+ROUND(F200*E200,2)</f>
        <v>8294.4</v>
      </c>
    </row>
    <row r="201" spans="1:7" x14ac:dyDescent="0.4">
      <c r="A201" s="14" t="s">
        <v>381</v>
      </c>
      <c r="B201" s="15" t="s">
        <v>382</v>
      </c>
      <c r="C201" s="16"/>
      <c r="D201" s="16"/>
      <c r="E201" s="17"/>
      <c r="F201" s="17"/>
      <c r="G201" s="17"/>
    </row>
    <row r="202" spans="1:7" ht="24" x14ac:dyDescent="0.3">
      <c r="A202" s="14" t="s">
        <v>383</v>
      </c>
      <c r="B202" s="15" t="s">
        <v>384</v>
      </c>
      <c r="C202" s="19" t="s">
        <v>385</v>
      </c>
      <c r="D202" s="19" t="s">
        <v>57</v>
      </c>
      <c r="E202" s="20">
        <v>210</v>
      </c>
      <c r="F202" s="20">
        <f>+VLOOKUP(C202,[1]Serviços!$C$6:$F$172,4,FALSE)</f>
        <v>121.95</v>
      </c>
      <c r="G202" s="20">
        <f>+ROUND(F202*E202,2)</f>
        <v>25609.5</v>
      </c>
    </row>
    <row r="203" spans="1:7" ht="25.2" x14ac:dyDescent="0.4">
      <c r="A203" s="14" t="s">
        <v>386</v>
      </c>
      <c r="B203" s="15" t="s">
        <v>152</v>
      </c>
      <c r="C203" s="16"/>
      <c r="D203" s="16"/>
      <c r="E203" s="17"/>
      <c r="F203" s="17"/>
      <c r="G203" s="17"/>
    </row>
    <row r="204" spans="1:7" ht="14.4" x14ac:dyDescent="0.3">
      <c r="A204" s="14" t="s">
        <v>387</v>
      </c>
      <c r="B204" s="15" t="s">
        <v>154</v>
      </c>
      <c r="C204" s="19" t="s">
        <v>155</v>
      </c>
      <c r="D204" s="19" t="s">
        <v>73</v>
      </c>
      <c r="E204" s="20">
        <v>5</v>
      </c>
      <c r="F204" s="20">
        <f>+VLOOKUP(C204,[1]Serviços!$C$6:$F$172,4,FALSE)</f>
        <v>497.6</v>
      </c>
      <c r="G204" s="20">
        <f>+ROUND(F204*E204,2)</f>
        <v>2488</v>
      </c>
    </row>
    <row r="205" spans="1:7" x14ac:dyDescent="0.4">
      <c r="A205" s="21"/>
      <c r="B205" s="22"/>
      <c r="C205" s="16"/>
      <c r="D205" s="19" t="s">
        <v>17</v>
      </c>
      <c r="E205" s="17"/>
      <c r="F205" s="17"/>
      <c r="G205" s="20">
        <f>SUM(G200:G204)</f>
        <v>36391.9</v>
      </c>
    </row>
    <row r="206" spans="1:7" x14ac:dyDescent="0.4">
      <c r="A206" s="14" t="s">
        <v>388</v>
      </c>
      <c r="B206" s="15" t="s">
        <v>157</v>
      </c>
      <c r="C206" s="16"/>
      <c r="D206" s="16"/>
      <c r="E206" s="17"/>
      <c r="F206" s="17"/>
      <c r="G206" s="17"/>
    </row>
    <row r="207" spans="1:7" x14ac:dyDescent="0.4">
      <c r="A207" s="14" t="s">
        <v>389</v>
      </c>
      <c r="B207" s="15" t="s">
        <v>159</v>
      </c>
      <c r="C207" s="16"/>
      <c r="D207" s="16"/>
      <c r="E207" s="17"/>
      <c r="F207" s="17"/>
      <c r="G207" s="17"/>
    </row>
    <row r="208" spans="1:7" ht="14.4" x14ac:dyDescent="0.3">
      <c r="A208" s="14" t="s">
        <v>390</v>
      </c>
      <c r="B208" s="15" t="s">
        <v>161</v>
      </c>
      <c r="C208" s="19" t="s">
        <v>162</v>
      </c>
      <c r="D208" s="19" t="s">
        <v>163</v>
      </c>
      <c r="E208" s="20">
        <v>70</v>
      </c>
      <c r="F208" s="20">
        <f>+VLOOKUP(C208,[1]Serviços!$C$6:$F$172,4,FALSE)</f>
        <v>1.41</v>
      </c>
      <c r="G208" s="20">
        <f>+ROUND(F208*E208,2)</f>
        <v>98.7</v>
      </c>
    </row>
    <row r="209" spans="1:7" x14ac:dyDescent="0.4">
      <c r="A209" s="14" t="s">
        <v>391</v>
      </c>
      <c r="B209" s="15" t="s">
        <v>165</v>
      </c>
      <c r="C209" s="16"/>
      <c r="D209" s="16"/>
      <c r="E209" s="17"/>
      <c r="F209" s="17"/>
      <c r="G209" s="17"/>
    </row>
    <row r="210" spans="1:7" ht="14.4" x14ac:dyDescent="0.3">
      <c r="A210" s="14" t="s">
        <v>392</v>
      </c>
      <c r="B210" s="15" t="s">
        <v>167</v>
      </c>
      <c r="C210" s="19" t="s">
        <v>168</v>
      </c>
      <c r="D210" s="19" t="s">
        <v>38</v>
      </c>
      <c r="E210" s="20">
        <v>80</v>
      </c>
      <c r="F210" s="20">
        <f>+VLOOKUP(C210,[1]Serviços!$C$6:$F$172,4,FALSE)</f>
        <v>77.02</v>
      </c>
      <c r="G210" s="20">
        <f>+ROUND(F210*E210,2)</f>
        <v>6161.6</v>
      </c>
    </row>
    <row r="211" spans="1:7" ht="14.4" x14ac:dyDescent="0.3">
      <c r="A211" s="14" t="s">
        <v>393</v>
      </c>
      <c r="B211" s="15" t="s">
        <v>176</v>
      </c>
      <c r="C211" s="19" t="s">
        <v>177</v>
      </c>
      <c r="D211" s="19" t="s">
        <v>69</v>
      </c>
      <c r="E211" s="20">
        <v>2</v>
      </c>
      <c r="F211" s="20">
        <f>+VLOOKUP(C211,[1]Serviços!$C$6:$F$172,4,FALSE)</f>
        <v>2016</v>
      </c>
      <c r="G211" s="20">
        <f>+ROUND(F211*E211,2)</f>
        <v>4032</v>
      </c>
    </row>
    <row r="212" spans="1:7" x14ac:dyDescent="0.4">
      <c r="A212" s="21"/>
      <c r="B212" s="22"/>
      <c r="C212" s="16"/>
      <c r="D212" s="19" t="s">
        <v>17</v>
      </c>
      <c r="E212" s="17"/>
      <c r="F212" s="17"/>
      <c r="G212" s="20">
        <f>SUM(G208:G211)</f>
        <v>10292.299999999999</v>
      </c>
    </row>
    <row r="213" spans="1:7" x14ac:dyDescent="0.4">
      <c r="A213" s="14" t="s">
        <v>394</v>
      </c>
      <c r="B213" s="15" t="s">
        <v>179</v>
      </c>
      <c r="C213" s="16"/>
      <c r="D213" s="16"/>
      <c r="E213" s="17"/>
      <c r="F213" s="17"/>
      <c r="G213" s="17"/>
    </row>
    <row r="214" spans="1:7" x14ac:dyDescent="0.4">
      <c r="A214" s="14" t="s">
        <v>395</v>
      </c>
      <c r="B214" s="15" t="s">
        <v>181</v>
      </c>
      <c r="C214" s="16"/>
      <c r="D214" s="16"/>
      <c r="E214" s="17"/>
      <c r="F214" s="17"/>
      <c r="G214" s="17"/>
    </row>
    <row r="215" spans="1:7" ht="14.4" x14ac:dyDescent="0.3">
      <c r="A215" s="14" t="s">
        <v>396</v>
      </c>
      <c r="B215" s="15" t="s">
        <v>183</v>
      </c>
      <c r="C215" s="19" t="s">
        <v>184</v>
      </c>
      <c r="D215" s="19" t="s">
        <v>73</v>
      </c>
      <c r="E215" s="20">
        <v>6</v>
      </c>
      <c r="F215" s="20">
        <f>+VLOOKUP(C215,[1]Serviços!$C$6:$F$172,4,FALSE)</f>
        <v>189.06</v>
      </c>
      <c r="G215" s="20">
        <f>+ROUND(F215*E215,2)</f>
        <v>1134.3599999999999</v>
      </c>
    </row>
    <row r="216" spans="1:7" ht="14.4" x14ac:dyDescent="0.3">
      <c r="A216" s="14" t="s">
        <v>397</v>
      </c>
      <c r="B216" s="15" t="s">
        <v>186</v>
      </c>
      <c r="C216" s="19" t="s">
        <v>187</v>
      </c>
      <c r="D216" s="19" t="s">
        <v>73</v>
      </c>
      <c r="E216" s="20">
        <v>6</v>
      </c>
      <c r="F216" s="20">
        <f>+VLOOKUP(C216,[1]Serviços!$C$6:$F$172,4,FALSE)</f>
        <v>172.39</v>
      </c>
      <c r="G216" s="20">
        <f>+ROUND(F216*E216,2)</f>
        <v>1034.3399999999999</v>
      </c>
    </row>
    <row r="217" spans="1:7" x14ac:dyDescent="0.4">
      <c r="A217" s="14" t="s">
        <v>398</v>
      </c>
      <c r="B217" s="15" t="s">
        <v>399</v>
      </c>
      <c r="C217" s="16"/>
      <c r="D217" s="16"/>
      <c r="E217" s="17"/>
      <c r="F217" s="17"/>
      <c r="G217" s="17"/>
    </row>
    <row r="218" spans="1:7" ht="14.4" x14ac:dyDescent="0.3">
      <c r="A218" s="14" t="s">
        <v>400</v>
      </c>
      <c r="B218" s="15" t="s">
        <v>401</v>
      </c>
      <c r="C218" s="19" t="s">
        <v>402</v>
      </c>
      <c r="D218" s="19" t="s">
        <v>73</v>
      </c>
      <c r="E218" s="20">
        <v>2</v>
      </c>
      <c r="F218" s="20">
        <f>+VLOOKUP(C218,[1]Serviços!$C$6:$F$172,4,FALSE)</f>
        <v>417.4</v>
      </c>
      <c r="G218" s="20">
        <f>+ROUND(F218*E218,2)</f>
        <v>834.8</v>
      </c>
    </row>
    <row r="219" spans="1:7" x14ac:dyDescent="0.4">
      <c r="A219" s="14" t="s">
        <v>403</v>
      </c>
      <c r="B219" s="15" t="s">
        <v>221</v>
      </c>
      <c r="C219" s="16"/>
      <c r="D219" s="16"/>
      <c r="E219" s="17"/>
      <c r="F219" s="17"/>
      <c r="G219" s="17"/>
    </row>
    <row r="220" spans="1:7" ht="14.4" x14ac:dyDescent="0.3">
      <c r="A220" s="14" t="s">
        <v>404</v>
      </c>
      <c r="B220" s="15" t="s">
        <v>223</v>
      </c>
      <c r="C220" s="19" t="s">
        <v>224</v>
      </c>
      <c r="D220" s="19" t="s">
        <v>38</v>
      </c>
      <c r="E220" s="20">
        <v>4</v>
      </c>
      <c r="F220" s="20">
        <f>+VLOOKUP(C220,[1]Serviços!$C$6:$F$172,4,FALSE)</f>
        <v>251.83</v>
      </c>
      <c r="G220" s="20">
        <f>+ROUND(F220*E220,2)</f>
        <v>1007.32</v>
      </c>
    </row>
    <row r="221" spans="1:7" x14ac:dyDescent="0.4">
      <c r="A221" s="14" t="s">
        <v>405</v>
      </c>
      <c r="B221" s="15" t="s">
        <v>333</v>
      </c>
      <c r="C221" s="16"/>
      <c r="D221" s="16"/>
      <c r="E221" s="17"/>
      <c r="F221" s="17"/>
      <c r="G221" s="17"/>
    </row>
    <row r="222" spans="1:7" ht="14.4" x14ac:dyDescent="0.3">
      <c r="A222" s="14" t="s">
        <v>406</v>
      </c>
      <c r="B222" s="15" t="s">
        <v>201</v>
      </c>
      <c r="C222" s="19" t="s">
        <v>335</v>
      </c>
      <c r="D222" s="19" t="s">
        <v>69</v>
      </c>
      <c r="E222" s="20">
        <v>2</v>
      </c>
      <c r="F222" s="20">
        <f>+VLOOKUP(C222,[1]Serviços!$C$6:$F$172,4,FALSE)</f>
        <v>3193.31</v>
      </c>
      <c r="G222" s="20">
        <f>+ROUND(F222*E222,2)</f>
        <v>6386.62</v>
      </c>
    </row>
    <row r="223" spans="1:7" ht="14.4" x14ac:dyDescent="0.3">
      <c r="A223" s="14" t="s">
        <v>407</v>
      </c>
      <c r="B223" s="15" t="s">
        <v>207</v>
      </c>
      <c r="C223" s="19" t="s">
        <v>339</v>
      </c>
      <c r="D223" s="19" t="s">
        <v>69</v>
      </c>
      <c r="E223" s="20">
        <v>4</v>
      </c>
      <c r="F223" s="20">
        <f>+VLOOKUP(C223,[1]Serviços!$C$6:$F$172,4,FALSE)</f>
        <v>4625.16</v>
      </c>
      <c r="G223" s="20">
        <f>+ROUND(F223*E223,2)</f>
        <v>18500.64</v>
      </c>
    </row>
    <row r="224" spans="1:7" x14ac:dyDescent="0.4">
      <c r="A224" s="21"/>
      <c r="B224" s="22"/>
      <c r="C224" s="16"/>
      <c r="D224" s="19" t="s">
        <v>17</v>
      </c>
      <c r="E224" s="17"/>
      <c r="F224" s="17"/>
      <c r="G224" s="20">
        <f>SUM(G215:G223)</f>
        <v>28898.080000000002</v>
      </c>
    </row>
    <row r="225" spans="1:7" x14ac:dyDescent="0.4">
      <c r="A225" s="14" t="s">
        <v>408</v>
      </c>
      <c r="B225" s="15" t="s">
        <v>229</v>
      </c>
      <c r="C225" s="16"/>
      <c r="D225" s="16"/>
      <c r="E225" s="17"/>
      <c r="F225" s="17"/>
      <c r="G225" s="17"/>
    </row>
    <row r="226" spans="1:7" x14ac:dyDescent="0.4">
      <c r="A226" s="14" t="s">
        <v>409</v>
      </c>
      <c r="B226" s="15" t="s">
        <v>231</v>
      </c>
      <c r="C226" s="16"/>
      <c r="D226" s="16"/>
      <c r="E226" s="17"/>
      <c r="F226" s="17"/>
      <c r="G226" s="17"/>
    </row>
    <row r="227" spans="1:7" ht="14.4" x14ac:dyDescent="0.3">
      <c r="A227" s="14" t="s">
        <v>410</v>
      </c>
      <c r="B227" s="15" t="s">
        <v>233</v>
      </c>
      <c r="C227" s="19" t="s">
        <v>234</v>
      </c>
      <c r="D227" s="19" t="s">
        <v>38</v>
      </c>
      <c r="E227" s="20">
        <v>80</v>
      </c>
      <c r="F227" s="20">
        <f>+VLOOKUP(C227,[1]Serviços!$C$6:$F$172,4,FALSE)</f>
        <v>3.67</v>
      </c>
      <c r="G227" s="20">
        <f>+ROUND(F227*E227,2)</f>
        <v>293.60000000000002</v>
      </c>
    </row>
    <row r="228" spans="1:7" x14ac:dyDescent="0.4">
      <c r="A228" s="14" t="s">
        <v>411</v>
      </c>
      <c r="B228" s="15" t="s">
        <v>326</v>
      </c>
      <c r="C228" s="16"/>
      <c r="D228" s="16"/>
      <c r="E228" s="17"/>
      <c r="F228" s="17"/>
      <c r="G228" s="17"/>
    </row>
    <row r="229" spans="1:7" ht="24" x14ac:dyDescent="0.3">
      <c r="A229" s="14" t="s">
        <v>412</v>
      </c>
      <c r="B229" s="15" t="s">
        <v>236</v>
      </c>
      <c r="C229" s="18">
        <v>358002</v>
      </c>
      <c r="D229" s="19" t="s">
        <v>38</v>
      </c>
      <c r="E229" s="20">
        <v>67</v>
      </c>
      <c r="F229" s="20">
        <f>+VLOOKUP(C229,[1]Serviços!$C$6:$F$172,4,FALSE)</f>
        <v>1088</v>
      </c>
      <c r="G229" s="20">
        <f>+ROUND(F229*E229,2)</f>
        <v>72896</v>
      </c>
    </row>
    <row r="230" spans="1:7" x14ac:dyDescent="0.4">
      <c r="A230" s="21"/>
      <c r="B230" s="22"/>
      <c r="C230" s="16"/>
      <c r="D230" s="19" t="s">
        <v>17</v>
      </c>
      <c r="E230" s="17"/>
      <c r="F230" s="17"/>
      <c r="G230" s="20">
        <f>SUM(G227:G229)</f>
        <v>73189.600000000006</v>
      </c>
    </row>
    <row r="231" spans="1:7" x14ac:dyDescent="0.4">
      <c r="A231" s="14" t="s">
        <v>413</v>
      </c>
      <c r="B231" s="15" t="s">
        <v>290</v>
      </c>
      <c r="C231" s="16"/>
      <c r="D231" s="16"/>
      <c r="E231" s="17"/>
      <c r="F231" s="17"/>
      <c r="G231" s="17"/>
    </row>
    <row r="232" spans="1:7" ht="14.4" x14ac:dyDescent="0.3">
      <c r="A232" s="14" t="s">
        <v>414</v>
      </c>
      <c r="B232" s="15" t="s">
        <v>415</v>
      </c>
      <c r="C232" s="18">
        <v>356006</v>
      </c>
      <c r="D232" s="19" t="s">
        <v>69</v>
      </c>
      <c r="E232" s="20">
        <v>6</v>
      </c>
      <c r="F232" s="20">
        <f>+VLOOKUP(C232,[1]Serviços!$C$6:$F$172,4,FALSE)</f>
        <v>437.4</v>
      </c>
      <c r="G232" s="20">
        <f>+ROUND(F232*E232,2)</f>
        <v>2624.4</v>
      </c>
    </row>
    <row r="233" spans="1:7" x14ac:dyDescent="0.4">
      <c r="A233" s="21"/>
      <c r="B233" s="15" t="s">
        <v>416</v>
      </c>
      <c r="C233" s="16"/>
      <c r="D233" s="16"/>
      <c r="E233" s="17"/>
      <c r="F233" s="17"/>
      <c r="G233" s="17"/>
    </row>
    <row r="234" spans="1:7" ht="14.4" x14ac:dyDescent="0.3">
      <c r="A234" s="14" t="s">
        <v>417</v>
      </c>
      <c r="B234" s="15" t="s">
        <v>418</v>
      </c>
      <c r="C234" s="18">
        <v>356015</v>
      </c>
      <c r="D234" s="19" t="s">
        <v>16</v>
      </c>
      <c r="E234" s="20">
        <v>1</v>
      </c>
      <c r="F234" s="20">
        <f>+VLOOKUP(C234,[1]Serviços!$C$6:$F$172,4,FALSE)</f>
        <v>3184</v>
      </c>
      <c r="G234" s="20">
        <f>+ROUND(F234*E234,2)</f>
        <v>3184</v>
      </c>
    </row>
    <row r="235" spans="1:7" x14ac:dyDescent="0.4">
      <c r="A235" s="21"/>
      <c r="B235" s="22"/>
      <c r="C235" s="16"/>
      <c r="D235" s="19" t="s">
        <v>17</v>
      </c>
      <c r="E235" s="17"/>
      <c r="F235" s="17"/>
      <c r="G235" s="20">
        <f>SUM(G232:G234)</f>
        <v>5808.4</v>
      </c>
    </row>
    <row r="236" spans="1:7" x14ac:dyDescent="0.4">
      <c r="A236" s="14" t="s">
        <v>419</v>
      </c>
      <c r="B236" s="15" t="s">
        <v>238</v>
      </c>
      <c r="C236" s="16"/>
      <c r="D236" s="16"/>
      <c r="E236" s="17"/>
      <c r="F236" s="17"/>
      <c r="G236" s="17"/>
    </row>
    <row r="237" spans="1:7" x14ac:dyDescent="0.4">
      <c r="A237" s="14" t="s">
        <v>420</v>
      </c>
      <c r="B237" s="15" t="s">
        <v>240</v>
      </c>
      <c r="C237" s="16"/>
      <c r="D237" s="16"/>
      <c r="E237" s="17"/>
      <c r="F237" s="17"/>
      <c r="G237" s="17"/>
    </row>
    <row r="238" spans="1:7" ht="14.4" x14ac:dyDescent="0.3">
      <c r="A238" s="14" t="s">
        <v>421</v>
      </c>
      <c r="B238" s="15" t="s">
        <v>242</v>
      </c>
      <c r="C238" s="18">
        <v>100101</v>
      </c>
      <c r="D238" s="19" t="s">
        <v>57</v>
      </c>
      <c r="E238" s="20">
        <v>110</v>
      </c>
      <c r="F238" s="20">
        <f>+VLOOKUP(C238,[1]Serviços!$C$6:$F$172,4,FALSE)</f>
        <v>15.8</v>
      </c>
      <c r="G238" s="20">
        <f>+ROUND(F238*E238,2)</f>
        <v>1738</v>
      </c>
    </row>
    <row r="239" spans="1:7" ht="14.4" x14ac:dyDescent="0.3">
      <c r="A239" s="14" t="s">
        <v>422</v>
      </c>
      <c r="B239" s="15" t="s">
        <v>246</v>
      </c>
      <c r="C239" s="18">
        <v>100103</v>
      </c>
      <c r="D239" s="19" t="s">
        <v>57</v>
      </c>
      <c r="E239" s="20">
        <v>20</v>
      </c>
      <c r="F239" s="20">
        <f>+VLOOKUP(C239,[1]Serviços!$C$6:$F$172,4,FALSE)</f>
        <v>10.16</v>
      </c>
      <c r="G239" s="20">
        <f>+ROUND(F239*E239,2)</f>
        <v>203.2</v>
      </c>
    </row>
    <row r="240" spans="1:7" ht="14.4" x14ac:dyDescent="0.3">
      <c r="A240" s="14" t="s">
        <v>423</v>
      </c>
      <c r="B240" s="15" t="s">
        <v>250</v>
      </c>
      <c r="C240" s="18">
        <v>100106</v>
      </c>
      <c r="D240" s="19" t="s">
        <v>73</v>
      </c>
      <c r="E240" s="20">
        <v>2</v>
      </c>
      <c r="F240" s="20">
        <f>+VLOOKUP(C240,[1]Serviços!$C$6:$F$172,4,FALSE)</f>
        <v>70.87</v>
      </c>
      <c r="G240" s="20">
        <f>+ROUND(F240*E240,2)</f>
        <v>141.74</v>
      </c>
    </row>
    <row r="241" spans="1:7" ht="14.4" x14ac:dyDescent="0.3">
      <c r="A241" s="14" t="s">
        <v>424</v>
      </c>
      <c r="B241" s="15" t="s">
        <v>252</v>
      </c>
      <c r="C241" s="18">
        <v>100107</v>
      </c>
      <c r="D241" s="19" t="s">
        <v>38</v>
      </c>
      <c r="E241" s="20">
        <v>5</v>
      </c>
      <c r="F241" s="20">
        <f>+VLOOKUP(C241,[1]Serviços!$C$6:$F$172,4,FALSE)</f>
        <v>13.63</v>
      </c>
      <c r="G241" s="20">
        <f>+ROUND(F241*E241,2)</f>
        <v>68.150000000000006</v>
      </c>
    </row>
    <row r="242" spans="1:7" x14ac:dyDescent="0.4">
      <c r="A242" s="14" t="s">
        <v>425</v>
      </c>
      <c r="B242" s="15" t="s">
        <v>260</v>
      </c>
      <c r="C242" s="16"/>
      <c r="D242" s="16"/>
      <c r="E242" s="17"/>
      <c r="F242" s="17"/>
      <c r="G242" s="17"/>
    </row>
    <row r="243" spans="1:7" ht="14.4" x14ac:dyDescent="0.3">
      <c r="A243" s="14" t="s">
        <v>426</v>
      </c>
      <c r="B243" s="15" t="s">
        <v>262</v>
      </c>
      <c r="C243" s="18">
        <v>100312</v>
      </c>
      <c r="D243" s="19" t="s">
        <v>73</v>
      </c>
      <c r="E243" s="20">
        <v>2</v>
      </c>
      <c r="F243" s="20">
        <f>+VLOOKUP(C243,[1]Serviços!$C$6:$F$172,4,FALSE)</f>
        <v>478.05</v>
      </c>
      <c r="G243" s="20">
        <f>+ROUND(F243*E243,2)</f>
        <v>956.1</v>
      </c>
    </row>
    <row r="244" spans="1:7" ht="14.4" x14ac:dyDescent="0.3">
      <c r="A244" s="14" t="s">
        <v>427</v>
      </c>
      <c r="B244" s="15" t="s">
        <v>268</v>
      </c>
      <c r="C244" s="18">
        <v>100305</v>
      </c>
      <c r="D244" s="19" t="s">
        <v>57</v>
      </c>
      <c r="E244" s="20">
        <v>20</v>
      </c>
      <c r="F244" s="20">
        <f>+VLOOKUP(C244,[1]Serviços!$C$6:$F$172,4,FALSE)</f>
        <v>69.48</v>
      </c>
      <c r="G244" s="20">
        <f>+ROUND(F244*E244,2)</f>
        <v>1389.6</v>
      </c>
    </row>
    <row r="245" spans="1:7" ht="14.4" x14ac:dyDescent="0.3">
      <c r="A245" s="14" t="s">
        <v>428</v>
      </c>
      <c r="B245" s="15" t="s">
        <v>274</v>
      </c>
      <c r="C245" s="18">
        <v>100310</v>
      </c>
      <c r="D245" s="19" t="s">
        <v>38</v>
      </c>
      <c r="E245" s="20">
        <v>5</v>
      </c>
      <c r="F245" s="20">
        <f>+VLOOKUP(C245,[1]Serviços!$C$6:$F$172,4,FALSE)</f>
        <v>8.6999999999999993</v>
      </c>
      <c r="G245" s="20">
        <f>+ROUND(F245*E245,2)</f>
        <v>43.5</v>
      </c>
    </row>
    <row r="246" spans="1:7" ht="14.4" x14ac:dyDescent="0.3">
      <c r="A246" s="14" t="s">
        <v>429</v>
      </c>
      <c r="B246" s="15" t="s">
        <v>276</v>
      </c>
      <c r="C246" s="18">
        <v>100311</v>
      </c>
      <c r="D246" s="19" t="s">
        <v>38</v>
      </c>
      <c r="E246" s="20">
        <v>5</v>
      </c>
      <c r="F246" s="20">
        <f>+VLOOKUP(C246,[1]Serviços!$C$6:$F$172,4,FALSE)</f>
        <v>25.33</v>
      </c>
      <c r="G246" s="20">
        <f>+ROUND(F246*E246,2)</f>
        <v>126.65</v>
      </c>
    </row>
    <row r="247" spans="1:7" x14ac:dyDescent="0.4">
      <c r="A247" s="14" t="s">
        <v>430</v>
      </c>
      <c r="B247" s="15" t="s">
        <v>278</v>
      </c>
      <c r="C247" s="16"/>
      <c r="D247" s="16"/>
      <c r="E247" s="17"/>
      <c r="F247" s="17"/>
      <c r="G247" s="17"/>
    </row>
    <row r="248" spans="1:7" ht="14.4" x14ac:dyDescent="0.3">
      <c r="A248" s="14" t="s">
        <v>431</v>
      </c>
      <c r="B248" s="15" t="s">
        <v>286</v>
      </c>
      <c r="C248" s="18">
        <v>100407</v>
      </c>
      <c r="D248" s="19" t="s">
        <v>73</v>
      </c>
      <c r="E248" s="20">
        <v>12</v>
      </c>
      <c r="F248" s="20">
        <f>+VLOOKUP(C248,[1]Serviços!$C$6:$F$172,4,FALSE)</f>
        <v>374.48</v>
      </c>
      <c r="G248" s="20">
        <f>+ROUND(F248*E248,2)</f>
        <v>4493.76</v>
      </c>
    </row>
    <row r="249" spans="1:7" ht="14.4" x14ac:dyDescent="0.3">
      <c r="A249" s="14" t="s">
        <v>432</v>
      </c>
      <c r="B249" s="15" t="s">
        <v>280</v>
      </c>
      <c r="C249" s="18">
        <v>100401</v>
      </c>
      <c r="D249" s="19" t="s">
        <v>57</v>
      </c>
      <c r="E249" s="20">
        <v>110</v>
      </c>
      <c r="F249" s="20">
        <f>+VLOOKUP(C249,[1]Serviços!$C$6:$F$172,4,FALSE)</f>
        <v>10.41</v>
      </c>
      <c r="G249" s="20">
        <f>+ROUND(F249*E249,2)</f>
        <v>1145.0999999999999</v>
      </c>
    </row>
    <row r="250" spans="1:7" ht="14.4" x14ac:dyDescent="0.3">
      <c r="A250" s="14" t="s">
        <v>433</v>
      </c>
      <c r="B250" s="15" t="s">
        <v>282</v>
      </c>
      <c r="C250" s="18">
        <v>100404</v>
      </c>
      <c r="D250" s="19" t="s">
        <v>57</v>
      </c>
      <c r="E250" s="20">
        <v>110</v>
      </c>
      <c r="F250" s="20">
        <f>+VLOOKUP(C250,[1]Serviços!$C$6:$F$172,4,FALSE)</f>
        <v>4.71</v>
      </c>
      <c r="G250" s="20">
        <f>+ROUND(F250*E250,2)</f>
        <v>518.1</v>
      </c>
    </row>
    <row r="251" spans="1:7" ht="14.4" x14ac:dyDescent="0.3">
      <c r="A251" s="14" t="s">
        <v>434</v>
      </c>
      <c r="B251" s="15" t="s">
        <v>284</v>
      </c>
      <c r="C251" s="18">
        <v>100406</v>
      </c>
      <c r="D251" s="19" t="s">
        <v>73</v>
      </c>
      <c r="E251" s="20">
        <v>6</v>
      </c>
      <c r="F251" s="20">
        <f>+VLOOKUP(C251,[1]Serviços!$C$6:$F$172,4,FALSE)</f>
        <v>644.15</v>
      </c>
      <c r="G251" s="20">
        <f>+ROUND(F251*E251,2)</f>
        <v>3864.9</v>
      </c>
    </row>
    <row r="252" spans="1:7" x14ac:dyDescent="0.4">
      <c r="A252" s="21"/>
      <c r="B252" s="22"/>
      <c r="C252" s="16"/>
      <c r="D252" s="19" t="s">
        <v>17</v>
      </c>
      <c r="E252" s="17"/>
      <c r="F252" s="17"/>
      <c r="G252" s="20">
        <f>SUM(G238:G251)</f>
        <v>14688.800000000001</v>
      </c>
    </row>
    <row r="253" spans="1:7" x14ac:dyDescent="0.4">
      <c r="A253" s="21"/>
      <c r="B253" s="22"/>
      <c r="C253" s="16"/>
      <c r="D253" s="19" t="s">
        <v>295</v>
      </c>
      <c r="E253" s="17"/>
      <c r="F253" s="17"/>
      <c r="G253" s="20">
        <f>SUM(G163:G252)/2</f>
        <v>183959.48000000004</v>
      </c>
    </row>
    <row r="254" spans="1:7" ht="16.8" x14ac:dyDescent="0.45">
      <c r="A254" s="23" t="s">
        <v>435</v>
      </c>
      <c r="B254" s="24" t="s">
        <v>436</v>
      </c>
      <c r="C254" s="25"/>
      <c r="D254" s="25"/>
      <c r="E254" s="26"/>
      <c r="F254" s="26"/>
      <c r="G254" s="26"/>
    </row>
    <row r="255" spans="1:7" x14ac:dyDescent="0.4">
      <c r="A255" s="14" t="s">
        <v>437</v>
      </c>
      <c r="B255" s="15" t="s">
        <v>299</v>
      </c>
      <c r="C255" s="16"/>
      <c r="D255" s="16"/>
      <c r="E255" s="17"/>
      <c r="F255" s="17"/>
      <c r="G255" s="17"/>
    </row>
    <row r="256" spans="1:7" x14ac:dyDescent="0.4">
      <c r="A256" s="14" t="s">
        <v>438</v>
      </c>
      <c r="B256" s="15" t="s">
        <v>34</v>
      </c>
      <c r="C256" s="16"/>
      <c r="D256" s="16"/>
      <c r="E256" s="17"/>
      <c r="F256" s="17"/>
      <c r="G256" s="17"/>
    </row>
    <row r="257" spans="1:7" ht="14.4" x14ac:dyDescent="0.3">
      <c r="A257" s="14" t="s">
        <v>439</v>
      </c>
      <c r="B257" s="15" t="s">
        <v>344</v>
      </c>
      <c r="C257" s="19" t="s">
        <v>345</v>
      </c>
      <c r="D257" s="19" t="s">
        <v>38</v>
      </c>
      <c r="E257" s="20">
        <v>41.5</v>
      </c>
      <c r="F257" s="20">
        <f>+VLOOKUP(C257,[1]Serviços!$C$6:$F$172,4,FALSE)</f>
        <v>3.49</v>
      </c>
      <c r="G257" s="20">
        <f>+ROUND(F257*E257,2)</f>
        <v>144.84</v>
      </c>
    </row>
    <row r="258" spans="1:7" ht="14.4" x14ac:dyDescent="0.3">
      <c r="A258" s="14" t="s">
        <v>440</v>
      </c>
      <c r="B258" s="15" t="s">
        <v>347</v>
      </c>
      <c r="C258" s="19" t="s">
        <v>348</v>
      </c>
      <c r="D258" s="19" t="s">
        <v>38</v>
      </c>
      <c r="E258" s="20">
        <v>41.5</v>
      </c>
      <c r="F258" s="20">
        <f>+VLOOKUP(C258,[1]Serviços!$C$6:$F$172,4,FALSE)</f>
        <v>0.84</v>
      </c>
      <c r="G258" s="20">
        <f>+ROUND(F258*E258,2)</f>
        <v>34.86</v>
      </c>
    </row>
    <row r="259" spans="1:7" x14ac:dyDescent="0.4">
      <c r="A259" s="21"/>
      <c r="B259" s="22"/>
      <c r="C259" s="16"/>
      <c r="D259" s="19" t="s">
        <v>17</v>
      </c>
      <c r="E259" s="17"/>
      <c r="F259" s="17"/>
      <c r="G259" s="20">
        <f>SUM(G257:G258)</f>
        <v>179.7</v>
      </c>
    </row>
    <row r="260" spans="1:7" x14ac:dyDescent="0.4">
      <c r="A260" s="14" t="s">
        <v>441</v>
      </c>
      <c r="B260" s="15" t="s">
        <v>43</v>
      </c>
      <c r="C260" s="16"/>
      <c r="D260" s="16"/>
      <c r="E260" s="17"/>
      <c r="F260" s="17"/>
      <c r="G260" s="17"/>
    </row>
    <row r="261" spans="1:7" x14ac:dyDescent="0.4">
      <c r="A261" s="14" t="s">
        <v>442</v>
      </c>
      <c r="B261" s="15" t="s">
        <v>45</v>
      </c>
      <c r="C261" s="16"/>
      <c r="D261" s="16"/>
      <c r="E261" s="17"/>
      <c r="F261" s="17"/>
      <c r="G261" s="17"/>
    </row>
    <row r="262" spans="1:7" ht="14.4" x14ac:dyDescent="0.3">
      <c r="A262" s="14" t="s">
        <v>443</v>
      </c>
      <c r="B262" s="15" t="s">
        <v>47</v>
      </c>
      <c r="C262" s="19" t="s">
        <v>48</v>
      </c>
      <c r="D262" s="19" t="s">
        <v>38</v>
      </c>
      <c r="E262" s="20">
        <v>41.5</v>
      </c>
      <c r="F262" s="20">
        <f>+VLOOKUP(C262,[1]Serviços!$C$6:$F$172,4,FALSE)</f>
        <v>2.41</v>
      </c>
      <c r="G262" s="20">
        <f>+ROUND(F262*E262,2)</f>
        <v>100.02</v>
      </c>
    </row>
    <row r="263" spans="1:7" ht="14.4" x14ac:dyDescent="0.3">
      <c r="A263" s="14" t="s">
        <v>444</v>
      </c>
      <c r="B263" s="15" t="s">
        <v>50</v>
      </c>
      <c r="C263" s="19" t="s">
        <v>51</v>
      </c>
      <c r="D263" s="19" t="s">
        <v>38</v>
      </c>
      <c r="E263" s="20">
        <v>41.5</v>
      </c>
      <c r="F263" s="20">
        <f>+VLOOKUP(C263,[1]Serviços!$C$6:$F$172,4,FALSE)</f>
        <v>4.34</v>
      </c>
      <c r="G263" s="20">
        <f>+ROUND(F263*E263,2)</f>
        <v>180.11</v>
      </c>
    </row>
    <row r="264" spans="1:7" x14ac:dyDescent="0.4">
      <c r="A264" s="14" t="s">
        <v>445</v>
      </c>
      <c r="B264" s="15" t="s">
        <v>53</v>
      </c>
      <c r="C264" s="16"/>
      <c r="D264" s="16"/>
      <c r="E264" s="17"/>
      <c r="F264" s="17"/>
      <c r="G264" s="17"/>
    </row>
    <row r="265" spans="1:7" ht="14.4" x14ac:dyDescent="0.3">
      <c r="A265" s="14" t="s">
        <v>446</v>
      </c>
      <c r="B265" s="15" t="s">
        <v>59</v>
      </c>
      <c r="C265" s="19" t="s">
        <v>60</v>
      </c>
      <c r="D265" s="19" t="s">
        <v>57</v>
      </c>
      <c r="E265" s="20">
        <v>20</v>
      </c>
      <c r="F265" s="20">
        <f>+VLOOKUP(C265,[1]Serviços!$C$6:$F$172,4,FALSE)</f>
        <v>56.19</v>
      </c>
      <c r="G265" s="20">
        <f>+ROUND(F265*E265,2)</f>
        <v>1123.8</v>
      </c>
    </row>
    <row r="266" spans="1:7" x14ac:dyDescent="0.4">
      <c r="A266" s="21"/>
      <c r="B266" s="22"/>
      <c r="C266" s="16"/>
      <c r="D266" s="19" t="s">
        <v>17</v>
      </c>
      <c r="E266" s="17"/>
      <c r="F266" s="17"/>
      <c r="G266" s="20">
        <f>SUM(G262:G265)</f>
        <v>1403.9299999999998</v>
      </c>
    </row>
    <row r="267" spans="1:7" x14ac:dyDescent="0.4">
      <c r="A267" s="14" t="s">
        <v>447</v>
      </c>
      <c r="B267" s="15" t="s">
        <v>87</v>
      </c>
      <c r="C267" s="16"/>
      <c r="D267" s="16"/>
      <c r="E267" s="17"/>
      <c r="F267" s="17"/>
      <c r="G267" s="17"/>
    </row>
    <row r="268" spans="1:7" x14ac:dyDescent="0.4">
      <c r="A268" s="14" t="s">
        <v>448</v>
      </c>
      <c r="B268" s="15" t="s">
        <v>89</v>
      </c>
      <c r="C268" s="16"/>
      <c r="D268" s="16"/>
      <c r="E268" s="17"/>
      <c r="F268" s="17"/>
      <c r="G268" s="17"/>
    </row>
    <row r="269" spans="1:7" ht="14.4" x14ac:dyDescent="0.3">
      <c r="A269" s="14" t="s">
        <v>449</v>
      </c>
      <c r="B269" s="15" t="s">
        <v>94</v>
      </c>
      <c r="C269" s="19" t="s">
        <v>95</v>
      </c>
      <c r="D269" s="19" t="s">
        <v>73</v>
      </c>
      <c r="E269" s="20">
        <v>40</v>
      </c>
      <c r="F269" s="20">
        <f>+VLOOKUP(C269,[1]Serviços!$C$6:$F$172,4,FALSE)</f>
        <v>7.69</v>
      </c>
      <c r="G269" s="20">
        <f>+ROUND(F269*E269,2)</f>
        <v>307.60000000000002</v>
      </c>
    </row>
    <row r="270" spans="1:7" x14ac:dyDescent="0.4">
      <c r="A270" s="14" t="s">
        <v>450</v>
      </c>
      <c r="B270" s="15" t="s">
        <v>108</v>
      </c>
      <c r="C270" s="16"/>
      <c r="D270" s="16"/>
      <c r="E270" s="17"/>
      <c r="F270" s="17"/>
      <c r="G270" s="17"/>
    </row>
    <row r="271" spans="1:7" ht="14.4" x14ac:dyDescent="0.3">
      <c r="A271" s="14" t="s">
        <v>451</v>
      </c>
      <c r="B271" s="15" t="s">
        <v>110</v>
      </c>
      <c r="C271" s="19" t="s">
        <v>111</v>
      </c>
      <c r="D271" s="19" t="s">
        <v>73</v>
      </c>
      <c r="E271" s="20">
        <v>160</v>
      </c>
      <c r="F271" s="20">
        <f>+VLOOKUP(C271,[1]Serviços!$C$6:$F$172,4,FALSE)</f>
        <v>6.26</v>
      </c>
      <c r="G271" s="20">
        <f>+ROUND(F271*E271,2)</f>
        <v>1001.6</v>
      </c>
    </row>
    <row r="272" spans="1:7" x14ac:dyDescent="0.4">
      <c r="A272" s="14" t="s">
        <v>452</v>
      </c>
      <c r="B272" s="15" t="s">
        <v>122</v>
      </c>
      <c r="C272" s="16"/>
      <c r="D272" s="16"/>
      <c r="E272" s="17"/>
      <c r="F272" s="17"/>
      <c r="G272" s="17"/>
    </row>
    <row r="273" spans="1:7" ht="14.4" x14ac:dyDescent="0.3">
      <c r="A273" s="14" t="s">
        <v>453</v>
      </c>
      <c r="B273" s="15" t="s">
        <v>124</v>
      </c>
      <c r="C273" s="19" t="s">
        <v>125</v>
      </c>
      <c r="D273" s="19" t="s">
        <v>73</v>
      </c>
      <c r="E273" s="20">
        <v>21</v>
      </c>
      <c r="F273" s="20">
        <f>+VLOOKUP(C273,[1]Serviços!$C$6:$F$172,4,FALSE)</f>
        <v>12.26</v>
      </c>
      <c r="G273" s="20">
        <f>+ROUND(F273*E273,2)</f>
        <v>257.45999999999998</v>
      </c>
    </row>
    <row r="274" spans="1:7" ht="24" x14ac:dyDescent="0.3">
      <c r="A274" s="14" t="s">
        <v>454</v>
      </c>
      <c r="B274" s="15" t="s">
        <v>127</v>
      </c>
      <c r="C274" s="19" t="s">
        <v>128</v>
      </c>
      <c r="D274" s="19" t="s">
        <v>73</v>
      </c>
      <c r="E274" s="20">
        <v>140</v>
      </c>
      <c r="F274" s="20">
        <f>+VLOOKUP(C274,[1]Serviços!$C$6:$F$172,4,FALSE)</f>
        <v>14.3</v>
      </c>
      <c r="G274" s="20">
        <f>+ROUND(F274*E274,2)</f>
        <v>2002</v>
      </c>
    </row>
    <row r="275" spans="1:7" x14ac:dyDescent="0.4">
      <c r="A275" s="14" t="s">
        <v>455</v>
      </c>
      <c r="B275" s="15" t="s">
        <v>130</v>
      </c>
      <c r="C275" s="16"/>
      <c r="D275" s="16"/>
      <c r="E275" s="17"/>
      <c r="F275" s="17"/>
      <c r="G275" s="17"/>
    </row>
    <row r="276" spans="1:7" ht="14.4" x14ac:dyDescent="0.3">
      <c r="A276" s="14" t="s">
        <v>456</v>
      </c>
      <c r="B276" s="15" t="s">
        <v>132</v>
      </c>
      <c r="C276" s="19" t="s">
        <v>133</v>
      </c>
      <c r="D276" s="19" t="s">
        <v>134</v>
      </c>
      <c r="E276" s="20">
        <v>800</v>
      </c>
      <c r="F276" s="20">
        <f>+VLOOKUP(C276,[1]Serviços!$C$6:$F$172,4,FALSE)</f>
        <v>1.61</v>
      </c>
      <c r="G276" s="20">
        <f>+ROUND(F276*E276,2)</f>
        <v>1288</v>
      </c>
    </row>
    <row r="277" spans="1:7" x14ac:dyDescent="0.4">
      <c r="A277" s="21"/>
      <c r="B277" s="22"/>
      <c r="C277" s="16"/>
      <c r="D277" s="19" t="s">
        <v>17</v>
      </c>
      <c r="E277" s="17"/>
      <c r="F277" s="17"/>
      <c r="G277" s="20">
        <f>SUM(G269:G276)</f>
        <v>4856.66</v>
      </c>
    </row>
    <row r="278" spans="1:7" x14ac:dyDescent="0.4">
      <c r="A278" s="14" t="s">
        <v>457</v>
      </c>
      <c r="B278" s="15" t="s">
        <v>136</v>
      </c>
      <c r="C278" s="16"/>
      <c r="D278" s="16"/>
      <c r="E278" s="17"/>
      <c r="F278" s="17"/>
      <c r="G278" s="17"/>
    </row>
    <row r="279" spans="1:7" x14ac:dyDescent="0.4">
      <c r="A279" s="14" t="s">
        <v>458</v>
      </c>
      <c r="B279" s="15" t="s">
        <v>138</v>
      </c>
      <c r="C279" s="16"/>
      <c r="D279" s="16"/>
      <c r="E279" s="17"/>
      <c r="F279" s="17"/>
      <c r="G279" s="17"/>
    </row>
    <row r="280" spans="1:7" ht="14.4" x14ac:dyDescent="0.3">
      <c r="A280" s="14" t="s">
        <v>459</v>
      </c>
      <c r="B280" s="15" t="s">
        <v>149</v>
      </c>
      <c r="C280" s="19" t="s">
        <v>150</v>
      </c>
      <c r="D280" s="19" t="s">
        <v>57</v>
      </c>
      <c r="E280" s="20">
        <v>180</v>
      </c>
      <c r="F280" s="20">
        <f>+VLOOKUP(C280,[1]Serviços!$C$6:$F$172,4,FALSE)</f>
        <v>46.46</v>
      </c>
      <c r="G280" s="20">
        <f>+ROUND(F280*E280,2)</f>
        <v>8362.7999999999993</v>
      </c>
    </row>
    <row r="281" spans="1:7" x14ac:dyDescent="0.4">
      <c r="A281" s="21"/>
      <c r="B281" s="22"/>
      <c r="C281" s="16"/>
      <c r="D281" s="19" t="s">
        <v>17</v>
      </c>
      <c r="E281" s="17"/>
      <c r="F281" s="17"/>
      <c r="G281" s="20">
        <f>SUM(G280)</f>
        <v>8362.7999999999993</v>
      </c>
    </row>
    <row r="282" spans="1:7" x14ac:dyDescent="0.4">
      <c r="A282" s="14" t="s">
        <v>460</v>
      </c>
      <c r="B282" s="15" t="s">
        <v>157</v>
      </c>
      <c r="C282" s="16"/>
      <c r="D282" s="16"/>
      <c r="E282" s="17"/>
      <c r="F282" s="17"/>
      <c r="G282" s="17"/>
    </row>
    <row r="283" spans="1:7" x14ac:dyDescent="0.4">
      <c r="A283" s="14" t="s">
        <v>461</v>
      </c>
      <c r="B283" s="15" t="s">
        <v>159</v>
      </c>
      <c r="C283" s="16"/>
      <c r="D283" s="16"/>
      <c r="E283" s="17"/>
      <c r="F283" s="17"/>
      <c r="G283" s="17"/>
    </row>
    <row r="284" spans="1:7" ht="14.4" x14ac:dyDescent="0.3">
      <c r="A284" s="14" t="s">
        <v>462</v>
      </c>
      <c r="B284" s="15" t="s">
        <v>161</v>
      </c>
      <c r="C284" s="19" t="s">
        <v>162</v>
      </c>
      <c r="D284" s="19" t="s">
        <v>163</v>
      </c>
      <c r="E284" s="20">
        <v>700</v>
      </c>
      <c r="F284" s="20">
        <f>+VLOOKUP(C284,[1]Serviços!$C$6:$F$172,4,FALSE)</f>
        <v>1.41</v>
      </c>
      <c r="G284" s="20">
        <f>+ROUND(F284*E284,2)</f>
        <v>987</v>
      </c>
    </row>
    <row r="285" spans="1:7" x14ac:dyDescent="0.4">
      <c r="A285" s="14" t="s">
        <v>463</v>
      </c>
      <c r="B285" s="15" t="s">
        <v>165</v>
      </c>
      <c r="C285" s="16"/>
      <c r="D285" s="16"/>
      <c r="E285" s="17"/>
      <c r="F285" s="17"/>
      <c r="G285" s="17"/>
    </row>
    <row r="286" spans="1:7" ht="14.4" x14ac:dyDescent="0.3">
      <c r="A286" s="14" t="s">
        <v>464</v>
      </c>
      <c r="B286" s="15" t="s">
        <v>167</v>
      </c>
      <c r="C286" s="19" t="s">
        <v>168</v>
      </c>
      <c r="D286" s="19" t="s">
        <v>38</v>
      </c>
      <c r="E286" s="20">
        <v>40</v>
      </c>
      <c r="F286" s="20">
        <f>+VLOOKUP(C286,[1]Serviços!$C$6:$F$172,4,FALSE)</f>
        <v>77.02</v>
      </c>
      <c r="G286" s="20">
        <f>+ROUND(F286*E286,2)</f>
        <v>3080.8</v>
      </c>
    </row>
    <row r="287" spans="1:7" ht="14.4" x14ac:dyDescent="0.3">
      <c r="A287" s="14" t="s">
        <v>465</v>
      </c>
      <c r="B287" s="15" t="s">
        <v>176</v>
      </c>
      <c r="C287" s="19" t="s">
        <v>177</v>
      </c>
      <c r="D287" s="19" t="s">
        <v>69</v>
      </c>
      <c r="E287" s="20">
        <v>1</v>
      </c>
      <c r="F287" s="20">
        <f>+VLOOKUP(C287,[1]Serviços!$C$6:$F$172,4,FALSE)</f>
        <v>2016</v>
      </c>
      <c r="G287" s="20">
        <f>+ROUND(F287*E287,2)</f>
        <v>2016</v>
      </c>
    </row>
    <row r="288" spans="1:7" x14ac:dyDescent="0.4">
      <c r="A288" s="21"/>
      <c r="B288" s="22"/>
      <c r="C288" s="16"/>
      <c r="D288" s="19" t="s">
        <v>17</v>
      </c>
      <c r="E288" s="17"/>
      <c r="F288" s="17"/>
      <c r="G288" s="20">
        <f>SUM(G284:G287)</f>
        <v>6083.8</v>
      </c>
    </row>
    <row r="289" spans="1:7" x14ac:dyDescent="0.4">
      <c r="A289" s="14" t="s">
        <v>466</v>
      </c>
      <c r="B289" s="15" t="s">
        <v>179</v>
      </c>
      <c r="C289" s="16"/>
      <c r="D289" s="16"/>
      <c r="E289" s="17"/>
      <c r="F289" s="17"/>
      <c r="G289" s="17"/>
    </row>
    <row r="290" spans="1:7" x14ac:dyDescent="0.4">
      <c r="A290" s="14" t="s">
        <v>467</v>
      </c>
      <c r="B290" s="15" t="s">
        <v>181</v>
      </c>
      <c r="C290" s="16"/>
      <c r="D290" s="16"/>
      <c r="E290" s="17"/>
      <c r="F290" s="17"/>
      <c r="G290" s="17"/>
    </row>
    <row r="291" spans="1:7" ht="14.4" x14ac:dyDescent="0.3">
      <c r="A291" s="14" t="s">
        <v>468</v>
      </c>
      <c r="B291" s="15" t="s">
        <v>183</v>
      </c>
      <c r="C291" s="19" t="s">
        <v>184</v>
      </c>
      <c r="D291" s="19" t="s">
        <v>73</v>
      </c>
      <c r="E291" s="20">
        <v>4</v>
      </c>
      <c r="F291" s="20">
        <f>+VLOOKUP(C291,[1]Serviços!$C$6:$F$172,4,FALSE)</f>
        <v>189.06</v>
      </c>
      <c r="G291" s="20">
        <f>+ROUND(F291*E291,2)</f>
        <v>756.24</v>
      </c>
    </row>
    <row r="292" spans="1:7" ht="14.4" x14ac:dyDescent="0.3">
      <c r="A292" s="14" t="s">
        <v>469</v>
      </c>
      <c r="B292" s="15" t="s">
        <v>186</v>
      </c>
      <c r="C292" s="19" t="s">
        <v>187</v>
      </c>
      <c r="D292" s="19" t="s">
        <v>73</v>
      </c>
      <c r="E292" s="20">
        <v>10</v>
      </c>
      <c r="F292" s="20">
        <f>+VLOOKUP(C292,[1]Serviços!$C$6:$F$172,4,FALSE)</f>
        <v>172.39</v>
      </c>
      <c r="G292" s="20">
        <f>+ROUND(F292*E292,2)</f>
        <v>1723.9</v>
      </c>
    </row>
    <row r="293" spans="1:7" ht="14.4" x14ac:dyDescent="0.3">
      <c r="A293" s="14" t="s">
        <v>470</v>
      </c>
      <c r="B293" s="15" t="s">
        <v>471</v>
      </c>
      <c r="C293" s="19" t="s">
        <v>472</v>
      </c>
      <c r="D293" s="19" t="s">
        <v>73</v>
      </c>
      <c r="E293" s="20">
        <v>8</v>
      </c>
      <c r="F293" s="20">
        <f>+VLOOKUP(C293,[1]Serviços!$C$6:$F$172,4,FALSE)</f>
        <v>168.92</v>
      </c>
      <c r="G293" s="20">
        <f>+ROUND(F293*E293,2)</f>
        <v>1351.36</v>
      </c>
    </row>
    <row r="294" spans="1:7" x14ac:dyDescent="0.4">
      <c r="A294" s="14" t="s">
        <v>473</v>
      </c>
      <c r="B294" s="15" t="s">
        <v>333</v>
      </c>
      <c r="C294" s="16"/>
      <c r="D294" s="16"/>
      <c r="E294" s="17"/>
      <c r="F294" s="17"/>
      <c r="G294" s="17"/>
    </row>
    <row r="295" spans="1:7" ht="14.4" x14ac:dyDescent="0.3">
      <c r="A295" s="14" t="s">
        <v>474</v>
      </c>
      <c r="B295" s="15" t="s">
        <v>201</v>
      </c>
      <c r="C295" s="19" t="s">
        <v>335</v>
      </c>
      <c r="D295" s="19" t="s">
        <v>69</v>
      </c>
      <c r="E295" s="20">
        <v>2</v>
      </c>
      <c r="F295" s="20">
        <f>+VLOOKUP(C295,[1]Serviços!$C$6:$F$172,4,FALSE)</f>
        <v>3193.31</v>
      </c>
      <c r="G295" s="20">
        <f>+ROUND(F295*E295,2)</f>
        <v>6386.62</v>
      </c>
    </row>
    <row r="296" spans="1:7" x14ac:dyDescent="0.4">
      <c r="A296" s="14" t="s">
        <v>475</v>
      </c>
      <c r="B296" s="15" t="s">
        <v>221</v>
      </c>
      <c r="C296" s="16"/>
      <c r="D296" s="16"/>
      <c r="E296" s="17"/>
      <c r="F296" s="17"/>
      <c r="G296" s="17"/>
    </row>
    <row r="297" spans="1:7" ht="14.4" x14ac:dyDescent="0.3">
      <c r="A297" s="14" t="s">
        <v>476</v>
      </c>
      <c r="B297" s="15" t="s">
        <v>223</v>
      </c>
      <c r="C297" s="19" t="s">
        <v>224</v>
      </c>
      <c r="D297" s="19" t="s">
        <v>38</v>
      </c>
      <c r="E297" s="20">
        <v>1</v>
      </c>
      <c r="F297" s="20">
        <f>+VLOOKUP(C297,[1]Serviços!$C$6:$F$172,4,FALSE)</f>
        <v>251.83</v>
      </c>
      <c r="G297" s="20">
        <f>+ROUND(F297*E297,2)</f>
        <v>251.83</v>
      </c>
    </row>
    <row r="298" spans="1:7" x14ac:dyDescent="0.4">
      <c r="A298" s="21"/>
      <c r="B298" s="22"/>
      <c r="C298" s="16"/>
      <c r="D298" s="19" t="s">
        <v>17</v>
      </c>
      <c r="E298" s="17"/>
      <c r="F298" s="17"/>
      <c r="G298" s="20">
        <f>SUM(G291:G297)</f>
        <v>10469.949999999999</v>
      </c>
    </row>
    <row r="299" spans="1:7" x14ac:dyDescent="0.4">
      <c r="A299" s="14" t="s">
        <v>477</v>
      </c>
      <c r="B299" s="15" t="s">
        <v>229</v>
      </c>
      <c r="C299" s="16"/>
      <c r="D299" s="16"/>
      <c r="E299" s="17"/>
      <c r="F299" s="17"/>
      <c r="G299" s="17"/>
    </row>
    <row r="300" spans="1:7" x14ac:dyDescent="0.4">
      <c r="A300" s="14" t="s">
        <v>478</v>
      </c>
      <c r="B300" s="15" t="s">
        <v>231</v>
      </c>
      <c r="C300" s="16"/>
      <c r="D300" s="16"/>
      <c r="E300" s="17"/>
      <c r="F300" s="17"/>
      <c r="G300" s="17"/>
    </row>
    <row r="301" spans="1:7" ht="14.4" x14ac:dyDescent="0.3">
      <c r="A301" s="14" t="s">
        <v>479</v>
      </c>
      <c r="B301" s="15" t="s">
        <v>480</v>
      </c>
      <c r="C301" s="19" t="s">
        <v>481</v>
      </c>
      <c r="D301" s="19" t="s">
        <v>38</v>
      </c>
      <c r="E301" s="20">
        <v>41.5</v>
      </c>
      <c r="F301" s="20">
        <f>+VLOOKUP(C301,[1]Serviços!$C$6:$F$172,4,FALSE)</f>
        <v>5.5</v>
      </c>
      <c r="G301" s="20">
        <f>+ROUND(F301*E301,2)</f>
        <v>228.25</v>
      </c>
    </row>
    <row r="302" spans="1:7" x14ac:dyDescent="0.4">
      <c r="A302" s="21"/>
      <c r="B302" s="22"/>
      <c r="C302" s="16"/>
      <c r="D302" s="19" t="s">
        <v>17</v>
      </c>
      <c r="E302" s="17"/>
      <c r="F302" s="17"/>
      <c r="G302" s="20">
        <f>SUM(G301)</f>
        <v>228.25</v>
      </c>
    </row>
    <row r="303" spans="1:7" x14ac:dyDescent="0.4">
      <c r="A303" s="14" t="s">
        <v>482</v>
      </c>
      <c r="B303" s="15" t="s">
        <v>290</v>
      </c>
      <c r="C303" s="16"/>
      <c r="D303" s="16"/>
      <c r="E303" s="17"/>
      <c r="F303" s="17"/>
      <c r="G303" s="17"/>
    </row>
    <row r="304" spans="1:7" ht="14.4" x14ac:dyDescent="0.3">
      <c r="A304" s="14" t="s">
        <v>483</v>
      </c>
      <c r="B304" s="15" t="s">
        <v>294</v>
      </c>
      <c r="C304" s="18">
        <v>356006</v>
      </c>
      <c r="D304" s="19" t="s">
        <v>69</v>
      </c>
      <c r="E304" s="20">
        <v>2</v>
      </c>
      <c r="F304" s="20">
        <f>+VLOOKUP(C304,[1]Serviços!$C$6:$F$172,4,FALSE)</f>
        <v>437.4</v>
      </c>
      <c r="G304" s="20">
        <f>+ROUND(F304*E304,2)</f>
        <v>874.8</v>
      </c>
    </row>
    <row r="305" spans="1:7" ht="14.4" x14ac:dyDescent="0.3">
      <c r="A305" s="14" t="s">
        <v>484</v>
      </c>
      <c r="B305" s="15" t="s">
        <v>485</v>
      </c>
      <c r="C305" s="18">
        <v>356020</v>
      </c>
      <c r="D305" s="19" t="s">
        <v>16</v>
      </c>
      <c r="E305" s="20">
        <v>1</v>
      </c>
      <c r="F305" s="20">
        <f>+VLOOKUP(C305,[1]Serviços!$C$6:$F$172,4,FALSE)</f>
        <v>5644</v>
      </c>
      <c r="G305" s="20">
        <f>+ROUND(F305*E305,2)</f>
        <v>5644</v>
      </c>
    </row>
    <row r="306" spans="1:7" x14ac:dyDescent="0.4">
      <c r="A306" s="21"/>
      <c r="B306" s="22"/>
      <c r="C306" s="16"/>
      <c r="D306" s="19" t="s">
        <v>17</v>
      </c>
      <c r="E306" s="17"/>
      <c r="F306" s="17"/>
      <c r="G306" s="20">
        <f>SUM(G304:G305)</f>
        <v>6518.8</v>
      </c>
    </row>
    <row r="307" spans="1:7" x14ac:dyDescent="0.4">
      <c r="A307" s="21"/>
      <c r="B307" s="22"/>
      <c r="C307" s="16"/>
      <c r="D307" s="19" t="s">
        <v>295</v>
      </c>
      <c r="E307" s="17"/>
      <c r="F307" s="17"/>
      <c r="G307" s="20">
        <f>SUM(G256:G306)/2</f>
        <v>38103.890000000007</v>
      </c>
    </row>
    <row r="308" spans="1:7" ht="16.8" x14ac:dyDescent="0.45">
      <c r="A308" s="23" t="s">
        <v>486</v>
      </c>
      <c r="B308" s="24" t="s">
        <v>487</v>
      </c>
      <c r="C308" s="25"/>
      <c r="D308" s="25"/>
      <c r="E308" s="26"/>
      <c r="F308" s="26"/>
      <c r="G308" s="26"/>
    </row>
    <row r="309" spans="1:7" x14ac:dyDescent="0.4">
      <c r="A309" s="14" t="s">
        <v>488</v>
      </c>
      <c r="B309" s="15" t="s">
        <v>299</v>
      </c>
      <c r="C309" s="16"/>
      <c r="D309" s="16"/>
      <c r="E309" s="17"/>
      <c r="F309" s="17"/>
      <c r="G309" s="17"/>
    </row>
    <row r="310" spans="1:7" x14ac:dyDescent="0.4">
      <c r="A310" s="14" t="s">
        <v>489</v>
      </c>
      <c r="B310" s="15" t="s">
        <v>34</v>
      </c>
      <c r="C310" s="16"/>
      <c r="D310" s="16"/>
      <c r="E310" s="17"/>
      <c r="F310" s="17"/>
      <c r="G310" s="17"/>
    </row>
    <row r="311" spans="1:7" ht="14.4" x14ac:dyDescent="0.3">
      <c r="A311" s="14" t="s">
        <v>490</v>
      </c>
      <c r="B311" s="15" t="s">
        <v>36</v>
      </c>
      <c r="C311" s="19" t="s">
        <v>37</v>
      </c>
      <c r="D311" s="19" t="s">
        <v>38</v>
      </c>
      <c r="E311" s="20">
        <v>10</v>
      </c>
      <c r="F311" s="20">
        <f>+VLOOKUP(C311,[1]Serviços!$C$6:$F$172,4,FALSE)</f>
        <v>0.65</v>
      </c>
      <c r="G311" s="20">
        <f>+ROUND(F311*E311,2)</f>
        <v>6.5</v>
      </c>
    </row>
    <row r="312" spans="1:7" ht="14.4" x14ac:dyDescent="0.3">
      <c r="A312" s="14" t="s">
        <v>491</v>
      </c>
      <c r="B312" s="15" t="s">
        <v>40</v>
      </c>
      <c r="C312" s="19" t="s">
        <v>41</v>
      </c>
      <c r="D312" s="19" t="s">
        <v>38</v>
      </c>
      <c r="E312" s="20">
        <v>10</v>
      </c>
      <c r="F312" s="20">
        <f>+VLOOKUP(C312,[1]Serviços!$C$6:$F$172,4,FALSE)</f>
        <v>1.64</v>
      </c>
      <c r="G312" s="20">
        <f>+ROUND(F312*E312,2)</f>
        <v>16.399999999999999</v>
      </c>
    </row>
    <row r="313" spans="1:7" x14ac:dyDescent="0.4">
      <c r="A313" s="21"/>
      <c r="B313" s="22"/>
      <c r="C313" s="16"/>
      <c r="D313" s="19" t="s">
        <v>17</v>
      </c>
      <c r="E313" s="17"/>
      <c r="F313" s="17"/>
      <c r="G313" s="20">
        <f>SUM(G311:G312)</f>
        <v>22.9</v>
      </c>
    </row>
    <row r="314" spans="1:7" x14ac:dyDescent="0.4">
      <c r="A314" s="14" t="s">
        <v>492</v>
      </c>
      <c r="B314" s="15" t="s">
        <v>43</v>
      </c>
      <c r="C314" s="16"/>
      <c r="D314" s="16"/>
      <c r="E314" s="17"/>
      <c r="F314" s="17"/>
      <c r="G314" s="17"/>
    </row>
    <row r="315" spans="1:7" x14ac:dyDescent="0.4">
      <c r="A315" s="14" t="s">
        <v>493</v>
      </c>
      <c r="B315" s="15" t="s">
        <v>45</v>
      </c>
      <c r="C315" s="16"/>
      <c r="D315" s="16"/>
      <c r="E315" s="17"/>
      <c r="F315" s="17"/>
      <c r="G315" s="17"/>
    </row>
    <row r="316" spans="1:7" ht="14.4" x14ac:dyDescent="0.3">
      <c r="A316" s="14" t="s">
        <v>494</v>
      </c>
      <c r="B316" s="15" t="s">
        <v>47</v>
      </c>
      <c r="C316" s="19" t="s">
        <v>48</v>
      </c>
      <c r="D316" s="19" t="s">
        <v>38</v>
      </c>
      <c r="E316" s="20">
        <v>10</v>
      </c>
      <c r="F316" s="20">
        <f>+VLOOKUP(C316,[1]Serviços!$C$6:$F$172,4,FALSE)</f>
        <v>2.41</v>
      </c>
      <c r="G316" s="20">
        <f>+ROUND(F316*E316,2)</f>
        <v>24.1</v>
      </c>
    </row>
    <row r="317" spans="1:7" ht="14.4" x14ac:dyDescent="0.3">
      <c r="A317" s="14" t="s">
        <v>495</v>
      </c>
      <c r="B317" s="15" t="s">
        <v>50</v>
      </c>
      <c r="C317" s="19" t="s">
        <v>51</v>
      </c>
      <c r="D317" s="19" t="s">
        <v>38</v>
      </c>
      <c r="E317" s="20">
        <v>10</v>
      </c>
      <c r="F317" s="20">
        <f>+VLOOKUP(C317,[1]Serviços!$C$6:$F$172,4,FALSE)</f>
        <v>4.34</v>
      </c>
      <c r="G317" s="20">
        <f>+ROUND(F317*E317,2)</f>
        <v>43.4</v>
      </c>
    </row>
    <row r="318" spans="1:7" ht="14.4" x14ac:dyDescent="0.3">
      <c r="A318" s="14" t="s">
        <v>496</v>
      </c>
      <c r="B318" s="15" t="s">
        <v>497</v>
      </c>
      <c r="C318" s="19" t="s">
        <v>498</v>
      </c>
      <c r="D318" s="19" t="s">
        <v>38</v>
      </c>
      <c r="E318" s="20">
        <v>10</v>
      </c>
      <c r="F318" s="20">
        <f>+VLOOKUP(C318,[1]Serviços!$C$6:$F$172,4,FALSE)</f>
        <v>1.51</v>
      </c>
      <c r="G318" s="20">
        <f>+ROUND(F318*E318,2)</f>
        <v>15.1</v>
      </c>
    </row>
    <row r="319" spans="1:7" x14ac:dyDescent="0.4">
      <c r="A319" s="21"/>
      <c r="B319" s="22"/>
      <c r="C319" s="16"/>
      <c r="D319" s="19" t="s">
        <v>17</v>
      </c>
      <c r="E319" s="17"/>
      <c r="F319" s="17"/>
      <c r="G319" s="20">
        <f>SUM(G316:G318)</f>
        <v>82.6</v>
      </c>
    </row>
    <row r="320" spans="1:7" x14ac:dyDescent="0.4">
      <c r="A320" s="14" t="s">
        <v>499</v>
      </c>
      <c r="B320" s="15" t="s">
        <v>87</v>
      </c>
      <c r="C320" s="16"/>
      <c r="D320" s="16"/>
      <c r="E320" s="17"/>
      <c r="F320" s="17"/>
      <c r="G320" s="17"/>
    </row>
    <row r="321" spans="1:7" x14ac:dyDescent="0.4">
      <c r="A321" s="14" t="s">
        <v>500</v>
      </c>
      <c r="B321" s="15" t="s">
        <v>89</v>
      </c>
      <c r="C321" s="16"/>
      <c r="D321" s="16"/>
      <c r="E321" s="17"/>
      <c r="F321" s="17"/>
      <c r="G321" s="17"/>
    </row>
    <row r="322" spans="1:7" ht="14.4" x14ac:dyDescent="0.3">
      <c r="A322" s="14" t="s">
        <v>501</v>
      </c>
      <c r="B322" s="15" t="s">
        <v>97</v>
      </c>
      <c r="C322" s="19" t="s">
        <v>98</v>
      </c>
      <c r="D322" s="19" t="s">
        <v>73</v>
      </c>
      <c r="E322" s="20">
        <v>80</v>
      </c>
      <c r="F322" s="20">
        <f>+VLOOKUP(C322,[1]Serviços!$C$6:$F$172,4,FALSE)</f>
        <v>315.77999999999997</v>
      </c>
      <c r="G322" s="20">
        <f>+ROUND(F322*E322,2)</f>
        <v>25262.400000000001</v>
      </c>
    </row>
    <row r="323" spans="1:7" x14ac:dyDescent="0.4">
      <c r="A323" s="14" t="s">
        <v>502</v>
      </c>
      <c r="B323" s="15" t="s">
        <v>130</v>
      </c>
      <c r="C323" s="16"/>
      <c r="D323" s="16"/>
      <c r="E323" s="17"/>
      <c r="F323" s="17"/>
      <c r="G323" s="17"/>
    </row>
    <row r="324" spans="1:7" ht="14.4" x14ac:dyDescent="0.3">
      <c r="A324" s="14" t="s">
        <v>503</v>
      </c>
      <c r="B324" s="15" t="s">
        <v>504</v>
      </c>
      <c r="C324" s="19" t="s">
        <v>505</v>
      </c>
      <c r="D324" s="19" t="s">
        <v>134</v>
      </c>
      <c r="E324" s="20">
        <v>2000</v>
      </c>
      <c r="F324" s="20">
        <f>+VLOOKUP(C324,[1]Serviços!$C$6:$F$172,4,FALSE)</f>
        <v>1.93</v>
      </c>
      <c r="G324" s="20">
        <f>+ROUND(F324*E324,2)</f>
        <v>3860</v>
      </c>
    </row>
    <row r="325" spans="1:7" x14ac:dyDescent="0.4">
      <c r="A325" s="21"/>
      <c r="B325" s="22"/>
      <c r="C325" s="16"/>
      <c r="D325" s="19" t="s">
        <v>17</v>
      </c>
      <c r="E325" s="17"/>
      <c r="F325" s="17"/>
      <c r="G325" s="20">
        <f>SUM(G322:G324)</f>
        <v>29122.400000000001</v>
      </c>
    </row>
    <row r="326" spans="1:7" x14ac:dyDescent="0.4">
      <c r="A326" s="14" t="s">
        <v>506</v>
      </c>
      <c r="B326" s="15" t="s">
        <v>136</v>
      </c>
      <c r="C326" s="16"/>
      <c r="D326" s="16"/>
      <c r="E326" s="17"/>
      <c r="F326" s="17"/>
      <c r="G326" s="17"/>
    </row>
    <row r="327" spans="1:7" x14ac:dyDescent="0.4">
      <c r="A327" s="14" t="s">
        <v>507</v>
      </c>
      <c r="B327" s="15" t="s">
        <v>138</v>
      </c>
      <c r="C327" s="16"/>
      <c r="D327" s="16"/>
      <c r="E327" s="17"/>
      <c r="F327" s="17"/>
      <c r="G327" s="17"/>
    </row>
    <row r="328" spans="1:7" ht="14.4" x14ac:dyDescent="0.3">
      <c r="A328" s="14" t="s">
        <v>508</v>
      </c>
      <c r="B328" s="15" t="s">
        <v>143</v>
      </c>
      <c r="C328" s="19" t="s">
        <v>144</v>
      </c>
      <c r="D328" s="19" t="s">
        <v>57</v>
      </c>
      <c r="E328" s="20">
        <v>40</v>
      </c>
      <c r="F328" s="20">
        <f>+VLOOKUP(C328,[1]Serviços!$C$6:$F$172,4,FALSE)</f>
        <v>23.04</v>
      </c>
      <c r="G328" s="20">
        <f>+ROUND(F328*E328,2)</f>
        <v>921.6</v>
      </c>
    </row>
    <row r="329" spans="1:7" x14ac:dyDescent="0.4">
      <c r="A329" s="21"/>
      <c r="B329" s="22"/>
      <c r="C329" s="16"/>
      <c r="D329" s="19" t="s">
        <v>17</v>
      </c>
      <c r="E329" s="17"/>
      <c r="F329" s="17"/>
      <c r="G329" s="20">
        <f>SUM(G328)</f>
        <v>921.6</v>
      </c>
    </row>
    <row r="330" spans="1:7" x14ac:dyDescent="0.4">
      <c r="A330" s="14" t="s">
        <v>509</v>
      </c>
      <c r="B330" s="15" t="s">
        <v>229</v>
      </c>
      <c r="C330" s="16"/>
      <c r="D330" s="16"/>
      <c r="E330" s="17"/>
      <c r="F330" s="17"/>
      <c r="G330" s="17"/>
    </row>
    <row r="331" spans="1:7" x14ac:dyDescent="0.4">
      <c r="A331" s="14" t="s">
        <v>510</v>
      </c>
      <c r="B331" s="15" t="s">
        <v>231</v>
      </c>
      <c r="C331" s="16"/>
      <c r="D331" s="16"/>
      <c r="E331" s="17"/>
      <c r="F331" s="17"/>
      <c r="G331" s="17"/>
    </row>
    <row r="332" spans="1:7" ht="14.4" x14ac:dyDescent="0.3">
      <c r="A332" s="14" t="s">
        <v>511</v>
      </c>
      <c r="B332" s="15" t="s">
        <v>512</v>
      </c>
      <c r="C332" s="19" t="s">
        <v>513</v>
      </c>
      <c r="D332" s="19" t="s">
        <v>38</v>
      </c>
      <c r="E332" s="20">
        <v>10</v>
      </c>
      <c r="F332" s="20">
        <f>+VLOOKUP(C332,[1]Serviços!$C$6:$F$172,4,FALSE)</f>
        <v>6.87</v>
      </c>
      <c r="G332" s="20">
        <f>+ROUND(F332*E332,2)</f>
        <v>68.7</v>
      </c>
    </row>
    <row r="333" spans="1:7" x14ac:dyDescent="0.4">
      <c r="A333" s="21"/>
      <c r="B333" s="22"/>
      <c r="C333" s="16"/>
      <c r="D333" s="19" t="s">
        <v>17</v>
      </c>
      <c r="E333" s="17"/>
      <c r="F333" s="17"/>
      <c r="G333" s="20">
        <f>SUM(G332)</f>
        <v>68.7</v>
      </c>
    </row>
    <row r="334" spans="1:7" x14ac:dyDescent="0.4">
      <c r="A334" s="14" t="s">
        <v>514</v>
      </c>
      <c r="B334" s="15" t="s">
        <v>326</v>
      </c>
      <c r="C334" s="16"/>
      <c r="D334" s="16"/>
      <c r="E334" s="17"/>
      <c r="F334" s="17"/>
      <c r="G334" s="17"/>
    </row>
    <row r="335" spans="1:7" ht="24" x14ac:dyDescent="0.3">
      <c r="A335" s="14" t="s">
        <v>515</v>
      </c>
      <c r="B335" s="15" t="s">
        <v>331</v>
      </c>
      <c r="C335" s="18">
        <v>358004</v>
      </c>
      <c r="D335" s="19" t="s">
        <v>38</v>
      </c>
      <c r="E335" s="20">
        <v>930</v>
      </c>
      <c r="F335" s="20">
        <f>+VLOOKUP(C335,[1]Serviços!$C$6:$F$172,4,FALSE)</f>
        <v>1506</v>
      </c>
      <c r="G335" s="20">
        <f>+ROUND(F335*E335,2)</f>
        <v>1400580</v>
      </c>
    </row>
    <row r="336" spans="1:7" x14ac:dyDescent="0.4">
      <c r="A336" s="14" t="s">
        <v>516</v>
      </c>
      <c r="B336" s="15" t="s">
        <v>333</v>
      </c>
      <c r="C336" s="16"/>
      <c r="D336" s="16"/>
      <c r="E336" s="17"/>
      <c r="F336" s="17"/>
      <c r="G336" s="17"/>
    </row>
    <row r="337" spans="1:7" ht="14.4" x14ac:dyDescent="0.3">
      <c r="A337" s="14" t="s">
        <v>517</v>
      </c>
      <c r="B337" s="15" t="s">
        <v>201</v>
      </c>
      <c r="C337" s="19" t="s">
        <v>335</v>
      </c>
      <c r="D337" s="19" t="s">
        <v>69</v>
      </c>
      <c r="E337" s="20">
        <v>10</v>
      </c>
      <c r="F337" s="20">
        <f>+VLOOKUP(C337,[1]Serviços!$C$6:$F$172,4,FALSE)</f>
        <v>3193.31</v>
      </c>
      <c r="G337" s="20">
        <f>+ROUND(F337*E337,2)</f>
        <v>31933.1</v>
      </c>
    </row>
    <row r="338" spans="1:7" ht="14.4" x14ac:dyDescent="0.3">
      <c r="A338" s="14" t="s">
        <v>518</v>
      </c>
      <c r="B338" s="15" t="s">
        <v>204</v>
      </c>
      <c r="C338" s="19" t="s">
        <v>337</v>
      </c>
      <c r="D338" s="19" t="s">
        <v>69</v>
      </c>
      <c r="E338" s="20">
        <v>8</v>
      </c>
      <c r="F338" s="20">
        <f>+VLOOKUP(C338,[1]Serviços!$C$6:$F$172,4,FALSE)</f>
        <v>3783.62</v>
      </c>
      <c r="G338" s="20">
        <f>+ROUND(F338*E338,2)</f>
        <v>30268.959999999999</v>
      </c>
    </row>
    <row r="339" spans="1:7" x14ac:dyDescent="0.4">
      <c r="A339" s="21"/>
      <c r="B339" s="22"/>
      <c r="C339" s="16"/>
      <c r="D339" s="19" t="s">
        <v>17</v>
      </c>
      <c r="E339" s="17"/>
      <c r="F339" s="17"/>
      <c r="G339" s="20">
        <f>SUM(G335:G338)</f>
        <v>1462782.06</v>
      </c>
    </row>
    <row r="340" spans="1:7" x14ac:dyDescent="0.4">
      <c r="A340" s="14" t="s">
        <v>519</v>
      </c>
      <c r="B340" s="15" t="s">
        <v>238</v>
      </c>
      <c r="C340" s="16"/>
      <c r="D340" s="16"/>
      <c r="E340" s="17"/>
      <c r="F340" s="17"/>
      <c r="G340" s="17"/>
    </row>
    <row r="341" spans="1:7" x14ac:dyDescent="0.4">
      <c r="A341" s="14" t="s">
        <v>520</v>
      </c>
      <c r="B341" s="15" t="s">
        <v>240</v>
      </c>
      <c r="C341" s="16"/>
      <c r="D341" s="16"/>
      <c r="E341" s="17"/>
      <c r="F341" s="17"/>
      <c r="G341" s="17"/>
    </row>
    <row r="342" spans="1:7" ht="14.4" x14ac:dyDescent="0.3">
      <c r="A342" s="14" t="s">
        <v>521</v>
      </c>
      <c r="B342" s="15" t="s">
        <v>242</v>
      </c>
      <c r="C342" s="18">
        <v>100101</v>
      </c>
      <c r="D342" s="19" t="s">
        <v>57</v>
      </c>
      <c r="E342" s="20">
        <v>20</v>
      </c>
      <c r="F342" s="20">
        <f>+VLOOKUP(C342,[1]Serviços!$C$6:$F$172,4,FALSE)</f>
        <v>15.8</v>
      </c>
      <c r="G342" s="20">
        <f>+ROUND(F342*E342,2)</f>
        <v>316</v>
      </c>
    </row>
    <row r="343" spans="1:7" x14ac:dyDescent="0.4">
      <c r="A343" s="14" t="s">
        <v>522</v>
      </c>
      <c r="B343" s="15" t="s">
        <v>278</v>
      </c>
      <c r="C343" s="16"/>
      <c r="D343" s="16"/>
      <c r="E343" s="17"/>
      <c r="F343" s="17"/>
      <c r="G343" s="17"/>
    </row>
    <row r="344" spans="1:7" ht="14.4" x14ac:dyDescent="0.3">
      <c r="A344" s="14" t="s">
        <v>523</v>
      </c>
      <c r="B344" s="15" t="s">
        <v>280</v>
      </c>
      <c r="C344" s="18">
        <v>100401</v>
      </c>
      <c r="D344" s="19" t="s">
        <v>57</v>
      </c>
      <c r="E344" s="20">
        <v>20</v>
      </c>
      <c r="F344" s="20">
        <f>+VLOOKUP(C344,[1]Serviços!$C$6:$F$172,4,FALSE)</f>
        <v>10.41</v>
      </c>
      <c r="G344" s="20">
        <f>+ROUND(F344*E344,2)</f>
        <v>208.2</v>
      </c>
    </row>
    <row r="345" spans="1:7" ht="14.4" x14ac:dyDescent="0.3">
      <c r="A345" s="14" t="s">
        <v>524</v>
      </c>
      <c r="B345" s="15" t="s">
        <v>282</v>
      </c>
      <c r="C345" s="18">
        <v>100404</v>
      </c>
      <c r="D345" s="19" t="s">
        <v>57</v>
      </c>
      <c r="E345" s="20">
        <v>20</v>
      </c>
      <c r="F345" s="20">
        <f>+VLOOKUP(C345,[1]Serviços!$C$6:$F$172,4,FALSE)</f>
        <v>4.71</v>
      </c>
      <c r="G345" s="20">
        <f>+ROUND(F345*E345,2)</f>
        <v>94.2</v>
      </c>
    </row>
    <row r="346" spans="1:7" ht="14.4" x14ac:dyDescent="0.3">
      <c r="A346" s="14" t="s">
        <v>525</v>
      </c>
      <c r="B346" s="15" t="s">
        <v>284</v>
      </c>
      <c r="C346" s="18">
        <v>100406</v>
      </c>
      <c r="D346" s="19" t="s">
        <v>73</v>
      </c>
      <c r="E346" s="20">
        <v>1</v>
      </c>
      <c r="F346" s="20">
        <f>+VLOOKUP(C346,[1]Serviços!$C$6:$F$172,4,FALSE)</f>
        <v>644.15</v>
      </c>
      <c r="G346" s="20">
        <f>+ROUND(F346*E346,2)</f>
        <v>644.15</v>
      </c>
    </row>
    <row r="347" spans="1:7" ht="14.4" x14ac:dyDescent="0.3">
      <c r="A347" s="14" t="s">
        <v>526</v>
      </c>
      <c r="B347" s="15" t="s">
        <v>286</v>
      </c>
      <c r="C347" s="18">
        <v>100407</v>
      </c>
      <c r="D347" s="19" t="s">
        <v>73</v>
      </c>
      <c r="E347" s="20">
        <v>3</v>
      </c>
      <c r="F347" s="20">
        <f>+VLOOKUP(C347,[1]Serviços!$C$6:$F$172,4,FALSE)</f>
        <v>374.48</v>
      </c>
      <c r="G347" s="20">
        <f>+ROUND(F347*E347,2)</f>
        <v>1123.44</v>
      </c>
    </row>
    <row r="348" spans="1:7" x14ac:dyDescent="0.4">
      <c r="A348" s="21"/>
      <c r="B348" s="22"/>
      <c r="C348" s="16"/>
      <c r="D348" s="19" t="s">
        <v>17</v>
      </c>
      <c r="E348" s="17"/>
      <c r="F348" s="17"/>
      <c r="G348" s="20">
        <f>SUM(G342:G347)</f>
        <v>2385.9900000000002</v>
      </c>
    </row>
    <row r="349" spans="1:7" x14ac:dyDescent="0.4">
      <c r="A349" s="14" t="s">
        <v>527</v>
      </c>
      <c r="B349" s="15" t="s">
        <v>290</v>
      </c>
      <c r="C349" s="16"/>
      <c r="D349" s="16"/>
      <c r="E349" s="17"/>
      <c r="F349" s="17"/>
      <c r="G349" s="17"/>
    </row>
    <row r="350" spans="1:7" ht="14.4" x14ac:dyDescent="0.3">
      <c r="A350" s="14" t="s">
        <v>528</v>
      </c>
      <c r="B350" s="15" t="s">
        <v>529</v>
      </c>
      <c r="C350" s="18">
        <v>358005</v>
      </c>
      <c r="D350" s="19" t="s">
        <v>16</v>
      </c>
      <c r="E350" s="20">
        <v>1</v>
      </c>
      <c r="F350" s="20">
        <f>+VLOOKUP(C350,[1]Serviços!$C$6:$F$172,4,FALSE)</f>
        <v>2370</v>
      </c>
      <c r="G350" s="20">
        <f>+ROUND(F350*E350,2)</f>
        <v>2370</v>
      </c>
    </row>
    <row r="351" spans="1:7" ht="14.4" x14ac:dyDescent="0.3">
      <c r="A351" s="14" t="s">
        <v>530</v>
      </c>
      <c r="B351" s="15" t="s">
        <v>294</v>
      </c>
      <c r="C351" s="18">
        <v>356006</v>
      </c>
      <c r="D351" s="19" t="s">
        <v>69</v>
      </c>
      <c r="E351" s="20">
        <v>2</v>
      </c>
      <c r="F351" s="20">
        <f>+VLOOKUP(C351,[1]Serviços!$C$6:$F$172,4,FALSE)</f>
        <v>437.4</v>
      </c>
      <c r="G351" s="20">
        <f>+ROUND(F351*E351,2)</f>
        <v>874.8</v>
      </c>
    </row>
    <row r="352" spans="1:7" x14ac:dyDescent="0.4">
      <c r="A352" s="21"/>
      <c r="B352" s="22"/>
      <c r="C352" s="16"/>
      <c r="D352" s="19" t="s">
        <v>17</v>
      </c>
      <c r="E352" s="17"/>
      <c r="F352" s="17"/>
      <c r="G352" s="20">
        <f>SUM(G350:G351)</f>
        <v>3244.8</v>
      </c>
    </row>
    <row r="353" spans="1:7" x14ac:dyDescent="0.4">
      <c r="A353" s="21"/>
      <c r="B353" s="22"/>
      <c r="C353" s="16"/>
      <c r="D353" s="19" t="s">
        <v>295</v>
      </c>
      <c r="E353" s="17"/>
      <c r="F353" s="17"/>
      <c r="G353" s="20">
        <f>SUM(G310:G352)/2</f>
        <v>1498631.05</v>
      </c>
    </row>
    <row r="354" spans="1:7" ht="16.8" x14ac:dyDescent="0.45">
      <c r="A354" s="23" t="s">
        <v>531</v>
      </c>
      <c r="B354" s="24" t="s">
        <v>532</v>
      </c>
      <c r="C354" s="25"/>
      <c r="D354" s="25"/>
      <c r="E354" s="26"/>
      <c r="F354" s="26"/>
      <c r="G354" s="26"/>
    </row>
    <row r="355" spans="1:7" x14ac:dyDescent="0.4">
      <c r="A355" s="14" t="s">
        <v>533</v>
      </c>
      <c r="B355" s="15" t="s">
        <v>299</v>
      </c>
      <c r="C355" s="16"/>
      <c r="D355" s="16"/>
      <c r="E355" s="17"/>
      <c r="F355" s="17"/>
      <c r="G355" s="17"/>
    </row>
    <row r="356" spans="1:7" x14ac:dyDescent="0.4">
      <c r="A356" s="14" t="s">
        <v>534</v>
      </c>
      <c r="B356" s="15" t="s">
        <v>34</v>
      </c>
      <c r="C356" s="16"/>
      <c r="D356" s="16"/>
      <c r="E356" s="17"/>
      <c r="F356" s="17"/>
      <c r="G356" s="17"/>
    </row>
    <row r="357" spans="1:7" ht="14.4" x14ac:dyDescent="0.3">
      <c r="A357" s="14" t="s">
        <v>535</v>
      </c>
      <c r="B357" s="15" t="s">
        <v>344</v>
      </c>
      <c r="C357" s="19" t="s">
        <v>345</v>
      </c>
      <c r="D357" s="19" t="s">
        <v>38</v>
      </c>
      <c r="E357" s="20">
        <v>400</v>
      </c>
      <c r="F357" s="20">
        <f>+VLOOKUP(C357,[1]Serviços!$C$6:$F$172,4,FALSE)</f>
        <v>3.49</v>
      </c>
      <c r="G357" s="20">
        <f>+ROUND(F357*E357,2)</f>
        <v>1396</v>
      </c>
    </row>
    <row r="358" spans="1:7" ht="14.4" x14ac:dyDescent="0.3">
      <c r="A358" s="14" t="s">
        <v>536</v>
      </c>
      <c r="B358" s="15" t="s">
        <v>347</v>
      </c>
      <c r="C358" s="19" t="s">
        <v>348</v>
      </c>
      <c r="D358" s="19" t="s">
        <v>38</v>
      </c>
      <c r="E358" s="20">
        <v>400</v>
      </c>
      <c r="F358" s="20">
        <f>+VLOOKUP(C358,[1]Serviços!$C$6:$F$172,4,FALSE)</f>
        <v>0.84</v>
      </c>
      <c r="G358" s="20">
        <f>+ROUND(F358*E358,2)</f>
        <v>336</v>
      </c>
    </row>
    <row r="359" spans="1:7" x14ac:dyDescent="0.4">
      <c r="A359" s="21"/>
      <c r="B359" s="22"/>
      <c r="C359" s="16"/>
      <c r="D359" s="19" t="s">
        <v>17</v>
      </c>
      <c r="E359" s="17"/>
      <c r="F359" s="17"/>
      <c r="G359" s="20">
        <f>SUM(G357:G358)</f>
        <v>1732</v>
      </c>
    </row>
    <row r="360" spans="1:7" x14ac:dyDescent="0.4">
      <c r="A360" s="14" t="s">
        <v>537</v>
      </c>
      <c r="B360" s="15" t="s">
        <v>43</v>
      </c>
      <c r="C360" s="16"/>
      <c r="D360" s="16"/>
      <c r="E360" s="17"/>
      <c r="F360" s="17"/>
      <c r="G360" s="17"/>
    </row>
    <row r="361" spans="1:7" x14ac:dyDescent="0.4">
      <c r="A361" s="14" t="s">
        <v>538</v>
      </c>
      <c r="B361" s="15" t="s">
        <v>45</v>
      </c>
      <c r="C361" s="16"/>
      <c r="D361" s="16"/>
      <c r="E361" s="17"/>
      <c r="F361" s="17"/>
      <c r="G361" s="17"/>
    </row>
    <row r="362" spans="1:7" ht="14.4" x14ac:dyDescent="0.3">
      <c r="A362" s="14" t="s">
        <v>539</v>
      </c>
      <c r="B362" s="15" t="s">
        <v>47</v>
      </c>
      <c r="C362" s="19" t="s">
        <v>48</v>
      </c>
      <c r="D362" s="19" t="s">
        <v>38</v>
      </c>
      <c r="E362" s="20">
        <v>400</v>
      </c>
      <c r="F362" s="20">
        <f>+VLOOKUP(C362,[1]Serviços!$C$6:$F$172,4,FALSE)</f>
        <v>2.41</v>
      </c>
      <c r="G362" s="20">
        <f>+ROUND(F362*E362,2)</f>
        <v>964</v>
      </c>
    </row>
    <row r="363" spans="1:7" ht="14.4" x14ac:dyDescent="0.3">
      <c r="A363" s="14" t="s">
        <v>540</v>
      </c>
      <c r="B363" s="15" t="s">
        <v>50</v>
      </c>
      <c r="C363" s="19" t="s">
        <v>51</v>
      </c>
      <c r="D363" s="19" t="s">
        <v>38</v>
      </c>
      <c r="E363" s="20">
        <v>400</v>
      </c>
      <c r="F363" s="20">
        <f>+VLOOKUP(C363,[1]Serviços!$C$6:$F$172,4,FALSE)</f>
        <v>4.34</v>
      </c>
      <c r="G363" s="20">
        <f>+ROUND(F363*E363,2)</f>
        <v>1736</v>
      </c>
    </row>
    <row r="364" spans="1:7" x14ac:dyDescent="0.4">
      <c r="A364" s="14" t="s">
        <v>541</v>
      </c>
      <c r="B364" s="15" t="s">
        <v>53</v>
      </c>
      <c r="C364" s="16"/>
      <c r="D364" s="16"/>
      <c r="E364" s="17"/>
      <c r="F364" s="17"/>
      <c r="G364" s="17"/>
    </row>
    <row r="365" spans="1:7" ht="14.4" x14ac:dyDescent="0.3">
      <c r="A365" s="14" t="s">
        <v>542</v>
      </c>
      <c r="B365" s="15" t="s">
        <v>55</v>
      </c>
      <c r="C365" s="19" t="s">
        <v>56</v>
      </c>
      <c r="D365" s="19" t="s">
        <v>57</v>
      </c>
      <c r="E365" s="20">
        <v>12</v>
      </c>
      <c r="F365" s="20">
        <f>+VLOOKUP(C365,[1]Serviços!$C$6:$F$172,4,FALSE)</f>
        <v>62.99</v>
      </c>
      <c r="G365" s="20">
        <f>+ROUND(F365*E365,2)</f>
        <v>755.88</v>
      </c>
    </row>
    <row r="366" spans="1:7" ht="14.4" x14ac:dyDescent="0.3">
      <c r="A366" s="14" t="s">
        <v>543</v>
      </c>
      <c r="B366" s="15" t="s">
        <v>59</v>
      </c>
      <c r="C366" s="19" t="s">
        <v>60</v>
      </c>
      <c r="D366" s="19" t="s">
        <v>57</v>
      </c>
      <c r="E366" s="20">
        <v>28</v>
      </c>
      <c r="F366" s="20">
        <f>+VLOOKUP(C366,[1]Serviços!$C$6:$F$172,4,FALSE)</f>
        <v>56.19</v>
      </c>
      <c r="G366" s="20">
        <f>+ROUND(F366*E366,2)</f>
        <v>1573.32</v>
      </c>
    </row>
    <row r="367" spans="1:7" ht="14.4" x14ac:dyDescent="0.3">
      <c r="A367" s="14" t="s">
        <v>544</v>
      </c>
      <c r="B367" s="15" t="s">
        <v>62</v>
      </c>
      <c r="C367" s="19" t="s">
        <v>63</v>
      </c>
      <c r="D367" s="19" t="s">
        <v>57</v>
      </c>
      <c r="E367" s="20">
        <v>24</v>
      </c>
      <c r="F367" s="20">
        <f>+VLOOKUP(C367,[1]Serviços!$C$6:$F$172,4,FALSE)</f>
        <v>88.18</v>
      </c>
      <c r="G367" s="20">
        <f>+ROUND(F367*E367,2)</f>
        <v>2116.3200000000002</v>
      </c>
    </row>
    <row r="368" spans="1:7" x14ac:dyDescent="0.4">
      <c r="A368" s="14" t="s">
        <v>545</v>
      </c>
      <c r="B368" s="15" t="s">
        <v>65</v>
      </c>
      <c r="C368" s="16"/>
      <c r="D368" s="16"/>
      <c r="E368" s="17"/>
      <c r="F368" s="17"/>
      <c r="G368" s="17"/>
    </row>
    <row r="369" spans="1:7" ht="14.4" x14ac:dyDescent="0.3">
      <c r="A369" s="14" t="s">
        <v>546</v>
      </c>
      <c r="B369" s="15" t="s">
        <v>67</v>
      </c>
      <c r="C369" s="19" t="s">
        <v>68</v>
      </c>
      <c r="D369" s="19" t="s">
        <v>69</v>
      </c>
      <c r="E369" s="20">
        <v>5</v>
      </c>
      <c r="F369" s="20">
        <f>+VLOOKUP(C369,[1]Serviços!$C$6:$F$172,4,FALSE)</f>
        <v>84.06</v>
      </c>
      <c r="G369" s="20">
        <f>+ROUND(F369*E369,2)</f>
        <v>420.3</v>
      </c>
    </row>
    <row r="370" spans="1:7" ht="14.4" x14ac:dyDescent="0.3">
      <c r="A370" s="14" t="s">
        <v>547</v>
      </c>
      <c r="B370" s="15" t="s">
        <v>71</v>
      </c>
      <c r="C370" s="19" t="s">
        <v>72</v>
      </c>
      <c r="D370" s="19" t="s">
        <v>73</v>
      </c>
      <c r="E370" s="20">
        <v>1</v>
      </c>
      <c r="F370" s="20">
        <f>+VLOOKUP(C370,[1]Serviços!$C$6:$F$172,4,FALSE)</f>
        <v>1718.52</v>
      </c>
      <c r="G370" s="20">
        <f>+ROUND(F370*E370,2)</f>
        <v>1718.52</v>
      </c>
    </row>
    <row r="371" spans="1:7" ht="14.4" x14ac:dyDescent="0.3">
      <c r="A371" s="14" t="s">
        <v>548</v>
      </c>
      <c r="B371" s="15" t="s">
        <v>75</v>
      </c>
      <c r="C371" s="19" t="s">
        <v>76</v>
      </c>
      <c r="D371" s="19" t="s">
        <v>77</v>
      </c>
      <c r="E371" s="20">
        <v>3</v>
      </c>
      <c r="F371" s="20">
        <f>+VLOOKUP(C371,[1]Serviços!$C$6:$F$172,4,FALSE)</f>
        <v>928.65</v>
      </c>
      <c r="G371" s="20">
        <f>+ROUND(F371*E371,2)</f>
        <v>2785.95</v>
      </c>
    </row>
    <row r="372" spans="1:7" x14ac:dyDescent="0.4">
      <c r="A372" s="21"/>
      <c r="B372" s="22"/>
      <c r="C372" s="16"/>
      <c r="D372" s="19" t="s">
        <v>17</v>
      </c>
      <c r="E372" s="17"/>
      <c r="F372" s="17"/>
      <c r="G372" s="20">
        <f>SUM(G362:G371)</f>
        <v>12070.29</v>
      </c>
    </row>
    <row r="373" spans="1:7" x14ac:dyDescent="0.4">
      <c r="A373" s="14" t="s">
        <v>549</v>
      </c>
      <c r="B373" s="15" t="s">
        <v>87</v>
      </c>
      <c r="C373" s="16"/>
      <c r="D373" s="16"/>
      <c r="E373" s="17"/>
      <c r="F373" s="17"/>
      <c r="G373" s="17"/>
    </row>
    <row r="374" spans="1:7" x14ac:dyDescent="0.4">
      <c r="A374" s="14" t="s">
        <v>550</v>
      </c>
      <c r="B374" s="15" t="s">
        <v>89</v>
      </c>
      <c r="C374" s="16"/>
      <c r="D374" s="16"/>
      <c r="E374" s="17"/>
      <c r="F374" s="17"/>
      <c r="G374" s="17"/>
    </row>
    <row r="375" spans="1:7" ht="14.4" x14ac:dyDescent="0.3">
      <c r="A375" s="14" t="s">
        <v>551</v>
      </c>
      <c r="B375" s="15" t="s">
        <v>94</v>
      </c>
      <c r="C375" s="19" t="s">
        <v>95</v>
      </c>
      <c r="D375" s="19" t="s">
        <v>73</v>
      </c>
      <c r="E375" s="20">
        <v>910</v>
      </c>
      <c r="F375" s="20">
        <f>+VLOOKUP(C375,[1]Serviços!$C$6:$F$172,4,FALSE)</f>
        <v>7.69</v>
      </c>
      <c r="G375" s="20">
        <f>+ROUND(F375*E375,2)</f>
        <v>6997.9</v>
      </c>
    </row>
    <row r="376" spans="1:7" x14ac:dyDescent="0.4">
      <c r="A376" s="14" t="s">
        <v>552</v>
      </c>
      <c r="B376" s="15" t="s">
        <v>100</v>
      </c>
      <c r="C376" s="16"/>
      <c r="D376" s="16"/>
      <c r="E376" s="17"/>
      <c r="F376" s="17"/>
      <c r="G376" s="17"/>
    </row>
    <row r="377" spans="1:7" ht="24" x14ac:dyDescent="0.3">
      <c r="A377" s="14" t="s">
        <v>553</v>
      </c>
      <c r="B377" s="15" t="s">
        <v>105</v>
      </c>
      <c r="C377" s="19" t="s">
        <v>106</v>
      </c>
      <c r="D377" s="19" t="s">
        <v>73</v>
      </c>
      <c r="E377" s="20">
        <v>30</v>
      </c>
      <c r="F377" s="20">
        <f>+VLOOKUP(C377,[1]Serviços!$C$6:$F$172,4,FALSE)</f>
        <v>49.6</v>
      </c>
      <c r="G377" s="20">
        <f>+ROUND(F377*E377,2)</f>
        <v>1488</v>
      </c>
    </row>
    <row r="378" spans="1:7" ht="24" x14ac:dyDescent="0.3">
      <c r="A378" s="14" t="s">
        <v>554</v>
      </c>
      <c r="B378" s="15" t="s">
        <v>102</v>
      </c>
      <c r="C378" s="19" t="s">
        <v>103</v>
      </c>
      <c r="D378" s="19" t="s">
        <v>73</v>
      </c>
      <c r="E378" s="20">
        <v>30</v>
      </c>
      <c r="F378" s="20">
        <f>+VLOOKUP(C378,[1]Serviços!$C$6:$F$172,4,FALSE)</f>
        <v>42.51</v>
      </c>
      <c r="G378" s="20">
        <f>+ROUND(F378*E378,2)</f>
        <v>1275.3</v>
      </c>
    </row>
    <row r="379" spans="1:7" x14ac:dyDescent="0.4">
      <c r="A379" s="14" t="s">
        <v>555</v>
      </c>
      <c r="B379" s="15" t="s">
        <v>108</v>
      </c>
      <c r="C379" s="16"/>
      <c r="D379" s="16"/>
      <c r="E379" s="17"/>
      <c r="F379" s="17"/>
      <c r="G379" s="17"/>
    </row>
    <row r="380" spans="1:7" ht="14.4" x14ac:dyDescent="0.3">
      <c r="A380" s="14" t="s">
        <v>556</v>
      </c>
      <c r="B380" s="15" t="s">
        <v>110</v>
      </c>
      <c r="C380" s="19" t="s">
        <v>111</v>
      </c>
      <c r="D380" s="19" t="s">
        <v>73</v>
      </c>
      <c r="E380" s="20">
        <v>800</v>
      </c>
      <c r="F380" s="20">
        <f>+VLOOKUP(C380,[1]Serviços!$C$6:$F$172,4,FALSE)</f>
        <v>6.26</v>
      </c>
      <c r="G380" s="20">
        <f>+ROUND(F380*E380,2)</f>
        <v>5008</v>
      </c>
    </row>
    <row r="381" spans="1:7" ht="14.4" x14ac:dyDescent="0.3">
      <c r="A381" s="14" t="s">
        <v>557</v>
      </c>
      <c r="B381" s="15" t="s">
        <v>113</v>
      </c>
      <c r="C381" s="19" t="s">
        <v>114</v>
      </c>
      <c r="D381" s="19" t="s">
        <v>73</v>
      </c>
      <c r="E381" s="20">
        <v>400</v>
      </c>
      <c r="F381" s="20">
        <f>+VLOOKUP(C381,[1]Serviços!$C$6:$F$172,4,FALSE)</f>
        <v>6.94</v>
      </c>
      <c r="G381" s="20">
        <f>+ROUND(F381*E381,2)</f>
        <v>2776</v>
      </c>
    </row>
    <row r="382" spans="1:7" ht="14.4" x14ac:dyDescent="0.3">
      <c r="A382" s="14" t="s">
        <v>558</v>
      </c>
      <c r="B382" s="15" t="s">
        <v>116</v>
      </c>
      <c r="C382" s="19" t="s">
        <v>117</v>
      </c>
      <c r="D382" s="19" t="s">
        <v>73</v>
      </c>
      <c r="E382" s="20">
        <v>300</v>
      </c>
      <c r="F382" s="20">
        <f>+VLOOKUP(C382,[1]Serviços!$C$6:$F$172,4,FALSE)</f>
        <v>8.31</v>
      </c>
      <c r="G382" s="20">
        <f>+ROUND(F382*E382,2)</f>
        <v>2493</v>
      </c>
    </row>
    <row r="383" spans="1:7" x14ac:dyDescent="0.4">
      <c r="A383" s="14" t="s">
        <v>559</v>
      </c>
      <c r="B383" s="15" t="s">
        <v>122</v>
      </c>
      <c r="C383" s="16"/>
      <c r="D383" s="16"/>
      <c r="E383" s="17"/>
      <c r="F383" s="17"/>
      <c r="G383" s="17"/>
    </row>
    <row r="384" spans="1:7" ht="14.4" x14ac:dyDescent="0.3">
      <c r="A384" s="14" t="s">
        <v>560</v>
      </c>
      <c r="B384" s="15" t="s">
        <v>124</v>
      </c>
      <c r="C384" s="19" t="s">
        <v>125</v>
      </c>
      <c r="D384" s="19" t="s">
        <v>73</v>
      </c>
      <c r="E384" s="20">
        <v>600</v>
      </c>
      <c r="F384" s="20">
        <f>+VLOOKUP(C384,[1]Serviços!$C$6:$F$172,4,FALSE)</f>
        <v>12.26</v>
      </c>
      <c r="G384" s="20">
        <f>+ROUND(F384*E384,2)</f>
        <v>7356</v>
      </c>
    </row>
    <row r="385" spans="1:7" ht="24" x14ac:dyDescent="0.3">
      <c r="A385" s="14" t="s">
        <v>561</v>
      </c>
      <c r="B385" s="15" t="s">
        <v>127</v>
      </c>
      <c r="C385" s="19" t="s">
        <v>128</v>
      </c>
      <c r="D385" s="19" t="s">
        <v>73</v>
      </c>
      <c r="E385" s="20">
        <v>900</v>
      </c>
      <c r="F385" s="20">
        <f>+VLOOKUP(C385,[1]Serviços!$C$6:$F$172,4,FALSE)</f>
        <v>14.3</v>
      </c>
      <c r="G385" s="20">
        <f>+ROUND(F385*E385,2)</f>
        <v>12870</v>
      </c>
    </row>
    <row r="386" spans="1:7" x14ac:dyDescent="0.4">
      <c r="A386" s="14" t="s">
        <v>562</v>
      </c>
      <c r="B386" s="15" t="s">
        <v>130</v>
      </c>
      <c r="C386" s="16"/>
      <c r="D386" s="16"/>
      <c r="E386" s="17"/>
      <c r="F386" s="17"/>
      <c r="G386" s="17"/>
    </row>
    <row r="387" spans="1:7" ht="14.4" x14ac:dyDescent="0.3">
      <c r="A387" s="14" t="s">
        <v>563</v>
      </c>
      <c r="B387" s="15" t="s">
        <v>132</v>
      </c>
      <c r="C387" s="19" t="s">
        <v>133</v>
      </c>
      <c r="D387" s="19" t="s">
        <v>134</v>
      </c>
      <c r="E387" s="20">
        <v>22650</v>
      </c>
      <c r="F387" s="20">
        <f>+VLOOKUP(C387,[1]Serviços!$C$6:$F$172,4,FALSE)</f>
        <v>1.61</v>
      </c>
      <c r="G387" s="20">
        <f>+ROUND(F387*E387,2)</f>
        <v>36466.5</v>
      </c>
    </row>
    <row r="388" spans="1:7" x14ac:dyDescent="0.4">
      <c r="A388" s="21"/>
      <c r="B388" s="22"/>
      <c r="C388" s="16"/>
      <c r="D388" s="19" t="s">
        <v>17</v>
      </c>
      <c r="E388" s="17"/>
      <c r="F388" s="17"/>
      <c r="G388" s="20">
        <f>SUM(G375:G387)</f>
        <v>76730.7</v>
      </c>
    </row>
    <row r="389" spans="1:7" x14ac:dyDescent="0.4">
      <c r="A389" s="14" t="s">
        <v>564</v>
      </c>
      <c r="B389" s="15" t="s">
        <v>136</v>
      </c>
      <c r="C389" s="16"/>
      <c r="D389" s="16"/>
      <c r="E389" s="17"/>
      <c r="F389" s="17"/>
      <c r="G389" s="17"/>
    </row>
    <row r="390" spans="1:7" x14ac:dyDescent="0.4">
      <c r="A390" s="14" t="s">
        <v>565</v>
      </c>
      <c r="B390" s="15" t="s">
        <v>138</v>
      </c>
      <c r="C390" s="16"/>
      <c r="D390" s="16"/>
      <c r="E390" s="17"/>
      <c r="F390" s="17"/>
      <c r="G390" s="17"/>
    </row>
    <row r="391" spans="1:7" ht="14.4" x14ac:dyDescent="0.3">
      <c r="A391" s="14" t="s">
        <v>566</v>
      </c>
      <c r="B391" s="15" t="s">
        <v>146</v>
      </c>
      <c r="C391" s="19" t="s">
        <v>147</v>
      </c>
      <c r="D391" s="19" t="s">
        <v>57</v>
      </c>
      <c r="E391" s="20">
        <v>1600</v>
      </c>
      <c r="F391" s="20">
        <f>+VLOOKUP(C391,[1]Serviços!$C$6:$F$172,4,FALSE)</f>
        <v>39.130000000000003</v>
      </c>
      <c r="G391" s="20">
        <f>+ROUND(F391*E391,2)</f>
        <v>62608</v>
      </c>
    </row>
    <row r="392" spans="1:7" ht="14.4" x14ac:dyDescent="0.3">
      <c r="A392" s="14" t="s">
        <v>567</v>
      </c>
      <c r="B392" s="15" t="s">
        <v>149</v>
      </c>
      <c r="C392" s="19" t="s">
        <v>150</v>
      </c>
      <c r="D392" s="19" t="s">
        <v>57</v>
      </c>
      <c r="E392" s="20">
        <v>350</v>
      </c>
      <c r="F392" s="20">
        <f>+VLOOKUP(C392,[1]Serviços!$C$6:$F$172,4,FALSE)</f>
        <v>46.46</v>
      </c>
      <c r="G392" s="20">
        <f>+ROUND(F392*E392,2)</f>
        <v>16261</v>
      </c>
    </row>
    <row r="393" spans="1:7" x14ac:dyDescent="0.4">
      <c r="A393" s="14" t="s">
        <v>568</v>
      </c>
      <c r="B393" s="15" t="s">
        <v>569</v>
      </c>
      <c r="C393" s="16"/>
      <c r="D393" s="16"/>
      <c r="E393" s="17"/>
      <c r="F393" s="17"/>
      <c r="G393" s="17"/>
    </row>
    <row r="394" spans="1:7" ht="14.4" x14ac:dyDescent="0.3">
      <c r="A394" s="14" t="s">
        <v>570</v>
      </c>
      <c r="B394" s="15" t="s">
        <v>571</v>
      </c>
      <c r="C394" s="19" t="s">
        <v>572</v>
      </c>
      <c r="D394" s="19" t="s">
        <v>73</v>
      </c>
      <c r="E394" s="20">
        <v>22</v>
      </c>
      <c r="F394" s="20">
        <f>+VLOOKUP(C394,[1]Serviços!$C$6:$F$172,4,FALSE)</f>
        <v>41.11</v>
      </c>
      <c r="G394" s="20">
        <f>+ROUND(F394*E394,2)</f>
        <v>904.42</v>
      </c>
    </row>
    <row r="395" spans="1:7" x14ac:dyDescent="0.4">
      <c r="A395" s="21"/>
      <c r="B395" s="22"/>
      <c r="C395" s="16"/>
      <c r="D395" s="19" t="s">
        <v>17</v>
      </c>
      <c r="E395" s="17"/>
      <c r="F395" s="17"/>
      <c r="G395" s="20">
        <f>SUM(G391:G394)</f>
        <v>79773.42</v>
      </c>
    </row>
    <row r="396" spans="1:7" x14ac:dyDescent="0.4">
      <c r="A396" s="14" t="s">
        <v>573</v>
      </c>
      <c r="B396" s="15" t="s">
        <v>157</v>
      </c>
      <c r="C396" s="16"/>
      <c r="D396" s="16"/>
      <c r="E396" s="17"/>
      <c r="F396" s="17"/>
      <c r="G396" s="17"/>
    </row>
    <row r="397" spans="1:7" x14ac:dyDescent="0.4">
      <c r="A397" s="14" t="s">
        <v>574</v>
      </c>
      <c r="B397" s="15" t="s">
        <v>159</v>
      </c>
      <c r="C397" s="16"/>
      <c r="D397" s="16"/>
      <c r="E397" s="17"/>
      <c r="F397" s="17"/>
      <c r="G397" s="17"/>
    </row>
    <row r="398" spans="1:7" ht="14.4" x14ac:dyDescent="0.3">
      <c r="A398" s="14" t="s">
        <v>575</v>
      </c>
      <c r="B398" s="15" t="s">
        <v>161</v>
      </c>
      <c r="C398" s="19" t="s">
        <v>162</v>
      </c>
      <c r="D398" s="19" t="s">
        <v>163</v>
      </c>
      <c r="E398" s="20">
        <v>2200</v>
      </c>
      <c r="F398" s="20">
        <f>+VLOOKUP(C398,[1]Serviços!$C$6:$F$172,4,FALSE)</f>
        <v>1.41</v>
      </c>
      <c r="G398" s="20">
        <f>+ROUND(F398*E398,2)</f>
        <v>3102</v>
      </c>
    </row>
    <row r="399" spans="1:7" x14ac:dyDescent="0.4">
      <c r="A399" s="14" t="s">
        <v>576</v>
      </c>
      <c r="B399" s="15" t="s">
        <v>165</v>
      </c>
      <c r="C399" s="16"/>
      <c r="D399" s="16"/>
      <c r="E399" s="17"/>
      <c r="F399" s="17"/>
      <c r="G399" s="17"/>
    </row>
    <row r="400" spans="1:7" ht="14.4" x14ac:dyDescent="0.3">
      <c r="A400" s="14" t="s">
        <v>577</v>
      </c>
      <c r="B400" s="15" t="s">
        <v>167</v>
      </c>
      <c r="C400" s="19" t="s">
        <v>168</v>
      </c>
      <c r="D400" s="19" t="s">
        <v>38</v>
      </c>
      <c r="E400" s="20">
        <v>200</v>
      </c>
      <c r="F400" s="20">
        <f>+VLOOKUP(C400,[1]Serviços!$C$6:$F$172,4,FALSE)</f>
        <v>77.02</v>
      </c>
      <c r="G400" s="20">
        <f>+ROUND(F400*E400,2)</f>
        <v>15404</v>
      </c>
    </row>
    <row r="401" spans="1:7" ht="14.4" x14ac:dyDescent="0.3">
      <c r="A401" s="14" t="s">
        <v>578</v>
      </c>
      <c r="B401" s="15" t="s">
        <v>170</v>
      </c>
      <c r="C401" s="19" t="s">
        <v>171</v>
      </c>
      <c r="D401" s="19" t="s">
        <v>38</v>
      </c>
      <c r="E401" s="20">
        <v>100</v>
      </c>
      <c r="F401" s="20">
        <f>+VLOOKUP(C401,[1]Serviços!$C$6:$F$172,4,FALSE)</f>
        <v>117.4</v>
      </c>
      <c r="G401" s="20">
        <f>+ROUND(F401*E401,2)</f>
        <v>11740</v>
      </c>
    </row>
    <row r="402" spans="1:7" ht="14.4" x14ac:dyDescent="0.3">
      <c r="A402" s="14" t="s">
        <v>579</v>
      </c>
      <c r="B402" s="15" t="s">
        <v>176</v>
      </c>
      <c r="C402" s="19" t="s">
        <v>177</v>
      </c>
      <c r="D402" s="19" t="s">
        <v>69</v>
      </c>
      <c r="E402" s="20">
        <v>1</v>
      </c>
      <c r="F402" s="20">
        <f>+VLOOKUP(C402,[1]Serviços!$C$6:$F$172,4,FALSE)</f>
        <v>2016</v>
      </c>
      <c r="G402" s="20">
        <f>+ROUND(F402*E402,2)</f>
        <v>2016</v>
      </c>
    </row>
    <row r="403" spans="1:7" x14ac:dyDescent="0.4">
      <c r="A403" s="21"/>
      <c r="B403" s="22"/>
      <c r="C403" s="16"/>
      <c r="D403" s="19" t="s">
        <v>17</v>
      </c>
      <c r="E403" s="17"/>
      <c r="F403" s="17"/>
      <c r="G403" s="20">
        <f>SUM(G398:G402)</f>
        <v>32262</v>
      </c>
    </row>
    <row r="404" spans="1:7" x14ac:dyDescent="0.4">
      <c r="A404" s="14" t="s">
        <v>580</v>
      </c>
      <c r="B404" s="15" t="s">
        <v>179</v>
      </c>
      <c r="C404" s="16"/>
      <c r="D404" s="16"/>
      <c r="E404" s="17"/>
      <c r="F404" s="17"/>
      <c r="G404" s="17"/>
    </row>
    <row r="405" spans="1:7" x14ac:dyDescent="0.4">
      <c r="A405" s="14" t="s">
        <v>581</v>
      </c>
      <c r="B405" s="15" t="s">
        <v>181</v>
      </c>
      <c r="C405" s="16"/>
      <c r="D405" s="16"/>
      <c r="E405" s="17"/>
      <c r="F405" s="17"/>
      <c r="G405" s="17"/>
    </row>
    <row r="406" spans="1:7" ht="14.4" x14ac:dyDescent="0.3">
      <c r="A406" s="14" t="s">
        <v>582</v>
      </c>
      <c r="B406" s="15" t="s">
        <v>183</v>
      </c>
      <c r="C406" s="19" t="s">
        <v>184</v>
      </c>
      <c r="D406" s="19" t="s">
        <v>73</v>
      </c>
      <c r="E406" s="20">
        <v>20</v>
      </c>
      <c r="F406" s="20">
        <f>+VLOOKUP(C406,[1]Serviços!$C$6:$F$172,4,FALSE)</f>
        <v>189.06</v>
      </c>
      <c r="G406" s="20">
        <f>+ROUND(F406*E406,2)</f>
        <v>3781.2</v>
      </c>
    </row>
    <row r="407" spans="1:7" ht="14.4" x14ac:dyDescent="0.3">
      <c r="A407" s="14" t="s">
        <v>583</v>
      </c>
      <c r="B407" s="15" t="s">
        <v>186</v>
      </c>
      <c r="C407" s="19" t="s">
        <v>187</v>
      </c>
      <c r="D407" s="19" t="s">
        <v>73</v>
      </c>
      <c r="E407" s="20">
        <v>85</v>
      </c>
      <c r="F407" s="20">
        <f>+VLOOKUP(C407,[1]Serviços!$C$6:$F$172,4,FALSE)</f>
        <v>172.39</v>
      </c>
      <c r="G407" s="20">
        <f>+ROUND(F407*E407,2)</f>
        <v>14653.15</v>
      </c>
    </row>
    <row r="408" spans="1:7" x14ac:dyDescent="0.4">
      <c r="A408" s="14" t="s">
        <v>584</v>
      </c>
      <c r="B408" s="15" t="s">
        <v>585</v>
      </c>
      <c r="C408" s="16"/>
      <c r="D408" s="16"/>
      <c r="E408" s="17"/>
      <c r="F408" s="17"/>
      <c r="G408" s="17"/>
    </row>
    <row r="409" spans="1:7" ht="14.4" x14ac:dyDescent="0.3">
      <c r="A409" s="14" t="s">
        <v>586</v>
      </c>
      <c r="B409" s="15" t="s">
        <v>587</v>
      </c>
      <c r="C409" s="19" t="s">
        <v>588</v>
      </c>
      <c r="D409" s="19" t="s">
        <v>589</v>
      </c>
      <c r="E409" s="20">
        <v>50</v>
      </c>
      <c r="F409" s="20">
        <f>+VLOOKUP(C409,[1]Serviços!$C$6:$F$172,4,FALSE)</f>
        <v>7.51</v>
      </c>
      <c r="G409" s="20">
        <f>+ROUND(F409*E409,2)</f>
        <v>375.5</v>
      </c>
    </row>
    <row r="410" spans="1:7" x14ac:dyDescent="0.4">
      <c r="A410" s="14" t="s">
        <v>590</v>
      </c>
      <c r="B410" s="15" t="s">
        <v>399</v>
      </c>
      <c r="C410" s="16"/>
      <c r="D410" s="16"/>
      <c r="E410" s="17"/>
      <c r="F410" s="17"/>
      <c r="G410" s="17"/>
    </row>
    <row r="411" spans="1:7" ht="14.4" x14ac:dyDescent="0.3">
      <c r="A411" s="14" t="s">
        <v>591</v>
      </c>
      <c r="B411" s="15" t="s">
        <v>401</v>
      </c>
      <c r="C411" s="19" t="s">
        <v>402</v>
      </c>
      <c r="D411" s="19" t="s">
        <v>73</v>
      </c>
      <c r="E411" s="20">
        <v>5</v>
      </c>
      <c r="F411" s="20">
        <f>+VLOOKUP(C411,[1]Serviços!$C$6:$F$172,4,FALSE)</f>
        <v>417.4</v>
      </c>
      <c r="G411" s="20">
        <f>+ROUND(F411*E411,2)</f>
        <v>2087</v>
      </c>
    </row>
    <row r="412" spans="1:7" ht="25.2" x14ac:dyDescent="0.4">
      <c r="A412" s="14" t="s">
        <v>592</v>
      </c>
      <c r="B412" s="15" t="s">
        <v>593</v>
      </c>
      <c r="C412" s="16"/>
      <c r="D412" s="16"/>
      <c r="E412" s="17"/>
      <c r="F412" s="17"/>
      <c r="G412" s="17"/>
    </row>
    <row r="413" spans="1:7" ht="36" x14ac:dyDescent="0.3">
      <c r="A413" s="14" t="s">
        <v>594</v>
      </c>
      <c r="B413" s="15" t="s">
        <v>595</v>
      </c>
      <c r="C413" s="19" t="s">
        <v>596</v>
      </c>
      <c r="D413" s="19" t="s">
        <v>73</v>
      </c>
      <c r="E413" s="20">
        <v>2</v>
      </c>
      <c r="F413" s="20">
        <f>+VLOOKUP(C413,[1]Serviços!$C$6:$F$172,4,FALSE)</f>
        <v>548.12</v>
      </c>
      <c r="G413" s="20">
        <f>+ROUND(F413*E413,2)</f>
        <v>1096.24</v>
      </c>
    </row>
    <row r="414" spans="1:7" x14ac:dyDescent="0.4">
      <c r="A414" s="14" t="s">
        <v>597</v>
      </c>
      <c r="B414" s="15" t="s">
        <v>333</v>
      </c>
      <c r="C414" s="16"/>
      <c r="D414" s="16"/>
      <c r="E414" s="17"/>
      <c r="F414" s="17"/>
      <c r="G414" s="17"/>
    </row>
    <row r="415" spans="1:7" ht="14.4" x14ac:dyDescent="0.3">
      <c r="A415" s="14" t="s">
        <v>598</v>
      </c>
      <c r="B415" s="15" t="s">
        <v>201</v>
      </c>
      <c r="C415" s="19" t="s">
        <v>335</v>
      </c>
      <c r="D415" s="19" t="s">
        <v>69</v>
      </c>
      <c r="E415" s="20">
        <v>2</v>
      </c>
      <c r="F415" s="20">
        <f>+VLOOKUP(C415,[1]Serviços!$C$6:$F$172,4,FALSE)</f>
        <v>3193.31</v>
      </c>
      <c r="G415" s="20">
        <f t="shared" ref="G415:G420" si="3">+ROUND(F415*E415,2)</f>
        <v>6386.62</v>
      </c>
    </row>
    <row r="416" spans="1:7" ht="14.4" x14ac:dyDescent="0.3">
      <c r="A416" s="14" t="s">
        <v>599</v>
      </c>
      <c r="B416" s="15" t="s">
        <v>204</v>
      </c>
      <c r="C416" s="19" t="s">
        <v>337</v>
      </c>
      <c r="D416" s="19" t="s">
        <v>69</v>
      </c>
      <c r="E416" s="20">
        <v>5</v>
      </c>
      <c r="F416" s="20">
        <f>+VLOOKUP(C416,[1]Serviços!$C$6:$F$172,4,FALSE)</f>
        <v>3783.62</v>
      </c>
      <c r="G416" s="20">
        <f t="shared" si="3"/>
        <v>18918.099999999999</v>
      </c>
    </row>
    <row r="417" spans="1:7" ht="14.4" x14ac:dyDescent="0.3">
      <c r="A417" s="14" t="s">
        <v>600</v>
      </c>
      <c r="B417" s="15" t="s">
        <v>207</v>
      </c>
      <c r="C417" s="19" t="s">
        <v>339</v>
      </c>
      <c r="D417" s="19" t="s">
        <v>69</v>
      </c>
      <c r="E417" s="20">
        <v>6</v>
      </c>
      <c r="F417" s="20">
        <f>+VLOOKUP(C417,[1]Serviços!$C$6:$F$172,4,FALSE)</f>
        <v>4625.16</v>
      </c>
      <c r="G417" s="20">
        <f t="shared" si="3"/>
        <v>27750.959999999999</v>
      </c>
    </row>
    <row r="418" spans="1:7" ht="14.4" x14ac:dyDescent="0.3">
      <c r="A418" s="14" t="s">
        <v>601</v>
      </c>
      <c r="B418" s="15" t="s">
        <v>210</v>
      </c>
      <c r="C418" s="19" t="s">
        <v>602</v>
      </c>
      <c r="D418" s="19" t="s">
        <v>69</v>
      </c>
      <c r="E418" s="20">
        <v>2</v>
      </c>
      <c r="F418" s="20">
        <f>+VLOOKUP(C418,[1]Serviços!$C$6:$F$172,4,FALSE)</f>
        <v>5658.82</v>
      </c>
      <c r="G418" s="20">
        <f t="shared" si="3"/>
        <v>11317.64</v>
      </c>
    </row>
    <row r="419" spans="1:7" ht="14.4" x14ac:dyDescent="0.3">
      <c r="A419" s="14" t="s">
        <v>603</v>
      </c>
      <c r="B419" s="15" t="s">
        <v>604</v>
      </c>
      <c r="C419" s="19" t="s">
        <v>605</v>
      </c>
      <c r="D419" s="19" t="s">
        <v>69</v>
      </c>
      <c r="E419" s="20">
        <v>7</v>
      </c>
      <c r="F419" s="20">
        <f>+VLOOKUP(C419,[1]Serviços!$C$6:$F$172,4,FALSE)</f>
        <v>6692.48</v>
      </c>
      <c r="G419" s="20">
        <f t="shared" si="3"/>
        <v>46847.360000000001</v>
      </c>
    </row>
    <row r="420" spans="1:7" ht="14.4" x14ac:dyDescent="0.3">
      <c r="A420" s="14" t="s">
        <v>606</v>
      </c>
      <c r="B420" s="15" t="s">
        <v>607</v>
      </c>
      <c r="C420" s="19" t="s">
        <v>608</v>
      </c>
      <c r="D420" s="19" t="s">
        <v>69</v>
      </c>
      <c r="E420" s="20">
        <v>3</v>
      </c>
      <c r="F420" s="20">
        <f>+VLOOKUP(C420,[1]Serviços!$C$6:$F$172,4,FALSE)</f>
        <v>7726.14</v>
      </c>
      <c r="G420" s="20">
        <f t="shared" si="3"/>
        <v>23178.42</v>
      </c>
    </row>
    <row r="421" spans="1:7" x14ac:dyDescent="0.4">
      <c r="A421" s="21"/>
      <c r="B421" s="22"/>
      <c r="C421" s="16"/>
      <c r="D421" s="19" t="s">
        <v>17</v>
      </c>
      <c r="E421" s="17"/>
      <c r="F421" s="17"/>
      <c r="G421" s="20">
        <f>SUM(G406:G420)</f>
        <v>156392.19</v>
      </c>
    </row>
    <row r="422" spans="1:7" x14ac:dyDescent="0.4">
      <c r="A422" s="14" t="s">
        <v>609</v>
      </c>
      <c r="B422" s="15" t="s">
        <v>229</v>
      </c>
      <c r="C422" s="16"/>
      <c r="D422" s="16"/>
      <c r="E422" s="17"/>
      <c r="F422" s="17"/>
      <c r="G422" s="17"/>
    </row>
    <row r="423" spans="1:7" x14ac:dyDescent="0.4">
      <c r="A423" s="14" t="s">
        <v>610</v>
      </c>
      <c r="B423" s="15" t="s">
        <v>231</v>
      </c>
      <c r="C423" s="16"/>
      <c r="D423" s="16"/>
      <c r="E423" s="17"/>
      <c r="F423" s="17"/>
      <c r="G423" s="17"/>
    </row>
    <row r="424" spans="1:7" ht="14.4" x14ac:dyDescent="0.3">
      <c r="A424" s="14" t="s">
        <v>611</v>
      </c>
      <c r="B424" s="15" t="s">
        <v>480</v>
      </c>
      <c r="C424" s="19" t="s">
        <v>481</v>
      </c>
      <c r="D424" s="19" t="s">
        <v>38</v>
      </c>
      <c r="E424" s="20">
        <v>364</v>
      </c>
      <c r="F424" s="20">
        <f>+VLOOKUP(C424,[1]Serviços!$C$6:$F$172,4,FALSE)</f>
        <v>5.5</v>
      </c>
      <c r="G424" s="20">
        <f>+ROUND(F424*E424,2)</f>
        <v>2002</v>
      </c>
    </row>
    <row r="425" spans="1:7" x14ac:dyDescent="0.4">
      <c r="A425" s="14" t="s">
        <v>612</v>
      </c>
      <c r="B425" s="15" t="s">
        <v>613</v>
      </c>
      <c r="C425" s="16"/>
      <c r="D425" s="16"/>
      <c r="E425" s="17"/>
      <c r="F425" s="17"/>
      <c r="G425" s="17"/>
    </row>
    <row r="426" spans="1:7" ht="14.4" x14ac:dyDescent="0.3">
      <c r="A426" s="14" t="s">
        <v>614</v>
      </c>
      <c r="B426" s="15" t="s">
        <v>615</v>
      </c>
      <c r="C426" s="19" t="s">
        <v>616</v>
      </c>
      <c r="D426" s="19" t="s">
        <v>38</v>
      </c>
      <c r="E426" s="20">
        <v>34</v>
      </c>
      <c r="F426" s="20">
        <f>+VLOOKUP(C426,[1]Serviços!$C$6:$F$172,4,FALSE)</f>
        <v>19.7</v>
      </c>
      <c r="G426" s="20">
        <f>+ROUND(F426*E426,2)</f>
        <v>669.8</v>
      </c>
    </row>
    <row r="427" spans="1:7" x14ac:dyDescent="0.4">
      <c r="A427" s="14" t="s">
        <v>617</v>
      </c>
      <c r="B427" s="15" t="s">
        <v>326</v>
      </c>
      <c r="C427" s="16"/>
      <c r="D427" s="16"/>
      <c r="E427" s="17"/>
      <c r="F427" s="17"/>
      <c r="G427" s="17"/>
    </row>
    <row r="428" spans="1:7" ht="36" x14ac:dyDescent="0.3">
      <c r="A428" s="14" t="s">
        <v>618</v>
      </c>
      <c r="B428" s="15" t="s">
        <v>619</v>
      </c>
      <c r="C428" s="18">
        <v>358011</v>
      </c>
      <c r="D428" s="19" t="s">
        <v>38</v>
      </c>
      <c r="E428" s="20">
        <v>572</v>
      </c>
      <c r="F428" s="20">
        <f>+VLOOKUP(C428,[1]Serviços!$C$6:$F$172,4,FALSE)</f>
        <v>2012</v>
      </c>
      <c r="G428" s="20">
        <f>+ROUND(F428*E428,2)</f>
        <v>1150864</v>
      </c>
    </row>
    <row r="429" spans="1:7" x14ac:dyDescent="0.4">
      <c r="A429" s="21"/>
      <c r="B429" s="22"/>
      <c r="C429" s="16"/>
      <c r="D429" s="19" t="s">
        <v>17</v>
      </c>
      <c r="E429" s="17"/>
      <c r="F429" s="17"/>
      <c r="G429" s="20">
        <f>SUM(G424:G428)</f>
        <v>1153535.8</v>
      </c>
    </row>
    <row r="430" spans="1:7" x14ac:dyDescent="0.4">
      <c r="A430" s="14" t="s">
        <v>620</v>
      </c>
      <c r="B430" s="15" t="s">
        <v>238</v>
      </c>
      <c r="C430" s="16"/>
      <c r="D430" s="16"/>
      <c r="E430" s="17"/>
      <c r="F430" s="17"/>
      <c r="G430" s="17"/>
    </row>
    <row r="431" spans="1:7" x14ac:dyDescent="0.4">
      <c r="A431" s="14" t="s">
        <v>621</v>
      </c>
      <c r="B431" s="15" t="s">
        <v>240</v>
      </c>
      <c r="C431" s="16"/>
      <c r="D431" s="16"/>
      <c r="E431" s="17"/>
      <c r="F431" s="17"/>
      <c r="G431" s="17"/>
    </row>
    <row r="432" spans="1:7" ht="14.4" x14ac:dyDescent="0.3">
      <c r="A432" s="14" t="s">
        <v>622</v>
      </c>
      <c r="B432" s="15" t="s">
        <v>242</v>
      </c>
      <c r="C432" s="18">
        <v>100101</v>
      </c>
      <c r="D432" s="19" t="s">
        <v>57</v>
      </c>
      <c r="E432" s="20">
        <v>550</v>
      </c>
      <c r="F432" s="20">
        <f>+VLOOKUP(C432,[1]Serviços!$C$6:$F$172,4,FALSE)</f>
        <v>15.8</v>
      </c>
      <c r="G432" s="20">
        <f>+ROUND(F432*E432,2)</f>
        <v>8690</v>
      </c>
    </row>
    <row r="433" spans="1:7" ht="14.4" x14ac:dyDescent="0.3">
      <c r="A433" s="14" t="s">
        <v>623</v>
      </c>
      <c r="B433" s="15" t="s">
        <v>246</v>
      </c>
      <c r="C433" s="18">
        <v>100103</v>
      </c>
      <c r="D433" s="19" t="s">
        <v>57</v>
      </c>
      <c r="E433" s="20">
        <v>20</v>
      </c>
      <c r="F433" s="20">
        <f>+VLOOKUP(C433,[1]Serviços!$C$6:$F$172,4,FALSE)</f>
        <v>10.16</v>
      </c>
      <c r="G433" s="20">
        <f>+ROUND(F433*E433,2)</f>
        <v>203.2</v>
      </c>
    </row>
    <row r="434" spans="1:7" ht="14.4" x14ac:dyDescent="0.3">
      <c r="A434" s="14" t="s">
        <v>624</v>
      </c>
      <c r="B434" s="15" t="s">
        <v>250</v>
      </c>
      <c r="C434" s="18">
        <v>100106</v>
      </c>
      <c r="D434" s="19" t="s">
        <v>73</v>
      </c>
      <c r="E434" s="20">
        <v>10</v>
      </c>
      <c r="F434" s="20">
        <f>+VLOOKUP(C434,[1]Serviços!$C$6:$F$172,4,FALSE)</f>
        <v>70.87</v>
      </c>
      <c r="G434" s="20">
        <f>+ROUND(F434*E434,2)</f>
        <v>708.7</v>
      </c>
    </row>
    <row r="435" spans="1:7" ht="14.4" x14ac:dyDescent="0.3">
      <c r="A435" s="14" t="s">
        <v>625</v>
      </c>
      <c r="B435" s="15" t="s">
        <v>252</v>
      </c>
      <c r="C435" s="18">
        <v>100107</v>
      </c>
      <c r="D435" s="19" t="s">
        <v>38</v>
      </c>
      <c r="E435" s="20">
        <v>30</v>
      </c>
      <c r="F435" s="20">
        <f>+VLOOKUP(C435,[1]Serviços!$C$6:$F$172,4,FALSE)</f>
        <v>13.63</v>
      </c>
      <c r="G435" s="20">
        <f>+ROUND(F435*E435,2)</f>
        <v>408.9</v>
      </c>
    </row>
    <row r="436" spans="1:7" x14ac:dyDescent="0.4">
      <c r="A436" s="14" t="s">
        <v>626</v>
      </c>
      <c r="B436" s="15" t="s">
        <v>256</v>
      </c>
      <c r="C436" s="16"/>
      <c r="D436" s="16"/>
      <c r="E436" s="17"/>
      <c r="F436" s="17"/>
      <c r="G436" s="17"/>
    </row>
    <row r="437" spans="1:7" ht="14.4" x14ac:dyDescent="0.3">
      <c r="A437" s="14" t="s">
        <v>627</v>
      </c>
      <c r="B437" s="15" t="s">
        <v>258</v>
      </c>
      <c r="C437" s="18">
        <v>100201</v>
      </c>
      <c r="D437" s="19" t="s">
        <v>57</v>
      </c>
      <c r="E437" s="20">
        <v>830</v>
      </c>
      <c r="F437" s="20">
        <f>+VLOOKUP(C437,[1]Serviços!$C$6:$F$172,4,FALSE)</f>
        <v>0.51</v>
      </c>
      <c r="G437" s="20">
        <f>+ROUND(F437*E437,2)</f>
        <v>423.3</v>
      </c>
    </row>
    <row r="438" spans="1:7" x14ac:dyDescent="0.4">
      <c r="A438" s="14" t="s">
        <v>628</v>
      </c>
      <c r="B438" s="15" t="s">
        <v>260</v>
      </c>
      <c r="C438" s="16"/>
      <c r="D438" s="16"/>
      <c r="E438" s="17"/>
      <c r="F438" s="17"/>
      <c r="G438" s="17"/>
    </row>
    <row r="439" spans="1:7" ht="14.4" x14ac:dyDescent="0.3">
      <c r="A439" s="14" t="s">
        <v>629</v>
      </c>
      <c r="B439" s="15" t="s">
        <v>262</v>
      </c>
      <c r="C439" s="18">
        <v>100312</v>
      </c>
      <c r="D439" s="19" t="s">
        <v>73</v>
      </c>
      <c r="E439" s="20">
        <v>10</v>
      </c>
      <c r="F439" s="20">
        <f>+VLOOKUP(C439,[1]Serviços!$C$6:$F$172,4,FALSE)</f>
        <v>478.05</v>
      </c>
      <c r="G439" s="20">
        <f>+ROUND(F439*E439,2)</f>
        <v>4780.5</v>
      </c>
    </row>
    <row r="440" spans="1:7" ht="14.4" x14ac:dyDescent="0.3">
      <c r="A440" s="14" t="s">
        <v>630</v>
      </c>
      <c r="B440" s="15" t="s">
        <v>268</v>
      </c>
      <c r="C440" s="18">
        <v>100305</v>
      </c>
      <c r="D440" s="19" t="s">
        <v>57</v>
      </c>
      <c r="E440" s="20">
        <v>20</v>
      </c>
      <c r="F440" s="20">
        <f>+VLOOKUP(C440,[1]Serviços!$C$6:$F$172,4,FALSE)</f>
        <v>69.48</v>
      </c>
      <c r="G440" s="20">
        <f>+ROUND(F440*E440,2)</f>
        <v>1389.6</v>
      </c>
    </row>
    <row r="441" spans="1:7" ht="14.4" x14ac:dyDescent="0.3">
      <c r="A441" s="14" t="s">
        <v>631</v>
      </c>
      <c r="B441" s="15" t="s">
        <v>274</v>
      </c>
      <c r="C441" s="18">
        <v>100310</v>
      </c>
      <c r="D441" s="19" t="s">
        <v>38</v>
      </c>
      <c r="E441" s="20">
        <v>30</v>
      </c>
      <c r="F441" s="20">
        <f>+VLOOKUP(C441,[1]Serviços!$C$6:$F$172,4,FALSE)</f>
        <v>8.6999999999999993</v>
      </c>
      <c r="G441" s="20">
        <f>+ROUND(F441*E441,2)</f>
        <v>261</v>
      </c>
    </row>
    <row r="442" spans="1:7" ht="14.4" x14ac:dyDescent="0.3">
      <c r="A442" s="14" t="s">
        <v>632</v>
      </c>
      <c r="B442" s="15" t="s">
        <v>276</v>
      </c>
      <c r="C442" s="18">
        <v>100311</v>
      </c>
      <c r="D442" s="19" t="s">
        <v>38</v>
      </c>
      <c r="E442" s="20">
        <v>30</v>
      </c>
      <c r="F442" s="20">
        <f>+VLOOKUP(C442,[1]Serviços!$C$6:$F$172,4,FALSE)</f>
        <v>25.33</v>
      </c>
      <c r="G442" s="20">
        <f>+ROUND(F442*E442,2)</f>
        <v>759.9</v>
      </c>
    </row>
    <row r="443" spans="1:7" x14ac:dyDescent="0.4">
      <c r="A443" s="14" t="s">
        <v>633</v>
      </c>
      <c r="B443" s="15" t="s">
        <v>278</v>
      </c>
      <c r="C443" s="16"/>
      <c r="D443" s="16"/>
      <c r="E443" s="17"/>
      <c r="F443" s="17"/>
      <c r="G443" s="17"/>
    </row>
    <row r="444" spans="1:7" ht="14.4" x14ac:dyDescent="0.3">
      <c r="A444" s="14" t="s">
        <v>634</v>
      </c>
      <c r="B444" s="15" t="s">
        <v>286</v>
      </c>
      <c r="C444" s="18">
        <v>100407</v>
      </c>
      <c r="D444" s="19" t="s">
        <v>73</v>
      </c>
      <c r="E444" s="20">
        <v>83</v>
      </c>
      <c r="F444" s="20">
        <f>+VLOOKUP(C444,[1]Serviços!$C$6:$F$172,4,FALSE)</f>
        <v>374.48</v>
      </c>
      <c r="G444" s="20">
        <f>+ROUND(F444*E444,2)</f>
        <v>31081.84</v>
      </c>
    </row>
    <row r="445" spans="1:7" ht="14.4" x14ac:dyDescent="0.3">
      <c r="A445" s="14" t="s">
        <v>635</v>
      </c>
      <c r="B445" s="15" t="s">
        <v>280</v>
      </c>
      <c r="C445" s="18">
        <v>100401</v>
      </c>
      <c r="D445" s="19" t="s">
        <v>57</v>
      </c>
      <c r="E445" s="20">
        <v>550</v>
      </c>
      <c r="F445" s="20">
        <f>+VLOOKUP(C445,[1]Serviços!$C$6:$F$172,4,FALSE)</f>
        <v>10.41</v>
      </c>
      <c r="G445" s="20">
        <f>+ROUND(F445*E445,2)</f>
        <v>5725.5</v>
      </c>
    </row>
    <row r="446" spans="1:7" ht="14.4" x14ac:dyDescent="0.3">
      <c r="A446" s="14" t="s">
        <v>636</v>
      </c>
      <c r="B446" s="15" t="s">
        <v>282</v>
      </c>
      <c r="C446" s="18">
        <v>100404</v>
      </c>
      <c r="D446" s="19" t="s">
        <v>57</v>
      </c>
      <c r="E446" s="20">
        <v>550</v>
      </c>
      <c r="F446" s="20">
        <f>+VLOOKUP(C446,[1]Serviços!$C$6:$F$172,4,FALSE)</f>
        <v>4.71</v>
      </c>
      <c r="G446" s="20">
        <f>+ROUND(F446*E446,2)</f>
        <v>2590.5</v>
      </c>
    </row>
    <row r="447" spans="1:7" ht="14.4" x14ac:dyDescent="0.3">
      <c r="A447" s="14" t="s">
        <v>637</v>
      </c>
      <c r="B447" s="15" t="s">
        <v>284</v>
      </c>
      <c r="C447" s="18">
        <v>100406</v>
      </c>
      <c r="D447" s="19" t="s">
        <v>73</v>
      </c>
      <c r="E447" s="20">
        <v>30</v>
      </c>
      <c r="F447" s="20">
        <f>+VLOOKUP(C447,[1]Serviços!$C$6:$F$172,4,FALSE)</f>
        <v>644.15</v>
      </c>
      <c r="G447" s="20">
        <f>+ROUND(F447*E447,2)</f>
        <v>19324.5</v>
      </c>
    </row>
    <row r="448" spans="1:7" x14ac:dyDescent="0.4">
      <c r="A448" s="21"/>
      <c r="B448" s="22"/>
      <c r="C448" s="16"/>
      <c r="D448" s="19" t="s">
        <v>17</v>
      </c>
      <c r="E448" s="17"/>
      <c r="F448" s="17"/>
      <c r="G448" s="20">
        <f>SUM(G432:G447)</f>
        <v>76347.44</v>
      </c>
    </row>
    <row r="449" spans="1:7" x14ac:dyDescent="0.4">
      <c r="A449" s="14" t="s">
        <v>638</v>
      </c>
      <c r="B449" s="15" t="s">
        <v>290</v>
      </c>
      <c r="C449" s="16"/>
      <c r="D449" s="16"/>
      <c r="E449" s="17"/>
      <c r="F449" s="17"/>
      <c r="G449" s="17"/>
    </row>
    <row r="450" spans="1:7" ht="14.4" x14ac:dyDescent="0.3">
      <c r="A450" s="14" t="s">
        <v>639</v>
      </c>
      <c r="B450" s="15" t="s">
        <v>640</v>
      </c>
      <c r="C450" s="18">
        <v>356022</v>
      </c>
      <c r="D450" s="19" t="s">
        <v>16</v>
      </c>
      <c r="E450" s="20">
        <v>1</v>
      </c>
      <c r="F450" s="20">
        <f>+VLOOKUP(C450,[1]Serviços!$C$6:$F$172,4,FALSE)</f>
        <v>61914</v>
      </c>
      <c r="G450" s="20">
        <f>+ROUND(F450*E450,2)</f>
        <v>61914</v>
      </c>
    </row>
    <row r="451" spans="1:7" ht="14.4" x14ac:dyDescent="0.3">
      <c r="A451" s="14" t="s">
        <v>641</v>
      </c>
      <c r="B451" s="15" t="s">
        <v>294</v>
      </c>
      <c r="C451" s="18">
        <v>356006</v>
      </c>
      <c r="D451" s="19" t="s">
        <v>69</v>
      </c>
      <c r="E451" s="20">
        <v>25</v>
      </c>
      <c r="F451" s="20">
        <f>+VLOOKUP(C451,[1]Serviços!$C$6:$F$172,4,FALSE)</f>
        <v>437.4</v>
      </c>
      <c r="G451" s="20">
        <f>+ROUND(F451*E451,2)</f>
        <v>10935</v>
      </c>
    </row>
    <row r="452" spans="1:7" x14ac:dyDescent="0.4">
      <c r="A452" s="21"/>
      <c r="B452" s="22"/>
      <c r="C452" s="16"/>
      <c r="D452" s="19" t="s">
        <v>17</v>
      </c>
      <c r="E452" s="17"/>
      <c r="F452" s="17"/>
      <c r="G452" s="20">
        <f>SUM(G450:G451)</f>
        <v>72849</v>
      </c>
    </row>
    <row r="453" spans="1:7" x14ac:dyDescent="0.4">
      <c r="A453" s="21"/>
      <c r="B453" s="22"/>
      <c r="C453" s="16"/>
      <c r="D453" s="19" t="s">
        <v>295</v>
      </c>
      <c r="E453" s="17"/>
      <c r="F453" s="17"/>
      <c r="G453" s="20">
        <f>SUM(G356:G452)/2</f>
        <v>1661692.84</v>
      </c>
    </row>
    <row r="454" spans="1:7" ht="16.8" x14ac:dyDescent="0.45">
      <c r="A454" s="23" t="s">
        <v>642</v>
      </c>
      <c r="B454" s="24" t="s">
        <v>643</v>
      </c>
      <c r="C454" s="25"/>
      <c r="D454" s="25"/>
      <c r="E454" s="26"/>
      <c r="F454" s="26"/>
      <c r="G454" s="26"/>
    </row>
    <row r="455" spans="1:7" x14ac:dyDescent="0.4">
      <c r="A455" s="14" t="s">
        <v>644</v>
      </c>
      <c r="B455" s="15" t="s">
        <v>326</v>
      </c>
      <c r="C455" s="16"/>
      <c r="D455" s="16"/>
      <c r="E455" s="17"/>
      <c r="F455" s="17"/>
      <c r="G455" s="17"/>
    </row>
    <row r="456" spans="1:7" ht="36" x14ac:dyDescent="0.3">
      <c r="A456" s="14" t="s">
        <v>645</v>
      </c>
      <c r="B456" s="15" t="s">
        <v>646</v>
      </c>
      <c r="C456" s="18">
        <v>358010</v>
      </c>
      <c r="D456" s="19" t="s">
        <v>38</v>
      </c>
      <c r="E456" s="20">
        <v>1350</v>
      </c>
      <c r="F456" s="20">
        <f>+VLOOKUP(C456,[1]Serviços!$C$6:$F$172,4,FALSE)</f>
        <v>2601</v>
      </c>
      <c r="G456" s="20">
        <f>+ROUND(F456*E456,2)</f>
        <v>3511350</v>
      </c>
    </row>
    <row r="457" spans="1:7" x14ac:dyDescent="0.4">
      <c r="A457" s="21"/>
      <c r="B457" s="22"/>
      <c r="C457" s="16"/>
      <c r="D457" s="19" t="s">
        <v>17</v>
      </c>
      <c r="E457" s="17"/>
      <c r="F457" s="17"/>
      <c r="G457" s="20">
        <f>SUM(G456)</f>
        <v>3511350</v>
      </c>
    </row>
    <row r="458" spans="1:7" x14ac:dyDescent="0.4">
      <c r="A458" s="21"/>
      <c r="B458" s="22"/>
      <c r="C458" s="16"/>
      <c r="D458" s="19" t="s">
        <v>295</v>
      </c>
      <c r="E458" s="17"/>
      <c r="F458" s="17"/>
      <c r="G458" s="20">
        <f>+G457</f>
        <v>3511350</v>
      </c>
    </row>
    <row r="459" spans="1:7" ht="16.8" x14ac:dyDescent="0.45">
      <c r="A459" s="23" t="s">
        <v>647</v>
      </c>
      <c r="B459" s="24" t="s">
        <v>648</v>
      </c>
      <c r="C459" s="25"/>
      <c r="D459" s="25"/>
      <c r="E459" s="26"/>
      <c r="F459" s="26"/>
      <c r="G459" s="26"/>
    </row>
    <row r="460" spans="1:7" x14ac:dyDescent="0.4">
      <c r="A460" s="14" t="s">
        <v>649</v>
      </c>
      <c r="B460" s="15" t="s">
        <v>650</v>
      </c>
      <c r="C460" s="16"/>
      <c r="D460" s="16"/>
      <c r="E460" s="17"/>
      <c r="F460" s="17"/>
      <c r="G460" s="17"/>
    </row>
    <row r="461" spans="1:7" ht="14.4" x14ac:dyDescent="0.3">
      <c r="A461" s="14" t="s">
        <v>651</v>
      </c>
      <c r="B461" s="15" t="s">
        <v>652</v>
      </c>
      <c r="C461" s="18">
        <v>356023</v>
      </c>
      <c r="D461" s="19" t="s">
        <v>16</v>
      </c>
      <c r="E461" s="20">
        <v>1</v>
      </c>
      <c r="F461" s="20">
        <f>+VLOOKUP(C461,[1]Serviços!$C$6:$F$172,4,FALSE)</f>
        <v>120617</v>
      </c>
      <c r="G461" s="20">
        <f>+ROUND(F461*E461,2)</f>
        <v>120617</v>
      </c>
    </row>
    <row r="462" spans="1:7" ht="14.4" x14ac:dyDescent="0.3">
      <c r="A462" s="14" t="s">
        <v>653</v>
      </c>
      <c r="B462" s="15" t="s">
        <v>654</v>
      </c>
      <c r="C462" s="18">
        <v>356050</v>
      </c>
      <c r="D462" s="19" t="s">
        <v>16</v>
      </c>
      <c r="E462" s="20">
        <v>1</v>
      </c>
      <c r="F462" s="20">
        <f>+VLOOKUP(C462,[1]Serviços!$C$6:$F$172,4,FALSE)</f>
        <v>89400</v>
      </c>
      <c r="G462" s="20">
        <f>+ROUND(F462*E462,2)</f>
        <v>89400</v>
      </c>
    </row>
    <row r="463" spans="1:7" x14ac:dyDescent="0.4">
      <c r="A463" s="21"/>
      <c r="B463" s="22"/>
      <c r="C463" s="16"/>
      <c r="D463" s="19" t="s">
        <v>17</v>
      </c>
      <c r="E463" s="17"/>
      <c r="F463" s="17"/>
      <c r="G463" s="20">
        <f>SUM(G461:G462)</f>
        <v>210017</v>
      </c>
    </row>
    <row r="464" spans="1:7" x14ac:dyDescent="0.4">
      <c r="A464" s="14" t="s">
        <v>655</v>
      </c>
      <c r="B464" s="15" t="s">
        <v>290</v>
      </c>
      <c r="C464" s="16"/>
      <c r="D464" s="16"/>
      <c r="E464" s="17"/>
      <c r="F464" s="17"/>
      <c r="G464" s="17"/>
    </row>
    <row r="465" spans="1:7" ht="14.4" x14ac:dyDescent="0.3">
      <c r="A465" s="14" t="s">
        <v>656</v>
      </c>
      <c r="B465" s="15" t="s">
        <v>657</v>
      </c>
      <c r="C465" s="18">
        <v>356024</v>
      </c>
      <c r="D465" s="19" t="s">
        <v>16</v>
      </c>
      <c r="E465" s="20">
        <v>1</v>
      </c>
      <c r="F465" s="20">
        <f>+VLOOKUP(C465,[1]Serviços!$C$6:$F$172,4,FALSE)</f>
        <v>445153.5</v>
      </c>
      <c r="G465" s="20">
        <f>+ROUND(F465*E465,2)</f>
        <v>445153.5</v>
      </c>
    </row>
    <row r="466" spans="1:7" ht="14.4" x14ac:dyDescent="0.3">
      <c r="A466" s="14" t="s">
        <v>658</v>
      </c>
      <c r="B466" s="15" t="s">
        <v>659</v>
      </c>
      <c r="C466" s="18">
        <v>356025</v>
      </c>
      <c r="D466" s="19" t="s">
        <v>16</v>
      </c>
      <c r="E466" s="20">
        <v>1</v>
      </c>
      <c r="F466" s="20">
        <f>+VLOOKUP(C466,[1]Serviços!$C$6:$F$172,4,FALSE)</f>
        <v>603087.75</v>
      </c>
      <c r="G466" s="20">
        <f>+ROUND(F466*E466,2)</f>
        <v>603087.75</v>
      </c>
    </row>
    <row r="467" spans="1:7" x14ac:dyDescent="0.4">
      <c r="A467" s="21"/>
      <c r="B467" s="22"/>
      <c r="C467" s="16"/>
      <c r="D467" s="19" t="s">
        <v>17</v>
      </c>
      <c r="E467" s="17"/>
      <c r="F467" s="17"/>
      <c r="G467" s="20">
        <f>SUM(G465:G466)</f>
        <v>1048241.25</v>
      </c>
    </row>
    <row r="468" spans="1:7" x14ac:dyDescent="0.4">
      <c r="A468" s="14" t="s">
        <v>660</v>
      </c>
      <c r="B468" s="15" t="s">
        <v>661</v>
      </c>
      <c r="C468" s="16"/>
      <c r="D468" s="16"/>
      <c r="E468" s="17"/>
      <c r="F468" s="17"/>
      <c r="G468" s="17"/>
    </row>
    <row r="469" spans="1:7" ht="14.4" x14ac:dyDescent="0.3">
      <c r="A469" s="14" t="s">
        <v>662</v>
      </c>
      <c r="B469" s="15" t="s">
        <v>663</v>
      </c>
      <c r="C469" s="18">
        <v>356052</v>
      </c>
      <c r="D469" s="19" t="s">
        <v>16</v>
      </c>
      <c r="E469" s="20">
        <v>1</v>
      </c>
      <c r="F469" s="20">
        <f>+VLOOKUP(C469,[1]Serviços!$C$6:$F$172,4,FALSE)</f>
        <v>268654.40000000002</v>
      </c>
      <c r="G469" s="20">
        <f>+ROUND(F469*E469,2)</f>
        <v>268654.40000000002</v>
      </c>
    </row>
    <row r="470" spans="1:7" x14ac:dyDescent="0.4">
      <c r="A470" s="21"/>
      <c r="B470" s="22"/>
      <c r="C470" s="16"/>
      <c r="D470" s="19" t="s">
        <v>17</v>
      </c>
      <c r="E470" s="17"/>
      <c r="F470" s="17"/>
      <c r="G470" s="20">
        <f>SUM(G469)</f>
        <v>268654.40000000002</v>
      </c>
    </row>
    <row r="471" spans="1:7" x14ac:dyDescent="0.4">
      <c r="A471" s="21"/>
      <c r="B471" s="22"/>
      <c r="C471" s="16"/>
      <c r="D471" s="19" t="s">
        <v>295</v>
      </c>
      <c r="E471" s="17"/>
      <c r="F471" s="17"/>
      <c r="G471" s="20">
        <f>SUM(G460:G470)/2</f>
        <v>1526912.65</v>
      </c>
    </row>
    <row r="472" spans="1:7" ht="16.8" x14ac:dyDescent="0.45">
      <c r="A472" s="27">
        <v>10000000</v>
      </c>
      <c r="B472" s="24" t="s">
        <v>664</v>
      </c>
      <c r="C472" s="25"/>
      <c r="D472" s="25"/>
      <c r="E472" s="26"/>
      <c r="F472" s="26"/>
      <c r="G472" s="26"/>
    </row>
    <row r="473" spans="1:7" x14ac:dyDescent="0.4">
      <c r="A473" s="28">
        <v>10010000</v>
      </c>
      <c r="B473" s="15" t="s">
        <v>665</v>
      </c>
      <c r="C473" s="16"/>
      <c r="D473" s="16"/>
      <c r="E473" s="17"/>
      <c r="F473" s="17"/>
      <c r="G473" s="17"/>
    </row>
    <row r="474" spans="1:7" ht="24" x14ac:dyDescent="0.3">
      <c r="A474" s="28">
        <v>10010001</v>
      </c>
      <c r="B474" s="15" t="s">
        <v>666</v>
      </c>
      <c r="C474" s="18">
        <v>358012</v>
      </c>
      <c r="D474" s="19" t="s">
        <v>38</v>
      </c>
      <c r="E474" s="20">
        <v>620</v>
      </c>
      <c r="F474" s="20">
        <f>+VLOOKUP(C474,[1]Serviços!$C$6:$F$172,4,FALSE)</f>
        <v>833.63</v>
      </c>
      <c r="G474" s="20">
        <f>+ROUND(F474*E474,2)</f>
        <v>516850.6</v>
      </c>
    </row>
    <row r="475" spans="1:7" x14ac:dyDescent="0.4">
      <c r="A475" s="21"/>
      <c r="B475" s="22"/>
      <c r="C475" s="16"/>
      <c r="D475" s="19" t="s">
        <v>17</v>
      </c>
      <c r="E475" s="17"/>
      <c r="F475" s="17"/>
      <c r="G475" s="20">
        <f>SUM(G474)</f>
        <v>516850.6</v>
      </c>
    </row>
    <row r="476" spans="1:7" x14ac:dyDescent="0.4">
      <c r="A476" s="28">
        <v>10020000</v>
      </c>
      <c r="B476" s="15" t="s">
        <v>136</v>
      </c>
      <c r="C476" s="16"/>
      <c r="D476" s="16"/>
      <c r="E476" s="17"/>
      <c r="F476" s="17"/>
      <c r="G476" s="17"/>
    </row>
    <row r="477" spans="1:7" x14ac:dyDescent="0.4">
      <c r="A477" s="28">
        <v>10020100</v>
      </c>
      <c r="B477" s="15" t="s">
        <v>138</v>
      </c>
      <c r="C477" s="16"/>
      <c r="D477" s="16"/>
      <c r="E477" s="17"/>
      <c r="F477" s="17"/>
      <c r="G477" s="17"/>
    </row>
    <row r="478" spans="1:7" ht="14.4" x14ac:dyDescent="0.3">
      <c r="A478" s="28">
        <v>10020101</v>
      </c>
      <c r="B478" s="15" t="s">
        <v>149</v>
      </c>
      <c r="C478" s="19" t="s">
        <v>150</v>
      </c>
      <c r="D478" s="19" t="s">
        <v>57</v>
      </c>
      <c r="E478" s="20">
        <v>240</v>
      </c>
      <c r="F478" s="20">
        <f>+VLOOKUP(C478,[1]Serviços!$C$6:$F$172,4,FALSE)</f>
        <v>46.46</v>
      </c>
      <c r="G478" s="20">
        <f>+ROUND(F478*E478,2)</f>
        <v>11150.4</v>
      </c>
    </row>
    <row r="479" spans="1:7" x14ac:dyDescent="0.4">
      <c r="A479" s="21"/>
      <c r="B479" s="22"/>
      <c r="C479" s="16"/>
      <c r="D479" s="19" t="s">
        <v>17</v>
      </c>
      <c r="E479" s="17"/>
      <c r="F479" s="17"/>
      <c r="G479" s="20">
        <f>SUM(G478)</f>
        <v>11150.4</v>
      </c>
    </row>
    <row r="480" spans="1:7" x14ac:dyDescent="0.4">
      <c r="A480" s="21"/>
      <c r="B480" s="22"/>
      <c r="C480" s="16"/>
      <c r="D480" s="19" t="s">
        <v>295</v>
      </c>
      <c r="E480" s="17"/>
      <c r="F480" s="17"/>
      <c r="G480" s="20">
        <f>SUM(G473:G479)/2</f>
        <v>528001</v>
      </c>
    </row>
    <row r="481" spans="1:7" ht="16.8" x14ac:dyDescent="0.45">
      <c r="A481" s="27">
        <v>11000000</v>
      </c>
      <c r="B481" s="24" t="s">
        <v>667</v>
      </c>
      <c r="C481" s="25"/>
      <c r="D481" s="25"/>
      <c r="E481" s="26"/>
      <c r="F481" s="26"/>
      <c r="G481" s="26"/>
    </row>
    <row r="482" spans="1:7" x14ac:dyDescent="0.4">
      <c r="A482" s="28">
        <v>11010000</v>
      </c>
      <c r="B482" s="15" t="s">
        <v>179</v>
      </c>
      <c r="C482" s="16"/>
      <c r="D482" s="16"/>
      <c r="E482" s="17"/>
      <c r="F482" s="17"/>
      <c r="G482" s="17"/>
    </row>
    <row r="483" spans="1:7" x14ac:dyDescent="0.4">
      <c r="A483" s="28">
        <v>11010100</v>
      </c>
      <c r="B483" s="15" t="s">
        <v>181</v>
      </c>
      <c r="C483" s="16"/>
      <c r="D483" s="16"/>
      <c r="E483" s="17"/>
      <c r="F483" s="17"/>
      <c r="G483" s="17"/>
    </row>
    <row r="484" spans="1:7" ht="14.4" x14ac:dyDescent="0.3">
      <c r="A484" s="28">
        <v>11010101</v>
      </c>
      <c r="B484" s="15" t="s">
        <v>183</v>
      </c>
      <c r="C484" s="19" t="s">
        <v>184</v>
      </c>
      <c r="D484" s="19" t="s">
        <v>73</v>
      </c>
      <c r="E484" s="20">
        <v>23</v>
      </c>
      <c r="F484" s="20">
        <f>+VLOOKUP(C484,[1]Serviços!$C$6:$F$172,4,FALSE)</f>
        <v>189.06</v>
      </c>
      <c r="G484" s="20">
        <f>+ROUND(F484*E484,2)</f>
        <v>4348.38</v>
      </c>
    </row>
    <row r="485" spans="1:7" x14ac:dyDescent="0.4">
      <c r="A485" s="28">
        <v>11010200</v>
      </c>
      <c r="B485" s="15" t="s">
        <v>668</v>
      </c>
      <c r="C485" s="16"/>
      <c r="D485" s="16"/>
      <c r="E485" s="17"/>
      <c r="F485" s="17"/>
      <c r="G485" s="17"/>
    </row>
    <row r="486" spans="1:7" ht="14.4" x14ac:dyDescent="0.3">
      <c r="A486" s="28">
        <v>11010201</v>
      </c>
      <c r="B486" s="15" t="s">
        <v>669</v>
      </c>
      <c r="C486" s="19" t="s">
        <v>670</v>
      </c>
      <c r="D486" s="19" t="s">
        <v>57</v>
      </c>
      <c r="E486" s="20">
        <v>180</v>
      </c>
      <c r="F486" s="20">
        <f>+VLOOKUP(C486,[1]Serviços!$C$6:$F$172,4,FALSE)</f>
        <v>68.13</v>
      </c>
      <c r="G486" s="20">
        <f>+ROUND(F486*E486,2)</f>
        <v>12263.4</v>
      </c>
    </row>
    <row r="487" spans="1:7" x14ac:dyDescent="0.4">
      <c r="A487" s="28">
        <v>11010300</v>
      </c>
      <c r="B487" s="15" t="s">
        <v>585</v>
      </c>
      <c r="C487" s="16"/>
      <c r="D487" s="16"/>
      <c r="E487" s="17"/>
      <c r="F487" s="17"/>
      <c r="G487" s="17"/>
    </row>
    <row r="488" spans="1:7" ht="14.4" x14ac:dyDescent="0.3">
      <c r="A488" s="28">
        <v>11010301</v>
      </c>
      <c r="B488" s="15" t="s">
        <v>587</v>
      </c>
      <c r="C488" s="19" t="s">
        <v>588</v>
      </c>
      <c r="D488" s="19" t="s">
        <v>589</v>
      </c>
      <c r="E488" s="20">
        <v>1440</v>
      </c>
      <c r="F488" s="20">
        <f>+VLOOKUP(C488,[1]Serviços!$C$6:$F$172,4,FALSE)</f>
        <v>7.51</v>
      </c>
      <c r="G488" s="20">
        <f>+ROUND(F488*E488,2)</f>
        <v>10814.4</v>
      </c>
    </row>
    <row r="489" spans="1:7" x14ac:dyDescent="0.4">
      <c r="A489" s="28">
        <v>11010400</v>
      </c>
      <c r="B489" s="15" t="s">
        <v>399</v>
      </c>
      <c r="C489" s="16"/>
      <c r="D489" s="16"/>
      <c r="E489" s="17"/>
      <c r="F489" s="17"/>
      <c r="G489" s="17"/>
    </row>
    <row r="490" spans="1:7" ht="14.4" x14ac:dyDescent="0.3">
      <c r="A490" s="28">
        <v>11010401</v>
      </c>
      <c r="B490" s="15" t="s">
        <v>401</v>
      </c>
      <c r="C490" s="19" t="s">
        <v>402</v>
      </c>
      <c r="D490" s="19" t="s">
        <v>73</v>
      </c>
      <c r="E490" s="20">
        <v>23</v>
      </c>
      <c r="F490" s="20">
        <f>+VLOOKUP(C490,[1]Serviços!$C$6:$F$172,4,FALSE)</f>
        <v>417.4</v>
      </c>
      <c r="G490" s="20">
        <f>+ROUND(F490*E490,2)</f>
        <v>9600.2000000000007</v>
      </c>
    </row>
    <row r="491" spans="1:7" x14ac:dyDescent="0.4">
      <c r="A491" s="28">
        <v>11010500</v>
      </c>
      <c r="B491" s="15" t="s">
        <v>194</v>
      </c>
      <c r="C491" s="16"/>
      <c r="D491" s="16"/>
      <c r="E491" s="17"/>
      <c r="F491" s="17"/>
      <c r="G491" s="17"/>
    </row>
    <row r="492" spans="1:7" ht="24" x14ac:dyDescent="0.3">
      <c r="A492" s="28">
        <v>11010501</v>
      </c>
      <c r="B492" s="15" t="s">
        <v>671</v>
      </c>
      <c r="C492" s="19" t="s">
        <v>672</v>
      </c>
      <c r="D492" s="19" t="s">
        <v>73</v>
      </c>
      <c r="E492" s="20">
        <v>18</v>
      </c>
      <c r="F492" s="20">
        <f>+VLOOKUP(C492,[1]Serviços!$C$6:$F$172,4,FALSE)</f>
        <v>525.04</v>
      </c>
      <c r="G492" s="20">
        <f>+ROUND(F492*E492,2)</f>
        <v>9450.7199999999993</v>
      </c>
    </row>
    <row r="493" spans="1:7" x14ac:dyDescent="0.4">
      <c r="A493" s="21"/>
      <c r="B493" s="22"/>
      <c r="C493" s="16"/>
      <c r="D493" s="19" t="s">
        <v>17</v>
      </c>
      <c r="E493" s="17"/>
      <c r="F493" s="17"/>
      <c r="G493" s="20">
        <f>SUM(G484:G492)</f>
        <v>46477.100000000006</v>
      </c>
    </row>
    <row r="494" spans="1:7" x14ac:dyDescent="0.4">
      <c r="A494" s="28">
        <v>11020000</v>
      </c>
      <c r="B494" s="15" t="s">
        <v>665</v>
      </c>
      <c r="C494" s="16"/>
      <c r="D494" s="16"/>
      <c r="E494" s="17"/>
      <c r="F494" s="17"/>
      <c r="G494" s="17"/>
    </row>
    <row r="495" spans="1:7" ht="24" x14ac:dyDescent="0.3">
      <c r="A495" s="28">
        <v>11020001</v>
      </c>
      <c r="B495" s="15" t="s">
        <v>673</v>
      </c>
      <c r="C495" s="18">
        <v>358013</v>
      </c>
      <c r="D495" s="19" t="s">
        <v>38</v>
      </c>
      <c r="E495" s="20">
        <v>251</v>
      </c>
      <c r="F495" s="20">
        <f>+VLOOKUP(C495,[1]Serviços!$C$6:$F$172,4,FALSE)</f>
        <v>1199.71</v>
      </c>
      <c r="G495" s="20">
        <f>+ROUND(F495*E495,2)</f>
        <v>301127.21000000002</v>
      </c>
    </row>
    <row r="496" spans="1:7" x14ac:dyDescent="0.4">
      <c r="A496" s="28">
        <v>11020100</v>
      </c>
      <c r="B496" s="15" t="s">
        <v>333</v>
      </c>
      <c r="C496" s="16"/>
      <c r="D496" s="16"/>
      <c r="E496" s="17"/>
      <c r="F496" s="17"/>
      <c r="G496" s="17"/>
    </row>
    <row r="497" spans="1:7" ht="14.4" x14ac:dyDescent="0.3">
      <c r="A497" s="28">
        <v>11020101</v>
      </c>
      <c r="B497" s="15" t="s">
        <v>201</v>
      </c>
      <c r="C497" s="19" t="s">
        <v>335</v>
      </c>
      <c r="D497" s="19" t="s">
        <v>69</v>
      </c>
      <c r="E497" s="20">
        <v>3</v>
      </c>
      <c r="F497" s="20">
        <f>+VLOOKUP(C497,[1]Serviços!$C$6:$F$172,4,FALSE)</f>
        <v>3193.31</v>
      </c>
      <c r="G497" s="20">
        <f>+ROUND(F497*E497,2)</f>
        <v>9579.93</v>
      </c>
    </row>
    <row r="498" spans="1:7" ht="14.4" x14ac:dyDescent="0.3">
      <c r="A498" s="28">
        <v>11020102</v>
      </c>
      <c r="B498" s="15" t="s">
        <v>204</v>
      </c>
      <c r="C498" s="19" t="s">
        <v>337</v>
      </c>
      <c r="D498" s="19" t="s">
        <v>69</v>
      </c>
      <c r="E498" s="20">
        <v>1</v>
      </c>
      <c r="F498" s="20">
        <f>+VLOOKUP(C498,[1]Serviços!$C$6:$F$172,4,FALSE)</f>
        <v>3783.62</v>
      </c>
      <c r="G498" s="20">
        <f>+ROUND(F498*E498,2)</f>
        <v>3783.62</v>
      </c>
    </row>
    <row r="499" spans="1:7" ht="14.4" x14ac:dyDescent="0.3">
      <c r="A499" s="28">
        <v>11020103</v>
      </c>
      <c r="B499" s="15" t="s">
        <v>207</v>
      </c>
      <c r="C499" s="19" t="s">
        <v>339</v>
      </c>
      <c r="D499" s="19" t="s">
        <v>69</v>
      </c>
      <c r="E499" s="20">
        <v>1</v>
      </c>
      <c r="F499" s="20">
        <f>+VLOOKUP(C499,[1]Serviços!$C$6:$F$172,4,FALSE)</f>
        <v>4625.16</v>
      </c>
      <c r="G499" s="20">
        <f>+ROUND(F499*E499,2)</f>
        <v>4625.16</v>
      </c>
    </row>
    <row r="500" spans="1:7" ht="14.4" x14ac:dyDescent="0.3">
      <c r="A500" s="28">
        <v>11020104</v>
      </c>
      <c r="B500" s="15" t="s">
        <v>210</v>
      </c>
      <c r="C500" s="19" t="s">
        <v>602</v>
      </c>
      <c r="D500" s="19" t="s">
        <v>69</v>
      </c>
      <c r="E500" s="20">
        <v>1</v>
      </c>
      <c r="F500" s="20">
        <f>+VLOOKUP(C500,[1]Serviços!$C$6:$F$172,4,FALSE)</f>
        <v>5658.82</v>
      </c>
      <c r="G500" s="20">
        <f>+ROUND(F500*E500,2)</f>
        <v>5658.82</v>
      </c>
    </row>
    <row r="501" spans="1:7" x14ac:dyDescent="0.4">
      <c r="A501" s="21"/>
      <c r="B501" s="22"/>
      <c r="C501" s="16"/>
      <c r="D501" s="19" t="s">
        <v>17</v>
      </c>
      <c r="E501" s="17"/>
      <c r="F501" s="17"/>
      <c r="G501" s="20">
        <f>SUM(G495:G500)</f>
        <v>324774.74</v>
      </c>
    </row>
    <row r="502" spans="1:7" x14ac:dyDescent="0.4">
      <c r="A502" s="28">
        <v>11030000</v>
      </c>
      <c r="B502" s="15" t="s">
        <v>87</v>
      </c>
      <c r="C502" s="16"/>
      <c r="D502" s="16"/>
      <c r="E502" s="17"/>
      <c r="F502" s="17"/>
      <c r="G502" s="17"/>
    </row>
    <row r="503" spans="1:7" x14ac:dyDescent="0.4">
      <c r="A503" s="28">
        <v>11030100</v>
      </c>
      <c r="B503" s="15" t="s">
        <v>674</v>
      </c>
      <c r="C503" s="16"/>
      <c r="D503" s="16"/>
      <c r="E503" s="17"/>
      <c r="F503" s="17"/>
      <c r="G503" s="17"/>
    </row>
    <row r="504" spans="1:7" ht="24" x14ac:dyDescent="0.3">
      <c r="A504" s="28">
        <v>11030101</v>
      </c>
      <c r="B504" s="15" t="s">
        <v>675</v>
      </c>
      <c r="C504" s="19" t="s">
        <v>676</v>
      </c>
      <c r="D504" s="19" t="s">
        <v>73</v>
      </c>
      <c r="E504" s="20">
        <v>180</v>
      </c>
      <c r="F504" s="20">
        <f>+VLOOKUP(C504,[1]Serviços!$C$6:$F$172,4,FALSE)</f>
        <v>10.42</v>
      </c>
      <c r="G504" s="20">
        <f>+ROUND(F504*E504,2)</f>
        <v>1875.6</v>
      </c>
    </row>
    <row r="505" spans="1:7" x14ac:dyDescent="0.4">
      <c r="A505" s="21"/>
      <c r="B505" s="22"/>
      <c r="C505" s="16"/>
      <c r="D505" s="19" t="s">
        <v>17</v>
      </c>
      <c r="E505" s="17"/>
      <c r="F505" s="17"/>
      <c r="G505" s="20">
        <f>SUM(G504)</f>
        <v>1875.6</v>
      </c>
    </row>
    <row r="506" spans="1:7" x14ac:dyDescent="0.4">
      <c r="A506" s="21"/>
      <c r="B506" s="22"/>
      <c r="C506" s="16"/>
      <c r="D506" s="19" t="s">
        <v>295</v>
      </c>
      <c r="E506" s="17"/>
      <c r="F506" s="17"/>
      <c r="G506" s="20">
        <f>SUM(G482:G505)/2</f>
        <v>373127.43999999994</v>
      </c>
    </row>
    <row r="507" spans="1:7" ht="16.8" x14ac:dyDescent="0.45">
      <c r="A507" s="27">
        <v>12000000</v>
      </c>
      <c r="B507" s="24" t="s">
        <v>677</v>
      </c>
      <c r="C507" s="25"/>
      <c r="D507" s="25"/>
      <c r="E507" s="26"/>
      <c r="F507" s="26"/>
      <c r="G507" s="26"/>
    </row>
    <row r="508" spans="1:7" x14ac:dyDescent="0.4">
      <c r="A508" s="28">
        <v>12010000</v>
      </c>
      <c r="B508" s="15" t="s">
        <v>650</v>
      </c>
      <c r="C508" s="16"/>
      <c r="D508" s="16"/>
      <c r="E508" s="17"/>
      <c r="F508" s="17"/>
      <c r="G508" s="17"/>
    </row>
    <row r="509" spans="1:7" ht="14.4" x14ac:dyDescent="0.3">
      <c r="A509" s="28">
        <v>12010001</v>
      </c>
      <c r="B509" s="15" t="s">
        <v>678</v>
      </c>
      <c r="C509" s="18">
        <v>356031</v>
      </c>
      <c r="D509" s="19" t="s">
        <v>16</v>
      </c>
      <c r="E509" s="20">
        <v>1</v>
      </c>
      <c r="F509" s="20">
        <f>+VLOOKUP(C509,[1]Serviços!$C$6:$F$172,4,FALSE)</f>
        <v>46349</v>
      </c>
      <c r="G509" s="20">
        <f>+ROUND(F509*E509,2)</f>
        <v>46349</v>
      </c>
    </row>
    <row r="510" spans="1:7" ht="14.4" x14ac:dyDescent="0.3">
      <c r="A510" s="28">
        <v>12010002</v>
      </c>
      <c r="B510" s="15" t="s">
        <v>679</v>
      </c>
      <c r="C510" s="18">
        <v>356032</v>
      </c>
      <c r="D510" s="19" t="s">
        <v>16</v>
      </c>
      <c r="E510" s="20">
        <v>1</v>
      </c>
      <c r="F510" s="20">
        <f>+VLOOKUP(C510,[1]Serviços!$C$6:$F$172,4,FALSE)</f>
        <v>59710.3</v>
      </c>
      <c r="G510" s="20">
        <f>+ROUND(F510*E510,2)</f>
        <v>59710.3</v>
      </c>
    </row>
    <row r="511" spans="1:7" x14ac:dyDescent="0.4">
      <c r="A511" s="28">
        <v>12010100</v>
      </c>
      <c r="B511" s="15" t="s">
        <v>290</v>
      </c>
      <c r="C511" s="16"/>
      <c r="D511" s="16"/>
      <c r="E511" s="17"/>
      <c r="F511" s="17"/>
      <c r="G511" s="17"/>
    </row>
    <row r="512" spans="1:7" ht="14.4" x14ac:dyDescent="0.3">
      <c r="A512" s="28">
        <v>12010101</v>
      </c>
      <c r="B512" s="15" t="s">
        <v>680</v>
      </c>
      <c r="C512" s="18">
        <v>356034</v>
      </c>
      <c r="D512" s="19" t="s">
        <v>16</v>
      </c>
      <c r="E512" s="20">
        <v>1</v>
      </c>
      <c r="F512" s="20">
        <f>+VLOOKUP(C512,[1]Serviços!$C$6:$F$172,4,FALSE)</f>
        <v>298551</v>
      </c>
      <c r="G512" s="20">
        <f>+ROUND(F512*E512,2)</f>
        <v>298551</v>
      </c>
    </row>
    <row r="513" spans="1:7" ht="14.4" x14ac:dyDescent="0.3">
      <c r="A513" s="28">
        <v>12010102</v>
      </c>
      <c r="B513" s="15" t="s">
        <v>681</v>
      </c>
      <c r="C513" s="18">
        <v>356033</v>
      </c>
      <c r="D513" s="19" t="s">
        <v>16</v>
      </c>
      <c r="E513" s="20">
        <v>1</v>
      </c>
      <c r="F513" s="20">
        <f>+VLOOKUP(C513,[1]Serviços!$C$6:$F$172,4,FALSE)</f>
        <v>231749</v>
      </c>
      <c r="G513" s="20">
        <f>+ROUND(F513*E513,2)</f>
        <v>231749</v>
      </c>
    </row>
    <row r="514" spans="1:7" x14ac:dyDescent="0.4">
      <c r="A514" s="21"/>
      <c r="B514" s="22"/>
      <c r="C514" s="16"/>
      <c r="D514" s="19" t="s">
        <v>17</v>
      </c>
      <c r="E514" s="17"/>
      <c r="F514" s="17"/>
      <c r="G514" s="20">
        <f>SUM(G509:G513)</f>
        <v>636359.30000000005</v>
      </c>
    </row>
    <row r="515" spans="1:7" x14ac:dyDescent="0.4">
      <c r="A515" s="28">
        <v>12020000</v>
      </c>
      <c r="B515" s="15" t="s">
        <v>682</v>
      </c>
      <c r="C515" s="16"/>
      <c r="D515" s="16"/>
      <c r="E515" s="17"/>
      <c r="F515" s="17"/>
      <c r="G515" s="17"/>
    </row>
    <row r="516" spans="1:7" x14ac:dyDescent="0.4">
      <c r="A516" s="28">
        <v>12020100</v>
      </c>
      <c r="B516" s="15" t="s">
        <v>683</v>
      </c>
      <c r="C516" s="16"/>
      <c r="D516" s="16"/>
      <c r="E516" s="17"/>
      <c r="F516" s="17"/>
      <c r="G516" s="17"/>
    </row>
    <row r="517" spans="1:7" ht="14.4" x14ac:dyDescent="0.3">
      <c r="A517" s="28">
        <v>12020101</v>
      </c>
      <c r="B517" s="15" t="s">
        <v>684</v>
      </c>
      <c r="C517" s="18">
        <v>130318</v>
      </c>
      <c r="D517" s="19" t="s">
        <v>57</v>
      </c>
      <c r="E517" s="20">
        <v>300</v>
      </c>
      <c r="F517" s="20">
        <f>+VLOOKUP(C517,[1]Serviços!$C$6:$F$172,4,FALSE)</f>
        <v>59.26</v>
      </c>
      <c r="G517" s="20">
        <f>+ROUND(F517*E517,2)</f>
        <v>17778</v>
      </c>
    </row>
    <row r="518" spans="1:7" x14ac:dyDescent="0.4">
      <c r="A518" s="21"/>
      <c r="B518" s="22"/>
      <c r="C518" s="16"/>
      <c r="D518" s="19" t="s">
        <v>17</v>
      </c>
      <c r="E518" s="17"/>
      <c r="F518" s="17"/>
      <c r="G518" s="20">
        <f>SUM(G517)</f>
        <v>17778</v>
      </c>
    </row>
    <row r="519" spans="1:7" x14ac:dyDescent="0.4">
      <c r="A519" s="28">
        <v>12030000</v>
      </c>
      <c r="B519" s="15" t="s">
        <v>685</v>
      </c>
      <c r="C519" s="16"/>
      <c r="D519" s="16"/>
      <c r="E519" s="17"/>
      <c r="F519" s="17"/>
      <c r="G519" s="17"/>
    </row>
    <row r="520" spans="1:7" x14ac:dyDescent="0.4">
      <c r="A520" s="28">
        <v>12030100</v>
      </c>
      <c r="B520" s="15" t="s">
        <v>686</v>
      </c>
      <c r="C520" s="16"/>
      <c r="D520" s="16"/>
      <c r="E520" s="17"/>
      <c r="F520" s="17"/>
      <c r="G520" s="17"/>
    </row>
    <row r="521" spans="1:7" ht="14.4" x14ac:dyDescent="0.3">
      <c r="A521" s="28">
        <v>12030101</v>
      </c>
      <c r="B521" s="15" t="s">
        <v>687</v>
      </c>
      <c r="C521" s="18">
        <v>170101</v>
      </c>
      <c r="D521" s="19" t="s">
        <v>57</v>
      </c>
      <c r="E521" s="20">
        <v>12</v>
      </c>
      <c r="F521" s="20">
        <f>+VLOOKUP(C521,[1]Serviços!$C$6:$F$172,4,FALSE)</f>
        <v>396.42</v>
      </c>
      <c r="G521" s="20">
        <f>+ROUND(F521*E521,2)</f>
        <v>4757.04</v>
      </c>
    </row>
    <row r="522" spans="1:7" ht="14.4" x14ac:dyDescent="0.3">
      <c r="A522" s="28">
        <v>12030102</v>
      </c>
      <c r="B522" s="15" t="s">
        <v>688</v>
      </c>
      <c r="C522" s="18">
        <v>170104</v>
      </c>
      <c r="D522" s="19" t="s">
        <v>38</v>
      </c>
      <c r="E522" s="20">
        <v>112</v>
      </c>
      <c r="F522" s="20">
        <f>+VLOOKUP(C522,[1]Serviços!$C$6:$F$172,4,FALSE)</f>
        <v>115.97</v>
      </c>
      <c r="G522" s="20">
        <f>+ROUND(F522*E522,2)</f>
        <v>12988.64</v>
      </c>
    </row>
    <row r="523" spans="1:7" x14ac:dyDescent="0.4">
      <c r="A523" s="21"/>
      <c r="B523" s="22"/>
      <c r="C523" s="16"/>
      <c r="D523" s="19" t="s">
        <v>17</v>
      </c>
      <c r="E523" s="17"/>
      <c r="F523" s="17"/>
      <c r="G523" s="20">
        <f>SUM(G521:G522)</f>
        <v>17745.68</v>
      </c>
    </row>
    <row r="524" spans="1:7" x14ac:dyDescent="0.4">
      <c r="A524" s="21"/>
      <c r="B524" s="22"/>
      <c r="C524" s="16"/>
      <c r="D524" s="19" t="s">
        <v>295</v>
      </c>
      <c r="E524" s="17"/>
      <c r="F524" s="17"/>
      <c r="G524" s="20">
        <f>SUM(G504:G523)/2</f>
        <v>860322.29999999993</v>
      </c>
    </row>
    <row r="525" spans="1:7" ht="16.8" x14ac:dyDescent="0.45">
      <c r="A525" s="27">
        <v>13000000</v>
      </c>
      <c r="B525" s="24" t="s">
        <v>689</v>
      </c>
      <c r="C525" s="25"/>
      <c r="D525" s="25"/>
      <c r="E525" s="26"/>
      <c r="F525" s="26"/>
      <c r="G525" s="26"/>
    </row>
    <row r="526" spans="1:7" x14ac:dyDescent="0.4">
      <c r="A526" s="28">
        <v>13010000</v>
      </c>
      <c r="B526" s="15" t="s">
        <v>299</v>
      </c>
      <c r="C526" s="16"/>
      <c r="D526" s="16"/>
      <c r="E526" s="17"/>
      <c r="F526" s="17"/>
      <c r="G526" s="17"/>
    </row>
    <row r="527" spans="1:7" x14ac:dyDescent="0.4">
      <c r="A527" s="28">
        <v>13010100</v>
      </c>
      <c r="B527" s="15" t="s">
        <v>34</v>
      </c>
      <c r="C527" s="16"/>
      <c r="D527" s="16"/>
      <c r="E527" s="17"/>
      <c r="F527" s="17"/>
      <c r="G527" s="17"/>
    </row>
    <row r="528" spans="1:7" ht="14.4" x14ac:dyDescent="0.3">
      <c r="A528" s="28">
        <v>13010101</v>
      </c>
      <c r="B528" s="15" t="s">
        <v>344</v>
      </c>
      <c r="C528" s="19" t="s">
        <v>345</v>
      </c>
      <c r="D528" s="19" t="s">
        <v>38</v>
      </c>
      <c r="E528" s="20">
        <v>938</v>
      </c>
      <c r="F528" s="20">
        <f>+VLOOKUP(C528,[1]Serviços!$C$6:$F$172,4,FALSE)</f>
        <v>3.49</v>
      </c>
      <c r="G528" s="20">
        <f>+ROUND(F528*E528,2)</f>
        <v>3273.62</v>
      </c>
    </row>
    <row r="529" spans="1:7" ht="14.4" x14ac:dyDescent="0.3">
      <c r="A529" s="28">
        <v>13010102</v>
      </c>
      <c r="B529" s="15" t="s">
        <v>347</v>
      </c>
      <c r="C529" s="19" t="s">
        <v>348</v>
      </c>
      <c r="D529" s="19" t="s">
        <v>38</v>
      </c>
      <c r="E529" s="20">
        <v>938</v>
      </c>
      <c r="F529" s="20">
        <f>+VLOOKUP(C529,[1]Serviços!$C$6:$F$172,4,FALSE)</f>
        <v>0.84</v>
      </c>
      <c r="G529" s="20">
        <f>+ROUND(F529*E529,2)</f>
        <v>787.92</v>
      </c>
    </row>
    <row r="530" spans="1:7" x14ac:dyDescent="0.4">
      <c r="A530" s="21"/>
      <c r="B530" s="22"/>
      <c r="C530" s="16"/>
      <c r="D530" s="19" t="s">
        <v>17</v>
      </c>
      <c r="E530" s="17"/>
      <c r="F530" s="17"/>
      <c r="G530" s="20">
        <f>SUM(G528:G529)</f>
        <v>4061.54</v>
      </c>
    </row>
    <row r="531" spans="1:7" x14ac:dyDescent="0.4">
      <c r="A531" s="28">
        <v>13020000</v>
      </c>
      <c r="B531" s="15" t="s">
        <v>43</v>
      </c>
      <c r="C531" s="16"/>
      <c r="D531" s="16"/>
      <c r="E531" s="17"/>
      <c r="F531" s="17"/>
      <c r="G531" s="17"/>
    </row>
    <row r="532" spans="1:7" x14ac:dyDescent="0.4">
      <c r="A532" s="28">
        <v>13020100</v>
      </c>
      <c r="B532" s="15" t="s">
        <v>45</v>
      </c>
      <c r="C532" s="16"/>
      <c r="D532" s="16"/>
      <c r="E532" s="17"/>
      <c r="F532" s="17"/>
      <c r="G532" s="17"/>
    </row>
    <row r="533" spans="1:7" ht="14.4" x14ac:dyDescent="0.3">
      <c r="A533" s="28">
        <v>13020101</v>
      </c>
      <c r="B533" s="15" t="s">
        <v>47</v>
      </c>
      <c r="C533" s="19" t="s">
        <v>48</v>
      </c>
      <c r="D533" s="19" t="s">
        <v>38</v>
      </c>
      <c r="E533" s="20">
        <v>938</v>
      </c>
      <c r="F533" s="20">
        <f>+VLOOKUP(C533,[1]Serviços!$C$6:$F$172,4,FALSE)</f>
        <v>2.41</v>
      </c>
      <c r="G533" s="20">
        <f>+ROUND(F533*E533,2)</f>
        <v>2260.58</v>
      </c>
    </row>
    <row r="534" spans="1:7" ht="14.4" x14ac:dyDescent="0.3">
      <c r="A534" s="28">
        <v>13020102</v>
      </c>
      <c r="B534" s="15" t="s">
        <v>50</v>
      </c>
      <c r="C534" s="19" t="s">
        <v>51</v>
      </c>
      <c r="D534" s="19" t="s">
        <v>38</v>
      </c>
      <c r="E534" s="20">
        <v>938</v>
      </c>
      <c r="F534" s="20">
        <f>+VLOOKUP(C534,[1]Serviços!$C$6:$F$172,4,FALSE)</f>
        <v>4.34</v>
      </c>
      <c r="G534" s="20">
        <f>+ROUND(F534*E534,2)</f>
        <v>4070.92</v>
      </c>
    </row>
    <row r="535" spans="1:7" x14ac:dyDescent="0.4">
      <c r="A535" s="28">
        <v>13020200</v>
      </c>
      <c r="B535" s="15" t="s">
        <v>53</v>
      </c>
      <c r="C535" s="16"/>
      <c r="D535" s="16"/>
      <c r="E535" s="17"/>
      <c r="F535" s="17"/>
      <c r="G535" s="17"/>
    </row>
    <row r="536" spans="1:7" ht="14.4" x14ac:dyDescent="0.3">
      <c r="A536" s="28">
        <v>13020201</v>
      </c>
      <c r="B536" s="15" t="s">
        <v>59</v>
      </c>
      <c r="C536" s="19" t="s">
        <v>60</v>
      </c>
      <c r="D536" s="19" t="s">
        <v>57</v>
      </c>
      <c r="E536" s="20">
        <v>60</v>
      </c>
      <c r="F536" s="20">
        <f>+VLOOKUP(C536,[1]Serviços!$C$6:$F$172,4,FALSE)</f>
        <v>56.19</v>
      </c>
      <c r="G536" s="20">
        <f>+ROUND(F536*E536,2)</f>
        <v>3371.4</v>
      </c>
    </row>
    <row r="537" spans="1:7" ht="14.4" x14ac:dyDescent="0.3">
      <c r="A537" s="28">
        <v>13020202</v>
      </c>
      <c r="B537" s="15" t="s">
        <v>62</v>
      </c>
      <c r="C537" s="19" t="s">
        <v>63</v>
      </c>
      <c r="D537" s="19" t="s">
        <v>57</v>
      </c>
      <c r="E537" s="20">
        <v>20</v>
      </c>
      <c r="F537" s="20">
        <f>+VLOOKUP(C537,[1]Serviços!$C$6:$F$172,4,FALSE)</f>
        <v>88.18</v>
      </c>
      <c r="G537" s="20">
        <f>+ROUND(F537*E537,2)</f>
        <v>1763.6</v>
      </c>
    </row>
    <row r="538" spans="1:7" x14ac:dyDescent="0.4">
      <c r="A538" s="21"/>
      <c r="B538" s="22"/>
      <c r="C538" s="16"/>
      <c r="D538" s="19" t="s">
        <v>17</v>
      </c>
      <c r="E538" s="17"/>
      <c r="F538" s="17"/>
      <c r="G538" s="20">
        <f>SUM(G533:G537)</f>
        <v>11466.5</v>
      </c>
    </row>
    <row r="539" spans="1:7" x14ac:dyDescent="0.4">
      <c r="A539" s="28">
        <v>13030000</v>
      </c>
      <c r="B539" s="15" t="s">
        <v>87</v>
      </c>
      <c r="C539" s="16"/>
      <c r="D539" s="16"/>
      <c r="E539" s="17"/>
      <c r="F539" s="17"/>
      <c r="G539" s="17"/>
    </row>
    <row r="540" spans="1:7" x14ac:dyDescent="0.4">
      <c r="A540" s="28">
        <v>13030100</v>
      </c>
      <c r="B540" s="15" t="s">
        <v>89</v>
      </c>
      <c r="C540" s="16"/>
      <c r="D540" s="16"/>
      <c r="E540" s="17"/>
      <c r="F540" s="17"/>
      <c r="G540" s="17"/>
    </row>
    <row r="541" spans="1:7" ht="14.4" x14ac:dyDescent="0.3">
      <c r="A541" s="28">
        <v>13030101</v>
      </c>
      <c r="B541" s="15" t="s">
        <v>94</v>
      </c>
      <c r="C541" s="19" t="s">
        <v>95</v>
      </c>
      <c r="D541" s="19" t="s">
        <v>73</v>
      </c>
      <c r="E541" s="20">
        <v>570</v>
      </c>
      <c r="F541" s="20">
        <f>+VLOOKUP(C541,[1]Serviços!$C$6:$F$172,4,FALSE)</f>
        <v>7.69</v>
      </c>
      <c r="G541" s="20">
        <f>+ROUND(F541*E541,2)</f>
        <v>4383.3</v>
      </c>
    </row>
    <row r="542" spans="1:7" x14ac:dyDescent="0.4">
      <c r="A542" s="28">
        <v>13030200</v>
      </c>
      <c r="B542" s="15" t="s">
        <v>674</v>
      </c>
      <c r="C542" s="16"/>
      <c r="D542" s="16"/>
      <c r="E542" s="17"/>
      <c r="F542" s="17"/>
      <c r="G542" s="17"/>
    </row>
    <row r="543" spans="1:7" ht="24" x14ac:dyDescent="0.3">
      <c r="A543" s="28">
        <v>13030201</v>
      </c>
      <c r="B543" s="15" t="s">
        <v>690</v>
      </c>
      <c r="C543" s="19" t="s">
        <v>691</v>
      </c>
      <c r="D543" s="19" t="s">
        <v>73</v>
      </c>
      <c r="E543" s="20">
        <v>1878</v>
      </c>
      <c r="F543" s="20">
        <f>+VLOOKUP(C543,[1]Serviços!$C$6:$F$172,4,FALSE)</f>
        <v>10.44</v>
      </c>
      <c r="G543" s="20">
        <f>+ROUND(F543*E543,2)</f>
        <v>19606.32</v>
      </c>
    </row>
    <row r="544" spans="1:7" x14ac:dyDescent="0.4">
      <c r="A544" s="28">
        <v>13030300</v>
      </c>
      <c r="B544" s="15" t="s">
        <v>122</v>
      </c>
      <c r="C544" s="16"/>
      <c r="D544" s="16"/>
      <c r="E544" s="17"/>
      <c r="F544" s="17"/>
      <c r="G544" s="17"/>
    </row>
    <row r="545" spans="1:7" ht="14.4" x14ac:dyDescent="0.3">
      <c r="A545" s="28">
        <v>13030301</v>
      </c>
      <c r="B545" s="15" t="s">
        <v>124</v>
      </c>
      <c r="C545" s="19" t="s">
        <v>125</v>
      </c>
      <c r="D545" s="19" t="s">
        <v>73</v>
      </c>
      <c r="E545" s="20">
        <v>572</v>
      </c>
      <c r="F545" s="20">
        <f>+VLOOKUP(C545,[1]Serviços!$C$6:$F$172,4,FALSE)</f>
        <v>12.26</v>
      </c>
      <c r="G545" s="20">
        <f>+ROUND(F545*E545,2)</f>
        <v>7012.72</v>
      </c>
    </row>
    <row r="546" spans="1:7" ht="24" x14ac:dyDescent="0.3">
      <c r="A546" s="28">
        <v>13030302</v>
      </c>
      <c r="B546" s="15" t="s">
        <v>127</v>
      </c>
      <c r="C546" s="19" t="s">
        <v>128</v>
      </c>
      <c r="D546" s="19" t="s">
        <v>73</v>
      </c>
      <c r="E546" s="20">
        <v>1300</v>
      </c>
      <c r="F546" s="20">
        <f>+VLOOKUP(C546,[1]Serviços!$C$6:$F$172,4,FALSE)</f>
        <v>14.3</v>
      </c>
      <c r="G546" s="20">
        <f>+ROUND(F546*E546,2)</f>
        <v>18590</v>
      </c>
    </row>
    <row r="547" spans="1:7" x14ac:dyDescent="0.4">
      <c r="A547" s="28">
        <v>13030400</v>
      </c>
      <c r="B547" s="15" t="s">
        <v>130</v>
      </c>
      <c r="C547" s="16"/>
      <c r="D547" s="16"/>
      <c r="E547" s="17"/>
      <c r="F547" s="17"/>
      <c r="G547" s="17"/>
    </row>
    <row r="548" spans="1:7" ht="14.4" x14ac:dyDescent="0.3">
      <c r="A548" s="28">
        <v>13030401</v>
      </c>
      <c r="B548" s="15" t="s">
        <v>132</v>
      </c>
      <c r="C548" s="19" t="s">
        <v>133</v>
      </c>
      <c r="D548" s="19" t="s">
        <v>134</v>
      </c>
      <c r="E548" s="20">
        <v>11400</v>
      </c>
      <c r="F548" s="20">
        <f>+VLOOKUP(C548,[1]Serviços!$C$6:$F$172,4,FALSE)</f>
        <v>1.61</v>
      </c>
      <c r="G548" s="20">
        <f>+ROUND(F548*E548,2)</f>
        <v>18354</v>
      </c>
    </row>
    <row r="549" spans="1:7" x14ac:dyDescent="0.4">
      <c r="A549" s="21"/>
      <c r="B549" s="22"/>
      <c r="C549" s="16"/>
      <c r="D549" s="19" t="s">
        <v>17</v>
      </c>
      <c r="E549" s="17"/>
      <c r="F549" s="17"/>
      <c r="G549" s="20">
        <f>SUM(G541:G548)</f>
        <v>67946.34</v>
      </c>
    </row>
    <row r="550" spans="1:7" x14ac:dyDescent="0.4">
      <c r="A550" s="28">
        <v>13040000</v>
      </c>
      <c r="B550" s="15" t="s">
        <v>136</v>
      </c>
      <c r="C550" s="16"/>
      <c r="D550" s="16"/>
      <c r="E550" s="17"/>
      <c r="F550" s="17"/>
      <c r="G550" s="17"/>
    </row>
    <row r="551" spans="1:7" x14ac:dyDescent="0.4">
      <c r="A551" s="28">
        <v>13040100</v>
      </c>
      <c r="B551" s="15" t="s">
        <v>138</v>
      </c>
      <c r="C551" s="16"/>
      <c r="D551" s="16"/>
      <c r="E551" s="17"/>
      <c r="F551" s="17"/>
      <c r="G551" s="17"/>
    </row>
    <row r="552" spans="1:7" ht="14.4" x14ac:dyDescent="0.3">
      <c r="A552" s="28">
        <v>13040101</v>
      </c>
      <c r="B552" s="15" t="s">
        <v>140</v>
      </c>
      <c r="C552" s="19" t="s">
        <v>141</v>
      </c>
      <c r="D552" s="19" t="s">
        <v>57</v>
      </c>
      <c r="E552" s="20">
        <v>2020</v>
      </c>
      <c r="F552" s="20">
        <f>+VLOOKUP(C552,[1]Serviços!$C$6:$F$172,4,FALSE)</f>
        <v>10.039999999999999</v>
      </c>
      <c r="G552" s="20">
        <f>+ROUND(F552*E552,2)</f>
        <v>20280.8</v>
      </c>
    </row>
    <row r="553" spans="1:7" ht="14.4" x14ac:dyDescent="0.3">
      <c r="A553" s="28">
        <v>13040102</v>
      </c>
      <c r="B553" s="15" t="s">
        <v>143</v>
      </c>
      <c r="C553" s="19" t="s">
        <v>144</v>
      </c>
      <c r="D553" s="19" t="s">
        <v>57</v>
      </c>
      <c r="E553" s="20">
        <v>1100</v>
      </c>
      <c r="F553" s="20">
        <f>+VLOOKUP(C553,[1]Serviços!$C$6:$F$172,4,FALSE)</f>
        <v>23.04</v>
      </c>
      <c r="G553" s="20">
        <f>+ROUND(F553*E553,2)</f>
        <v>25344</v>
      </c>
    </row>
    <row r="554" spans="1:7" x14ac:dyDescent="0.4">
      <c r="A554" s="21"/>
      <c r="B554" s="22"/>
      <c r="C554" s="16"/>
      <c r="D554" s="19" t="s">
        <v>17</v>
      </c>
      <c r="E554" s="17"/>
      <c r="F554" s="17"/>
      <c r="G554" s="20">
        <f>SUM(G552:G553)</f>
        <v>45624.800000000003</v>
      </c>
    </row>
    <row r="555" spans="1:7" x14ac:dyDescent="0.4">
      <c r="A555" s="28">
        <v>13050000</v>
      </c>
      <c r="B555" s="15" t="s">
        <v>157</v>
      </c>
      <c r="C555" s="16"/>
      <c r="D555" s="16"/>
      <c r="E555" s="17"/>
      <c r="F555" s="17"/>
      <c r="G555" s="17"/>
    </row>
    <row r="556" spans="1:7" x14ac:dyDescent="0.4">
      <c r="A556" s="28">
        <v>13050100</v>
      </c>
      <c r="B556" s="15" t="s">
        <v>159</v>
      </c>
      <c r="C556" s="16"/>
      <c r="D556" s="16"/>
      <c r="E556" s="17"/>
      <c r="F556" s="17"/>
      <c r="G556" s="17"/>
    </row>
    <row r="557" spans="1:7" ht="14.4" x14ac:dyDescent="0.3">
      <c r="A557" s="28">
        <v>13050101</v>
      </c>
      <c r="B557" s="15" t="s">
        <v>161</v>
      </c>
      <c r="C557" s="19" t="s">
        <v>162</v>
      </c>
      <c r="D557" s="19" t="s">
        <v>163</v>
      </c>
      <c r="E557" s="20">
        <v>4000</v>
      </c>
      <c r="F557" s="20">
        <f>+VLOOKUP(C557,[1]Serviços!$C$6:$F$172,4,FALSE)</f>
        <v>1.41</v>
      </c>
      <c r="G557" s="20">
        <f>+ROUND(F557*E557,2)</f>
        <v>5640</v>
      </c>
    </row>
    <row r="558" spans="1:7" x14ac:dyDescent="0.4">
      <c r="A558" s="21"/>
      <c r="B558" s="22"/>
      <c r="C558" s="16"/>
      <c r="D558" s="19" t="s">
        <v>17</v>
      </c>
      <c r="E558" s="17"/>
      <c r="F558" s="17"/>
      <c r="G558" s="20">
        <f>SUM(G557)</f>
        <v>5640</v>
      </c>
    </row>
    <row r="559" spans="1:7" x14ac:dyDescent="0.4">
      <c r="A559" s="28">
        <v>13060000</v>
      </c>
      <c r="B559" s="15" t="s">
        <v>179</v>
      </c>
      <c r="C559" s="16"/>
      <c r="D559" s="16"/>
      <c r="E559" s="17"/>
      <c r="F559" s="17"/>
      <c r="G559" s="17"/>
    </row>
    <row r="560" spans="1:7" x14ac:dyDescent="0.4">
      <c r="A560" s="28">
        <v>13060100</v>
      </c>
      <c r="B560" s="15" t="s">
        <v>181</v>
      </c>
      <c r="C560" s="16"/>
      <c r="D560" s="16"/>
      <c r="E560" s="17"/>
      <c r="F560" s="17"/>
      <c r="G560" s="17"/>
    </row>
    <row r="561" spans="1:7" ht="14.4" x14ac:dyDescent="0.3">
      <c r="A561" s="28">
        <v>13060101</v>
      </c>
      <c r="B561" s="15" t="s">
        <v>186</v>
      </c>
      <c r="C561" s="19" t="s">
        <v>187</v>
      </c>
      <c r="D561" s="19" t="s">
        <v>73</v>
      </c>
      <c r="E561" s="20">
        <v>20</v>
      </c>
      <c r="F561" s="20">
        <f>+VLOOKUP(C561,[1]Serviços!$C$6:$F$172,4,FALSE)</f>
        <v>172.39</v>
      </c>
      <c r="G561" s="20">
        <f>+ROUND(F561*E561,2)</f>
        <v>3447.8</v>
      </c>
    </row>
    <row r="562" spans="1:7" x14ac:dyDescent="0.4">
      <c r="A562" s="28">
        <v>13060200</v>
      </c>
      <c r="B562" s="15" t="s">
        <v>692</v>
      </c>
      <c r="C562" s="16"/>
      <c r="D562" s="16"/>
      <c r="E562" s="17"/>
      <c r="F562" s="17"/>
      <c r="G562" s="17"/>
    </row>
    <row r="563" spans="1:7" ht="14.4" x14ac:dyDescent="0.3">
      <c r="A563" s="28">
        <v>13060201</v>
      </c>
      <c r="B563" s="15" t="s">
        <v>693</v>
      </c>
      <c r="C563" s="19" t="s">
        <v>694</v>
      </c>
      <c r="D563" s="19" t="s">
        <v>38</v>
      </c>
      <c r="E563" s="20">
        <v>918</v>
      </c>
      <c r="F563" s="20">
        <f>+VLOOKUP(C563,[1]Serviços!$C$6:$F$172,4,FALSE)</f>
        <v>26.62</v>
      </c>
      <c r="G563" s="20">
        <f>+ROUND(F563*E563,2)</f>
        <v>24437.16</v>
      </c>
    </row>
    <row r="564" spans="1:7" x14ac:dyDescent="0.4">
      <c r="A564" s="28">
        <v>13060300</v>
      </c>
      <c r="B564" s="15" t="s">
        <v>695</v>
      </c>
      <c r="C564" s="16"/>
      <c r="D564" s="16"/>
      <c r="E564" s="17"/>
      <c r="F564" s="17"/>
      <c r="G564" s="17"/>
    </row>
    <row r="565" spans="1:7" ht="14.4" x14ac:dyDescent="0.3">
      <c r="A565" s="28">
        <v>13060301</v>
      </c>
      <c r="B565" s="15" t="s">
        <v>696</v>
      </c>
      <c r="C565" s="18">
        <v>356038</v>
      </c>
      <c r="D565" s="19" t="s">
        <v>69</v>
      </c>
      <c r="E565" s="20">
        <v>3</v>
      </c>
      <c r="F565" s="20">
        <f>+VLOOKUP(C565,[1]Serviços!$C$6:$F$172,4,FALSE)</f>
        <v>17.45</v>
      </c>
      <c r="G565" s="20">
        <f>+ROUND(F565*E565,2)</f>
        <v>52.35</v>
      </c>
    </row>
    <row r="566" spans="1:7" ht="14.4" x14ac:dyDescent="0.3">
      <c r="A566" s="28">
        <v>13060302</v>
      </c>
      <c r="B566" s="15" t="s">
        <v>697</v>
      </c>
      <c r="C566" s="18">
        <v>356039</v>
      </c>
      <c r="D566" s="19" t="s">
        <v>69</v>
      </c>
      <c r="E566" s="20">
        <v>2</v>
      </c>
      <c r="F566" s="20">
        <f>+VLOOKUP(C566,[1]Serviços!$C$6:$F$172,4,FALSE)</f>
        <v>18.98</v>
      </c>
      <c r="G566" s="20">
        <f>+ROUND(F566*E566,2)</f>
        <v>37.96</v>
      </c>
    </row>
    <row r="567" spans="1:7" ht="14.4" x14ac:dyDescent="0.3">
      <c r="A567" s="28">
        <v>13060303</v>
      </c>
      <c r="B567" s="15" t="s">
        <v>698</v>
      </c>
      <c r="C567" s="18">
        <v>356040</v>
      </c>
      <c r="D567" s="19" t="s">
        <v>69</v>
      </c>
      <c r="E567" s="20">
        <v>2</v>
      </c>
      <c r="F567" s="20">
        <f>+VLOOKUP(C567,[1]Serviços!$C$6:$F$172,4,FALSE)</f>
        <v>17.27</v>
      </c>
      <c r="G567" s="20">
        <f>+ROUND(F567*E567,2)</f>
        <v>34.54</v>
      </c>
    </row>
    <row r="568" spans="1:7" ht="14.4" x14ac:dyDescent="0.3">
      <c r="A568" s="28">
        <v>13060304</v>
      </c>
      <c r="B568" s="15" t="s">
        <v>699</v>
      </c>
      <c r="C568" s="18">
        <v>356041</v>
      </c>
      <c r="D568" s="19" t="s">
        <v>69</v>
      </c>
      <c r="E568" s="20">
        <v>1</v>
      </c>
      <c r="F568" s="20">
        <f>+VLOOKUP(C568,[1]Serviços!$C$6:$F$172,4,FALSE)</f>
        <v>37.21</v>
      </c>
      <c r="G568" s="20">
        <f>+ROUND(F568*E568,2)</f>
        <v>37.21</v>
      </c>
    </row>
    <row r="569" spans="1:7" x14ac:dyDescent="0.4">
      <c r="A569" s="28">
        <v>13060400</v>
      </c>
      <c r="B569" s="15" t="s">
        <v>668</v>
      </c>
      <c r="C569" s="16"/>
      <c r="D569" s="16"/>
      <c r="E569" s="17"/>
      <c r="F569" s="17"/>
      <c r="G569" s="17"/>
    </row>
    <row r="570" spans="1:7" ht="14.4" x14ac:dyDescent="0.3">
      <c r="A570" s="28">
        <v>13060401</v>
      </c>
      <c r="B570" s="15" t="s">
        <v>700</v>
      </c>
      <c r="C570" s="19" t="s">
        <v>701</v>
      </c>
      <c r="D570" s="19" t="s">
        <v>57</v>
      </c>
      <c r="E570" s="20">
        <v>30</v>
      </c>
      <c r="F570" s="20">
        <f>+VLOOKUP(C570,[1]Serviços!$C$6:$F$172,4,FALSE)</f>
        <v>48.54</v>
      </c>
      <c r="G570" s="20">
        <f>+ROUND(F570*E570,2)</f>
        <v>1456.2</v>
      </c>
    </row>
    <row r="571" spans="1:7" x14ac:dyDescent="0.4">
      <c r="A571" s="28">
        <v>13060500</v>
      </c>
      <c r="B571" s="15" t="s">
        <v>585</v>
      </c>
      <c r="C571" s="16"/>
      <c r="D571" s="16"/>
      <c r="E571" s="17"/>
      <c r="F571" s="17"/>
      <c r="G571" s="17"/>
    </row>
    <row r="572" spans="1:7" ht="14.4" x14ac:dyDescent="0.3">
      <c r="A572" s="28">
        <v>13060501</v>
      </c>
      <c r="B572" s="15" t="s">
        <v>587</v>
      </c>
      <c r="C572" s="19" t="s">
        <v>588</v>
      </c>
      <c r="D572" s="19" t="s">
        <v>589</v>
      </c>
      <c r="E572" s="20">
        <v>350</v>
      </c>
      <c r="F572" s="20">
        <f>+VLOOKUP(C572,[1]Serviços!$C$6:$F$172,4,FALSE)</f>
        <v>7.51</v>
      </c>
      <c r="G572" s="20">
        <f>+ROUND(F572*E572,2)</f>
        <v>2628.5</v>
      </c>
    </row>
    <row r="573" spans="1:7" ht="25.2" x14ac:dyDescent="0.4">
      <c r="A573" s="28">
        <v>13060600</v>
      </c>
      <c r="B573" s="15" t="s">
        <v>702</v>
      </c>
      <c r="C573" s="16"/>
      <c r="D573" s="16"/>
      <c r="E573" s="17"/>
      <c r="F573" s="17"/>
      <c r="G573" s="17"/>
    </row>
    <row r="574" spans="1:7" ht="24" x14ac:dyDescent="0.3">
      <c r="A574" s="28">
        <v>13060601</v>
      </c>
      <c r="B574" s="15" t="s">
        <v>703</v>
      </c>
      <c r="C574" s="19" t="s">
        <v>704</v>
      </c>
      <c r="D574" s="19" t="s">
        <v>73</v>
      </c>
      <c r="E574" s="20">
        <v>5</v>
      </c>
      <c r="F574" s="20">
        <f>+VLOOKUP(C574,[1]Serviços!$C$6:$F$172,4,FALSE)</f>
        <v>496.76</v>
      </c>
      <c r="G574" s="20">
        <f>+ROUND(F574*E574,2)</f>
        <v>2483.8000000000002</v>
      </c>
    </row>
    <row r="575" spans="1:7" x14ac:dyDescent="0.4">
      <c r="A575" s="28">
        <v>13060700</v>
      </c>
      <c r="B575" s="15" t="s">
        <v>705</v>
      </c>
      <c r="C575" s="16"/>
      <c r="D575" s="16"/>
      <c r="E575" s="17"/>
      <c r="F575" s="17"/>
      <c r="G575" s="17"/>
    </row>
    <row r="576" spans="1:7" ht="14.4" x14ac:dyDescent="0.3">
      <c r="A576" s="28">
        <v>13060701</v>
      </c>
      <c r="B576" s="15" t="s">
        <v>706</v>
      </c>
      <c r="C576" s="19" t="s">
        <v>707</v>
      </c>
      <c r="D576" s="19" t="s">
        <v>38</v>
      </c>
      <c r="E576" s="20">
        <v>2</v>
      </c>
      <c r="F576" s="20">
        <f>+VLOOKUP(C576,[1]Serviços!$C$6:$F$172,4,FALSE)</f>
        <v>2311.62</v>
      </c>
      <c r="G576" s="20">
        <f>+ROUND(F576*E576,2)</f>
        <v>4623.24</v>
      </c>
    </row>
    <row r="577" spans="1:7" x14ac:dyDescent="0.4">
      <c r="A577" s="21"/>
      <c r="B577" s="22"/>
      <c r="C577" s="16"/>
      <c r="D577" s="19" t="s">
        <v>17</v>
      </c>
      <c r="E577" s="17"/>
      <c r="F577" s="17"/>
      <c r="G577" s="20">
        <f>SUM(G561:G576)</f>
        <v>39238.759999999995</v>
      </c>
    </row>
    <row r="578" spans="1:7" x14ac:dyDescent="0.4">
      <c r="A578" s="28">
        <v>13070000</v>
      </c>
      <c r="B578" s="15" t="s">
        <v>229</v>
      </c>
      <c r="C578" s="16"/>
      <c r="D578" s="16"/>
      <c r="E578" s="17"/>
      <c r="F578" s="17"/>
      <c r="G578" s="17"/>
    </row>
    <row r="579" spans="1:7" x14ac:dyDescent="0.4">
      <c r="A579" s="28">
        <v>13070100</v>
      </c>
      <c r="B579" s="15" t="s">
        <v>708</v>
      </c>
      <c r="C579" s="16"/>
      <c r="D579" s="16"/>
      <c r="E579" s="17"/>
      <c r="F579" s="17"/>
      <c r="G579" s="17"/>
    </row>
    <row r="580" spans="1:7" ht="14.4" x14ac:dyDescent="0.3">
      <c r="A580" s="28">
        <v>13070101</v>
      </c>
      <c r="B580" s="15" t="s">
        <v>709</v>
      </c>
      <c r="C580" s="19" t="s">
        <v>710</v>
      </c>
      <c r="D580" s="19" t="s">
        <v>38</v>
      </c>
      <c r="E580" s="20">
        <v>938</v>
      </c>
      <c r="F580" s="20">
        <f>+VLOOKUP(C580,[1]Serviços!$C$6:$F$172,4,FALSE)</f>
        <v>6.87</v>
      </c>
      <c r="G580" s="20">
        <f>+ROUND(F580*E580,2)</f>
        <v>6444.06</v>
      </c>
    </row>
    <row r="581" spans="1:7" x14ac:dyDescent="0.4">
      <c r="A581" s="21"/>
      <c r="B581" s="22"/>
      <c r="C581" s="16"/>
      <c r="D581" s="19" t="s">
        <v>17</v>
      </c>
      <c r="E581" s="17"/>
      <c r="F581" s="17"/>
      <c r="G581" s="20">
        <f>SUM(G580)</f>
        <v>6444.06</v>
      </c>
    </row>
    <row r="582" spans="1:7" x14ac:dyDescent="0.4">
      <c r="A582" s="28">
        <v>13080000</v>
      </c>
      <c r="B582" s="15" t="s">
        <v>290</v>
      </c>
      <c r="C582" s="16"/>
      <c r="D582" s="16"/>
      <c r="E582" s="17"/>
      <c r="F582" s="17"/>
      <c r="G582" s="17"/>
    </row>
    <row r="583" spans="1:7" ht="14.4" x14ac:dyDescent="0.3">
      <c r="A583" s="28">
        <v>13080001</v>
      </c>
      <c r="B583" s="15" t="s">
        <v>711</v>
      </c>
      <c r="C583" s="18">
        <v>356035</v>
      </c>
      <c r="D583" s="19" t="s">
        <v>16</v>
      </c>
      <c r="E583" s="20">
        <v>1</v>
      </c>
      <c r="F583" s="20">
        <f>+VLOOKUP(C583,[1]Serviços!$C$6:$F$172,4,FALSE)</f>
        <v>178006</v>
      </c>
      <c r="G583" s="20">
        <f>+ROUND(F583*E583,2)</f>
        <v>178006</v>
      </c>
    </row>
    <row r="584" spans="1:7" ht="14.4" x14ac:dyDescent="0.3">
      <c r="A584" s="28">
        <v>13080002</v>
      </c>
      <c r="B584" s="15" t="s">
        <v>712</v>
      </c>
      <c r="C584" s="18">
        <v>356078</v>
      </c>
      <c r="D584" s="19" t="s">
        <v>16</v>
      </c>
      <c r="E584" s="20">
        <v>1</v>
      </c>
      <c r="F584" s="20">
        <f>+VLOOKUP(C584,[1]Serviços!$C$6:$F$172,4,FALSE)</f>
        <v>9206</v>
      </c>
      <c r="G584" s="20">
        <f>+ROUND(F584*E584,2)</f>
        <v>9206</v>
      </c>
    </row>
    <row r="585" spans="1:7" x14ac:dyDescent="0.4">
      <c r="A585" s="21"/>
      <c r="B585" s="22"/>
      <c r="C585" s="16"/>
      <c r="D585" s="19" t="s">
        <v>17</v>
      </c>
      <c r="E585" s="17"/>
      <c r="F585" s="17"/>
      <c r="G585" s="20">
        <f>SUM(G583:G584)</f>
        <v>187212</v>
      </c>
    </row>
    <row r="586" spans="1:7" x14ac:dyDescent="0.4">
      <c r="A586" s="28">
        <v>13090000</v>
      </c>
      <c r="B586" s="15" t="s">
        <v>650</v>
      </c>
      <c r="C586" s="16"/>
      <c r="D586" s="16"/>
      <c r="E586" s="17"/>
      <c r="F586" s="17"/>
      <c r="G586" s="17"/>
    </row>
    <row r="587" spans="1:7" ht="14.4" x14ac:dyDescent="0.3">
      <c r="A587" s="28">
        <v>13090001</v>
      </c>
      <c r="B587" s="15" t="s">
        <v>713</v>
      </c>
      <c r="C587" s="18">
        <v>356079</v>
      </c>
      <c r="D587" s="19" t="s">
        <v>16</v>
      </c>
      <c r="E587" s="20">
        <v>1</v>
      </c>
      <c r="F587" s="20">
        <f>+VLOOKUP(C587,[1]Serviços!$C$6:$F$172,4,FALSE)</f>
        <v>1841.2</v>
      </c>
      <c r="G587" s="20">
        <f>+ROUND(F587*E587,2)</f>
        <v>1841.2</v>
      </c>
    </row>
    <row r="588" spans="1:7" x14ac:dyDescent="0.4">
      <c r="A588" s="21"/>
      <c r="B588" s="22"/>
      <c r="C588" s="16"/>
      <c r="D588" s="19" t="s">
        <v>17</v>
      </c>
      <c r="E588" s="17"/>
      <c r="F588" s="17"/>
      <c r="G588" s="20">
        <f>SUM(G587)</f>
        <v>1841.2</v>
      </c>
    </row>
    <row r="589" spans="1:7" x14ac:dyDescent="0.4">
      <c r="A589" s="21"/>
      <c r="B589" s="22"/>
      <c r="C589" s="16"/>
      <c r="D589" s="19" t="s">
        <v>295</v>
      </c>
      <c r="E589" s="17"/>
      <c r="F589" s="17"/>
      <c r="G589" s="20">
        <f>SUM(G527:G588)/2</f>
        <v>369475.19999999995</v>
      </c>
    </row>
    <row r="590" spans="1:7" ht="16.8" x14ac:dyDescent="0.45">
      <c r="A590" s="27">
        <v>14000000</v>
      </c>
      <c r="B590" s="24" t="s">
        <v>714</v>
      </c>
      <c r="C590" s="25"/>
      <c r="D590" s="25"/>
      <c r="E590" s="26"/>
      <c r="F590" s="26"/>
      <c r="G590" s="26"/>
    </row>
    <row r="591" spans="1:7" x14ac:dyDescent="0.4">
      <c r="A591" s="28">
        <v>14010000</v>
      </c>
      <c r="B591" s="15" t="s">
        <v>299</v>
      </c>
      <c r="C591" s="16"/>
      <c r="D591" s="16"/>
      <c r="E591" s="17"/>
      <c r="F591" s="17"/>
      <c r="G591" s="17"/>
    </row>
    <row r="592" spans="1:7" x14ac:dyDescent="0.4">
      <c r="A592" s="28">
        <v>14010100</v>
      </c>
      <c r="B592" s="15" t="s">
        <v>34</v>
      </c>
      <c r="C592" s="16"/>
      <c r="D592" s="16"/>
      <c r="E592" s="17"/>
      <c r="F592" s="17"/>
      <c r="G592" s="17"/>
    </row>
    <row r="593" spans="1:7" ht="14.4" x14ac:dyDescent="0.3">
      <c r="A593" s="28">
        <v>14010101</v>
      </c>
      <c r="B593" s="15" t="s">
        <v>344</v>
      </c>
      <c r="C593" s="19" t="s">
        <v>345</v>
      </c>
      <c r="D593" s="19" t="s">
        <v>38</v>
      </c>
      <c r="E593" s="20">
        <v>64</v>
      </c>
      <c r="F593" s="20">
        <f>+VLOOKUP(C593,[1]Serviços!$C$6:$F$172,4,FALSE)</f>
        <v>3.49</v>
      </c>
      <c r="G593" s="20">
        <f>+ROUND(F593*E593,2)</f>
        <v>223.36</v>
      </c>
    </row>
    <row r="594" spans="1:7" ht="14.4" x14ac:dyDescent="0.3">
      <c r="A594" s="28">
        <v>14010102</v>
      </c>
      <c r="B594" s="15" t="s">
        <v>347</v>
      </c>
      <c r="C594" s="19" t="s">
        <v>348</v>
      </c>
      <c r="D594" s="19" t="s">
        <v>38</v>
      </c>
      <c r="E594" s="20">
        <v>64</v>
      </c>
      <c r="F594" s="20">
        <f>+VLOOKUP(C594,[1]Serviços!$C$6:$F$172,4,FALSE)</f>
        <v>0.84</v>
      </c>
      <c r="G594" s="20">
        <f>+ROUND(F594*E594,2)</f>
        <v>53.76</v>
      </c>
    </row>
    <row r="595" spans="1:7" x14ac:dyDescent="0.4">
      <c r="A595" s="21"/>
      <c r="B595" s="22"/>
      <c r="C595" s="16"/>
      <c r="D595" s="19" t="s">
        <v>17</v>
      </c>
      <c r="E595" s="17"/>
      <c r="F595" s="17"/>
      <c r="G595" s="20">
        <f>SUM(G593:G594)</f>
        <v>277.12</v>
      </c>
    </row>
    <row r="596" spans="1:7" x14ac:dyDescent="0.4">
      <c r="A596" s="28">
        <v>14020000</v>
      </c>
      <c r="B596" s="15" t="s">
        <v>43</v>
      </c>
      <c r="C596" s="16"/>
      <c r="D596" s="16"/>
      <c r="E596" s="17"/>
      <c r="F596" s="17"/>
      <c r="G596" s="17"/>
    </row>
    <row r="597" spans="1:7" x14ac:dyDescent="0.4">
      <c r="A597" s="28">
        <v>14020100</v>
      </c>
      <c r="B597" s="15" t="s">
        <v>45</v>
      </c>
      <c r="C597" s="16"/>
      <c r="D597" s="16"/>
      <c r="E597" s="17"/>
      <c r="F597" s="17"/>
      <c r="G597" s="17"/>
    </row>
    <row r="598" spans="1:7" ht="14.4" x14ac:dyDescent="0.3">
      <c r="A598" s="28">
        <v>14020101</v>
      </c>
      <c r="B598" s="15" t="s">
        <v>47</v>
      </c>
      <c r="C598" s="19" t="s">
        <v>48</v>
      </c>
      <c r="D598" s="19" t="s">
        <v>38</v>
      </c>
      <c r="E598" s="20">
        <v>64</v>
      </c>
      <c r="F598" s="20">
        <f>+VLOOKUP(C598,[1]Serviços!$C$6:$F$172,4,FALSE)</f>
        <v>2.41</v>
      </c>
      <c r="G598" s="20">
        <f>+ROUND(F598*E598,2)</f>
        <v>154.24</v>
      </c>
    </row>
    <row r="599" spans="1:7" ht="14.4" x14ac:dyDescent="0.3">
      <c r="A599" s="28">
        <v>14020102</v>
      </c>
      <c r="B599" s="15" t="s">
        <v>50</v>
      </c>
      <c r="C599" s="19" t="s">
        <v>51</v>
      </c>
      <c r="D599" s="19" t="s">
        <v>38</v>
      </c>
      <c r="E599" s="20">
        <v>64</v>
      </c>
      <c r="F599" s="20">
        <f>+VLOOKUP(C599,[1]Serviços!$C$6:$F$172,4,FALSE)</f>
        <v>4.34</v>
      </c>
      <c r="G599" s="20">
        <f>+ROUND(F599*E599,2)</f>
        <v>277.76</v>
      </c>
    </row>
    <row r="600" spans="1:7" x14ac:dyDescent="0.4">
      <c r="A600" s="28">
        <v>14020200</v>
      </c>
      <c r="B600" s="15" t="s">
        <v>53</v>
      </c>
      <c r="C600" s="16"/>
      <c r="D600" s="16"/>
      <c r="E600" s="17"/>
      <c r="F600" s="17"/>
      <c r="G600" s="17"/>
    </row>
    <row r="601" spans="1:7" ht="14.4" x14ac:dyDescent="0.3">
      <c r="A601" s="28">
        <v>14020201</v>
      </c>
      <c r="B601" s="15" t="s">
        <v>59</v>
      </c>
      <c r="C601" s="19" t="s">
        <v>60</v>
      </c>
      <c r="D601" s="19" t="s">
        <v>57</v>
      </c>
      <c r="E601" s="20">
        <v>10</v>
      </c>
      <c r="F601" s="20">
        <f>+VLOOKUP(C601,[1]Serviços!$C$6:$F$172,4,FALSE)</f>
        <v>56.19</v>
      </c>
      <c r="G601" s="20">
        <f>+ROUND(F601*E601,2)</f>
        <v>561.9</v>
      </c>
    </row>
    <row r="602" spans="1:7" x14ac:dyDescent="0.4">
      <c r="A602" s="21"/>
      <c r="B602" s="22"/>
      <c r="C602" s="16"/>
      <c r="D602" s="19" t="s">
        <v>17</v>
      </c>
      <c r="E602" s="17"/>
      <c r="F602" s="17"/>
      <c r="G602" s="20">
        <f>SUM(G598:G601)</f>
        <v>993.9</v>
      </c>
    </row>
    <row r="603" spans="1:7" x14ac:dyDescent="0.4">
      <c r="A603" s="28">
        <v>14030000</v>
      </c>
      <c r="B603" s="15" t="s">
        <v>87</v>
      </c>
      <c r="C603" s="16"/>
      <c r="D603" s="16"/>
      <c r="E603" s="17"/>
      <c r="F603" s="17"/>
      <c r="G603" s="17"/>
    </row>
    <row r="604" spans="1:7" x14ac:dyDescent="0.4">
      <c r="A604" s="28">
        <v>14030100</v>
      </c>
      <c r="B604" s="15" t="s">
        <v>89</v>
      </c>
      <c r="C604" s="16"/>
      <c r="D604" s="16"/>
      <c r="E604" s="17"/>
      <c r="F604" s="17"/>
      <c r="G604" s="17"/>
    </row>
    <row r="605" spans="1:7" ht="14.4" x14ac:dyDescent="0.3">
      <c r="A605" s="28">
        <v>14030101</v>
      </c>
      <c r="B605" s="15" t="s">
        <v>94</v>
      </c>
      <c r="C605" s="19" t="s">
        <v>95</v>
      </c>
      <c r="D605" s="19" t="s">
        <v>73</v>
      </c>
      <c r="E605" s="20">
        <v>60</v>
      </c>
      <c r="F605" s="20">
        <f>+VLOOKUP(C605,[1]Serviços!$C$6:$F$172,4,FALSE)</f>
        <v>7.69</v>
      </c>
      <c r="G605" s="20">
        <f>+ROUND(F605*E605,2)</f>
        <v>461.4</v>
      </c>
    </row>
    <row r="606" spans="1:7" x14ac:dyDescent="0.4">
      <c r="A606" s="28">
        <v>14030200</v>
      </c>
      <c r="B606" s="15" t="s">
        <v>108</v>
      </c>
      <c r="C606" s="16"/>
      <c r="D606" s="16"/>
      <c r="E606" s="17"/>
      <c r="F606" s="17"/>
      <c r="G606" s="17"/>
    </row>
    <row r="607" spans="1:7" ht="14.4" x14ac:dyDescent="0.3">
      <c r="A607" s="28">
        <v>14030201</v>
      </c>
      <c r="B607" s="15" t="s">
        <v>110</v>
      </c>
      <c r="C607" s="19" t="s">
        <v>111</v>
      </c>
      <c r="D607" s="19" t="s">
        <v>73</v>
      </c>
      <c r="E607" s="20">
        <v>144</v>
      </c>
      <c r="F607" s="20">
        <f>+VLOOKUP(C607,[1]Serviços!$C$6:$F$172,4,FALSE)</f>
        <v>6.26</v>
      </c>
      <c r="G607" s="20">
        <f>+ROUND(F607*E607,2)</f>
        <v>901.44</v>
      </c>
    </row>
    <row r="608" spans="1:7" x14ac:dyDescent="0.4">
      <c r="A608" s="28">
        <v>14030300</v>
      </c>
      <c r="B608" s="15" t="s">
        <v>122</v>
      </c>
      <c r="C608" s="16"/>
      <c r="D608" s="16"/>
      <c r="E608" s="17"/>
      <c r="F608" s="17"/>
      <c r="G608" s="17"/>
    </row>
    <row r="609" spans="1:7" ht="14.4" x14ac:dyDescent="0.3">
      <c r="A609" s="28">
        <v>14030301</v>
      </c>
      <c r="B609" s="15" t="s">
        <v>124</v>
      </c>
      <c r="C609" s="19" t="s">
        <v>125</v>
      </c>
      <c r="D609" s="19" t="s">
        <v>73</v>
      </c>
      <c r="E609" s="20">
        <v>31</v>
      </c>
      <c r="F609" s="20">
        <f>+VLOOKUP(C609,[1]Serviços!$C$6:$F$172,4,FALSE)</f>
        <v>12.26</v>
      </c>
      <c r="G609" s="20">
        <f>+ROUND(F609*E609,2)</f>
        <v>380.06</v>
      </c>
    </row>
    <row r="610" spans="1:7" ht="24" x14ac:dyDescent="0.3">
      <c r="A610" s="28">
        <v>14030302</v>
      </c>
      <c r="B610" s="15" t="s">
        <v>127</v>
      </c>
      <c r="C610" s="19" t="s">
        <v>128</v>
      </c>
      <c r="D610" s="19" t="s">
        <v>73</v>
      </c>
      <c r="E610" s="20">
        <v>110</v>
      </c>
      <c r="F610" s="20">
        <f>+VLOOKUP(C610,[1]Serviços!$C$6:$F$172,4,FALSE)</f>
        <v>14.3</v>
      </c>
      <c r="G610" s="20">
        <f>+ROUND(F610*E610,2)</f>
        <v>1573</v>
      </c>
    </row>
    <row r="611" spans="1:7" x14ac:dyDescent="0.4">
      <c r="A611" s="28">
        <v>14030400</v>
      </c>
      <c r="B611" s="15" t="s">
        <v>130</v>
      </c>
      <c r="C611" s="16"/>
      <c r="D611" s="16"/>
      <c r="E611" s="17"/>
      <c r="F611" s="17"/>
      <c r="G611" s="17"/>
    </row>
    <row r="612" spans="1:7" ht="14.4" x14ac:dyDescent="0.3">
      <c r="A612" s="28">
        <v>14030401</v>
      </c>
      <c r="B612" s="15" t="s">
        <v>132</v>
      </c>
      <c r="C612" s="19" t="s">
        <v>133</v>
      </c>
      <c r="D612" s="19" t="s">
        <v>134</v>
      </c>
      <c r="E612" s="20">
        <v>1800</v>
      </c>
      <c r="F612" s="20">
        <f>+VLOOKUP(C612,[1]Serviços!$C$6:$F$172,4,FALSE)</f>
        <v>1.61</v>
      </c>
      <c r="G612" s="20">
        <f>+ROUND(F612*E612,2)</f>
        <v>2898</v>
      </c>
    </row>
    <row r="613" spans="1:7" x14ac:dyDescent="0.4">
      <c r="A613" s="21"/>
      <c r="B613" s="22"/>
      <c r="C613" s="16"/>
      <c r="D613" s="19" t="s">
        <v>17</v>
      </c>
      <c r="E613" s="17"/>
      <c r="F613" s="17"/>
      <c r="G613" s="20">
        <f>SUM(G605:G612)</f>
        <v>6213.9</v>
      </c>
    </row>
    <row r="614" spans="1:7" x14ac:dyDescent="0.4">
      <c r="A614" s="28">
        <v>14040000</v>
      </c>
      <c r="B614" s="15" t="s">
        <v>136</v>
      </c>
      <c r="C614" s="16"/>
      <c r="D614" s="16"/>
      <c r="E614" s="17"/>
      <c r="F614" s="17"/>
      <c r="G614" s="17"/>
    </row>
    <row r="615" spans="1:7" x14ac:dyDescent="0.4">
      <c r="A615" s="28">
        <v>14040100</v>
      </c>
      <c r="B615" s="15" t="s">
        <v>138</v>
      </c>
      <c r="C615" s="16"/>
      <c r="D615" s="16"/>
      <c r="E615" s="17"/>
      <c r="F615" s="17"/>
      <c r="G615" s="17"/>
    </row>
    <row r="616" spans="1:7" ht="14.4" x14ac:dyDescent="0.3">
      <c r="A616" s="28">
        <v>14040101</v>
      </c>
      <c r="B616" s="15" t="s">
        <v>140</v>
      </c>
      <c r="C616" s="19" t="s">
        <v>141</v>
      </c>
      <c r="D616" s="19" t="s">
        <v>57</v>
      </c>
      <c r="E616" s="20">
        <v>256</v>
      </c>
      <c r="F616" s="20">
        <f>+VLOOKUP(C616,[1]Serviços!$C$6:$F$172,4,FALSE)</f>
        <v>10.039999999999999</v>
      </c>
      <c r="G616" s="20">
        <f>+ROUND(F616*E616,2)</f>
        <v>2570.2399999999998</v>
      </c>
    </row>
    <row r="617" spans="1:7" x14ac:dyDescent="0.4">
      <c r="A617" s="21"/>
      <c r="B617" s="22"/>
      <c r="C617" s="16"/>
      <c r="D617" s="19" t="s">
        <v>17</v>
      </c>
      <c r="E617" s="17"/>
      <c r="F617" s="17"/>
      <c r="G617" s="20">
        <f>SUM(G616)</f>
        <v>2570.2399999999998</v>
      </c>
    </row>
    <row r="618" spans="1:7" x14ac:dyDescent="0.4">
      <c r="A618" s="28">
        <v>14050000</v>
      </c>
      <c r="B618" s="15" t="s">
        <v>179</v>
      </c>
      <c r="C618" s="16"/>
      <c r="D618" s="16"/>
      <c r="E618" s="17"/>
      <c r="F618" s="17"/>
      <c r="G618" s="17"/>
    </row>
    <row r="619" spans="1:7" x14ac:dyDescent="0.4">
      <c r="A619" s="28">
        <v>14050100</v>
      </c>
      <c r="B619" s="15" t="s">
        <v>692</v>
      </c>
      <c r="C619" s="16"/>
      <c r="D619" s="16"/>
      <c r="E619" s="17"/>
      <c r="F619" s="17"/>
      <c r="G619" s="17"/>
    </row>
    <row r="620" spans="1:7" ht="14.4" x14ac:dyDescent="0.3">
      <c r="A620" s="28">
        <v>14050101</v>
      </c>
      <c r="B620" s="15" t="s">
        <v>693</v>
      </c>
      <c r="C620" s="19" t="s">
        <v>694</v>
      </c>
      <c r="D620" s="19" t="s">
        <v>38</v>
      </c>
      <c r="E620" s="20">
        <v>52</v>
      </c>
      <c r="F620" s="20">
        <f>+VLOOKUP(C620,[1]Serviços!$C$6:$F$172,4,FALSE)</f>
        <v>26.62</v>
      </c>
      <c r="G620" s="20">
        <f>+ROUND(F620*E620,2)</f>
        <v>1384.24</v>
      </c>
    </row>
    <row r="621" spans="1:7" x14ac:dyDescent="0.4">
      <c r="A621" s="28">
        <v>14050200</v>
      </c>
      <c r="B621" s="15" t="s">
        <v>333</v>
      </c>
      <c r="C621" s="16"/>
      <c r="D621" s="16"/>
      <c r="E621" s="17"/>
      <c r="F621" s="17"/>
      <c r="G621" s="17"/>
    </row>
    <row r="622" spans="1:7" ht="14.4" x14ac:dyDescent="0.3">
      <c r="A622" s="28">
        <v>14050201</v>
      </c>
      <c r="B622" s="15" t="s">
        <v>201</v>
      </c>
      <c r="C622" s="19" t="s">
        <v>335</v>
      </c>
      <c r="D622" s="19" t="s">
        <v>69</v>
      </c>
      <c r="E622" s="20">
        <v>5</v>
      </c>
      <c r="F622" s="20">
        <f>+VLOOKUP(C622,[1]Serviços!$C$6:$F$172,4,FALSE)</f>
        <v>3193.31</v>
      </c>
      <c r="G622" s="20">
        <f>+ROUND(F622*E622,2)</f>
        <v>15966.55</v>
      </c>
    </row>
    <row r="623" spans="1:7" x14ac:dyDescent="0.4">
      <c r="A623" s="21"/>
      <c r="B623" s="22"/>
      <c r="C623" s="16"/>
      <c r="D623" s="19" t="s">
        <v>17</v>
      </c>
      <c r="E623" s="17"/>
      <c r="F623" s="17"/>
      <c r="G623" s="20">
        <f>SUM(G620:G622)</f>
        <v>17350.79</v>
      </c>
    </row>
    <row r="624" spans="1:7" x14ac:dyDescent="0.4">
      <c r="A624" s="28">
        <v>14060000</v>
      </c>
      <c r="B624" s="15" t="s">
        <v>229</v>
      </c>
      <c r="C624" s="16"/>
      <c r="D624" s="16"/>
      <c r="E624" s="17"/>
      <c r="F624" s="17"/>
      <c r="G624" s="17"/>
    </row>
    <row r="625" spans="1:7" x14ac:dyDescent="0.4">
      <c r="A625" s="28">
        <v>14060100</v>
      </c>
      <c r="B625" s="15" t="s">
        <v>231</v>
      </c>
      <c r="C625" s="16"/>
      <c r="D625" s="16"/>
      <c r="E625" s="17"/>
      <c r="F625" s="17"/>
      <c r="G625" s="17"/>
    </row>
    <row r="626" spans="1:7" ht="14.4" x14ac:dyDescent="0.3">
      <c r="A626" s="28">
        <v>14060101</v>
      </c>
      <c r="B626" s="15" t="s">
        <v>233</v>
      </c>
      <c r="C626" s="19" t="s">
        <v>234</v>
      </c>
      <c r="D626" s="19" t="s">
        <v>38</v>
      </c>
      <c r="E626" s="20">
        <v>64</v>
      </c>
      <c r="F626" s="20">
        <f>+VLOOKUP(C626,[1]Serviços!$C$6:$F$172,4,FALSE)</f>
        <v>3.67</v>
      </c>
      <c r="G626" s="20">
        <f>+ROUND(F626*E626,2)</f>
        <v>234.88</v>
      </c>
    </row>
    <row r="627" spans="1:7" x14ac:dyDescent="0.4">
      <c r="A627" s="21"/>
      <c r="B627" s="22"/>
      <c r="C627" s="16"/>
      <c r="D627" s="19" t="s">
        <v>17</v>
      </c>
      <c r="E627" s="17"/>
      <c r="F627" s="17"/>
      <c r="G627" s="20">
        <f>SUM(G626)</f>
        <v>234.88</v>
      </c>
    </row>
    <row r="628" spans="1:7" x14ac:dyDescent="0.4">
      <c r="A628" s="28">
        <v>14070000</v>
      </c>
      <c r="B628" s="15" t="s">
        <v>290</v>
      </c>
      <c r="C628" s="16"/>
      <c r="D628" s="16"/>
      <c r="E628" s="17"/>
      <c r="F628" s="17"/>
      <c r="G628" s="17"/>
    </row>
    <row r="629" spans="1:7" ht="14.4" x14ac:dyDescent="0.3">
      <c r="A629" s="28">
        <v>14070001</v>
      </c>
      <c r="B629" s="15" t="s">
        <v>715</v>
      </c>
      <c r="C629" s="18">
        <v>356036</v>
      </c>
      <c r="D629" s="19" t="s">
        <v>38</v>
      </c>
      <c r="E629" s="20">
        <v>64</v>
      </c>
      <c r="F629" s="20">
        <f>+VLOOKUP(C629,[1]Serviços!$C$6:$F$172,4,FALSE)</f>
        <v>25.35</v>
      </c>
      <c r="G629" s="20">
        <f>+ROUND(F629*E629,2)</f>
        <v>1622.4</v>
      </c>
    </row>
    <row r="630" spans="1:7" ht="14.4" x14ac:dyDescent="0.3">
      <c r="A630" s="28">
        <v>14070002</v>
      </c>
      <c r="B630" s="15" t="s">
        <v>294</v>
      </c>
      <c r="C630" s="18">
        <v>356006</v>
      </c>
      <c r="D630" s="19" t="s">
        <v>69</v>
      </c>
      <c r="E630" s="20">
        <v>5</v>
      </c>
      <c r="F630" s="20">
        <f>+VLOOKUP(C630,[1]Serviços!$C$6:$F$172,4,FALSE)</f>
        <v>437.4</v>
      </c>
      <c r="G630" s="20">
        <f>+ROUND(F630*E630,2)</f>
        <v>2187</v>
      </c>
    </row>
    <row r="631" spans="1:7" x14ac:dyDescent="0.4">
      <c r="A631" s="21"/>
      <c r="B631" s="22"/>
      <c r="C631" s="16"/>
      <c r="D631" s="19" t="s">
        <v>17</v>
      </c>
      <c r="E631" s="17"/>
      <c r="F631" s="17"/>
      <c r="G631" s="20">
        <f>SUM(G629:G630)</f>
        <v>3809.4</v>
      </c>
    </row>
    <row r="632" spans="1:7" x14ac:dyDescent="0.4">
      <c r="A632" s="21"/>
      <c r="B632" s="22"/>
      <c r="C632" s="16"/>
      <c r="D632" s="19" t="s">
        <v>295</v>
      </c>
      <c r="E632" s="17"/>
      <c r="F632" s="17"/>
      <c r="G632" s="20">
        <f>SUM(G592:G631)/2</f>
        <v>31450.23</v>
      </c>
    </row>
    <row r="633" spans="1:7" ht="16.8" x14ac:dyDescent="0.45">
      <c r="A633" s="27">
        <v>15000000</v>
      </c>
      <c r="B633" s="24" t="s">
        <v>716</v>
      </c>
      <c r="C633" s="25"/>
      <c r="D633" s="25"/>
      <c r="E633" s="26"/>
      <c r="F633" s="26"/>
      <c r="G633" s="26"/>
    </row>
    <row r="634" spans="1:7" x14ac:dyDescent="0.4">
      <c r="A634" s="28">
        <v>15010000</v>
      </c>
      <c r="B634" s="15" t="s">
        <v>650</v>
      </c>
      <c r="C634" s="16"/>
      <c r="D634" s="16"/>
      <c r="E634" s="17"/>
      <c r="F634" s="17"/>
      <c r="G634" s="17"/>
    </row>
    <row r="635" spans="1:7" ht="14.4" x14ac:dyDescent="0.3">
      <c r="A635" s="28">
        <v>15010001</v>
      </c>
      <c r="B635" s="15" t="s">
        <v>717</v>
      </c>
      <c r="C635" s="18">
        <v>356117</v>
      </c>
      <c r="D635" s="19" t="s">
        <v>16</v>
      </c>
      <c r="E635" s="20">
        <v>1</v>
      </c>
      <c r="F635" s="20">
        <f>+VLOOKUP(C635,[1]Serviços!$C$6:$F$172,4,FALSE)</f>
        <v>28406.6</v>
      </c>
      <c r="G635" s="20">
        <f t="shared" ref="G635:G643" si="4">+ROUND(F635*E635,2)</f>
        <v>28406.6</v>
      </c>
    </row>
    <row r="636" spans="1:7" ht="14.4" x14ac:dyDescent="0.3">
      <c r="A636" s="28">
        <v>15010002</v>
      </c>
      <c r="B636" s="15" t="s">
        <v>718</v>
      </c>
      <c r="C636" s="18">
        <v>356118</v>
      </c>
      <c r="D636" s="19" t="s">
        <v>16</v>
      </c>
      <c r="E636" s="20">
        <v>1</v>
      </c>
      <c r="F636" s="20">
        <f>+VLOOKUP(C636,[1]Serviços!$C$6:$F$172,4,FALSE)</f>
        <v>3956.31</v>
      </c>
      <c r="G636" s="20">
        <f t="shared" si="4"/>
        <v>3956.31</v>
      </c>
    </row>
    <row r="637" spans="1:7" ht="14.4" x14ac:dyDescent="0.3">
      <c r="A637" s="28">
        <v>15010003</v>
      </c>
      <c r="B637" s="15" t="s">
        <v>719</v>
      </c>
      <c r="C637" s="18">
        <v>356110</v>
      </c>
      <c r="D637" s="19" t="s">
        <v>16</v>
      </c>
      <c r="E637" s="20">
        <v>1</v>
      </c>
      <c r="F637" s="20">
        <f>+VLOOKUP(C637,[1]Serviços!$C$6:$F$172,4,FALSE)</f>
        <v>243786</v>
      </c>
      <c r="G637" s="20">
        <f t="shared" si="4"/>
        <v>243786</v>
      </c>
    </row>
    <row r="638" spans="1:7" ht="14.4" x14ac:dyDescent="0.3">
      <c r="A638" s="28">
        <v>15010004</v>
      </c>
      <c r="B638" s="15" t="s">
        <v>720</v>
      </c>
      <c r="C638" s="18">
        <v>356113</v>
      </c>
      <c r="D638" s="19" t="s">
        <v>16</v>
      </c>
      <c r="E638" s="20">
        <v>1</v>
      </c>
      <c r="F638" s="20">
        <f>+VLOOKUP(C638,[1]Serviços!$C$6:$F$172,4,FALSE)</f>
        <v>109.6</v>
      </c>
      <c r="G638" s="20">
        <f t="shared" si="4"/>
        <v>109.6</v>
      </c>
    </row>
    <row r="639" spans="1:7" ht="14.4" x14ac:dyDescent="0.3">
      <c r="A639" s="28">
        <v>15010005</v>
      </c>
      <c r="B639" s="15" t="s">
        <v>721</v>
      </c>
      <c r="C639" s="18">
        <v>356114</v>
      </c>
      <c r="D639" s="19" t="s">
        <v>16</v>
      </c>
      <c r="E639" s="20">
        <v>1</v>
      </c>
      <c r="F639" s="20">
        <f>+VLOOKUP(C639,[1]Serviços!$C$6:$F$172,4,FALSE)</f>
        <v>52160.77</v>
      </c>
      <c r="G639" s="20">
        <f t="shared" si="4"/>
        <v>52160.77</v>
      </c>
    </row>
    <row r="640" spans="1:7" ht="14.4" x14ac:dyDescent="0.3">
      <c r="A640" s="28">
        <v>15010006</v>
      </c>
      <c r="B640" s="15" t="s">
        <v>722</v>
      </c>
      <c r="C640" s="18">
        <v>356111</v>
      </c>
      <c r="D640" s="19" t="s">
        <v>16</v>
      </c>
      <c r="E640" s="20">
        <v>1</v>
      </c>
      <c r="F640" s="20">
        <f>+VLOOKUP(C640,[1]Serviços!$C$6:$F$172,4,FALSE)</f>
        <v>31970.880000000001</v>
      </c>
      <c r="G640" s="20">
        <f t="shared" si="4"/>
        <v>31970.880000000001</v>
      </c>
    </row>
    <row r="641" spans="1:7" ht="14.4" x14ac:dyDescent="0.3">
      <c r="A641" s="28">
        <v>15010007</v>
      </c>
      <c r="B641" s="15" t="s">
        <v>723</v>
      </c>
      <c r="C641" s="18">
        <v>356115</v>
      </c>
      <c r="D641" s="19" t="s">
        <v>16</v>
      </c>
      <c r="E641" s="20">
        <v>1</v>
      </c>
      <c r="F641" s="20">
        <f>+VLOOKUP(C641,[1]Serviços!$C$6:$F$172,4,FALSE)</f>
        <v>73295.320000000007</v>
      </c>
      <c r="G641" s="20">
        <f t="shared" si="4"/>
        <v>73295.320000000007</v>
      </c>
    </row>
    <row r="642" spans="1:7" ht="14.4" x14ac:dyDescent="0.3">
      <c r="A642" s="28">
        <v>15010008</v>
      </c>
      <c r="B642" s="15" t="s">
        <v>724</v>
      </c>
      <c r="C642" s="18">
        <v>356116</v>
      </c>
      <c r="D642" s="19" t="s">
        <v>16</v>
      </c>
      <c r="E642" s="20">
        <v>1</v>
      </c>
      <c r="F642" s="20">
        <f>+VLOOKUP(C642,[1]Serviços!$C$6:$F$172,4,FALSE)</f>
        <v>17406.8</v>
      </c>
      <c r="G642" s="20">
        <f t="shared" si="4"/>
        <v>17406.8</v>
      </c>
    </row>
    <row r="643" spans="1:7" ht="14.4" x14ac:dyDescent="0.3">
      <c r="A643" s="28">
        <v>15010009</v>
      </c>
      <c r="B643" s="15" t="s">
        <v>725</v>
      </c>
      <c r="C643" s="18">
        <v>356112</v>
      </c>
      <c r="D643" s="19" t="s">
        <v>16</v>
      </c>
      <c r="E643" s="20">
        <v>1</v>
      </c>
      <c r="F643" s="20">
        <f>+VLOOKUP(C643,[1]Serviços!$C$6:$F$172,4,FALSE)</f>
        <v>5988.33</v>
      </c>
      <c r="G643" s="20">
        <f t="shared" si="4"/>
        <v>5988.33</v>
      </c>
    </row>
    <row r="644" spans="1:7" x14ac:dyDescent="0.4">
      <c r="A644" s="21"/>
      <c r="B644" s="22"/>
      <c r="C644" s="16"/>
      <c r="D644" s="19" t="s">
        <v>17</v>
      </c>
      <c r="E644" s="17"/>
      <c r="F644" s="17"/>
      <c r="G644" s="20">
        <f>SUM(G635:G643)</f>
        <v>457080.61</v>
      </c>
    </row>
    <row r="645" spans="1:7" x14ac:dyDescent="0.4">
      <c r="A645" s="28">
        <v>15020000</v>
      </c>
      <c r="B645" s="15" t="s">
        <v>290</v>
      </c>
      <c r="C645" s="16"/>
      <c r="D645" s="16"/>
      <c r="E645" s="17"/>
      <c r="F645" s="17"/>
      <c r="G645" s="17"/>
    </row>
    <row r="646" spans="1:7" ht="14.4" x14ac:dyDescent="0.3">
      <c r="A646" s="28">
        <v>15020001</v>
      </c>
      <c r="B646" s="15" t="s">
        <v>726</v>
      </c>
      <c r="C646" s="18">
        <v>356119</v>
      </c>
      <c r="D646" s="19" t="s">
        <v>16</v>
      </c>
      <c r="E646" s="20">
        <v>1</v>
      </c>
      <c r="F646" s="20">
        <f>+VLOOKUP(C646,[1]Serviços!$C$6:$F$172,4,FALSE)</f>
        <v>1218934</v>
      </c>
      <c r="G646" s="20">
        <f t="shared" ref="G646:G654" si="5">+ROUND(F646*E646,2)</f>
        <v>1218934</v>
      </c>
    </row>
    <row r="647" spans="1:7" ht="24" x14ac:dyDescent="0.3">
      <c r="A647" s="28">
        <v>15020002</v>
      </c>
      <c r="B647" s="15" t="s">
        <v>727</v>
      </c>
      <c r="C647" s="18">
        <v>356120</v>
      </c>
      <c r="D647" s="19" t="s">
        <v>16</v>
      </c>
      <c r="E647" s="20">
        <v>1</v>
      </c>
      <c r="F647" s="20">
        <f>+VLOOKUP(C647,[1]Serviços!$C$6:$F$172,4,FALSE)</f>
        <v>159854.39999999999</v>
      </c>
      <c r="G647" s="20">
        <f t="shared" si="5"/>
        <v>159854.39999999999</v>
      </c>
    </row>
    <row r="648" spans="1:7" ht="14.4" x14ac:dyDescent="0.3">
      <c r="A648" s="28">
        <v>15020003</v>
      </c>
      <c r="B648" s="15" t="s">
        <v>728</v>
      </c>
      <c r="C648" s="18">
        <v>356121</v>
      </c>
      <c r="D648" s="19" t="s">
        <v>16</v>
      </c>
      <c r="E648" s="20">
        <v>1</v>
      </c>
      <c r="F648" s="20">
        <f>+VLOOKUP(C648,[1]Serviços!$C$6:$F$172,4,FALSE)</f>
        <v>29941.65</v>
      </c>
      <c r="G648" s="20">
        <f t="shared" si="5"/>
        <v>29941.65</v>
      </c>
    </row>
    <row r="649" spans="1:7" ht="14.4" x14ac:dyDescent="0.3">
      <c r="A649" s="28">
        <v>15020004</v>
      </c>
      <c r="B649" s="15" t="s">
        <v>729</v>
      </c>
      <c r="C649" s="18">
        <v>356122</v>
      </c>
      <c r="D649" s="19" t="s">
        <v>16</v>
      </c>
      <c r="E649" s="20">
        <v>1</v>
      </c>
      <c r="F649" s="20">
        <f>+VLOOKUP(C649,[1]Serviços!$C$6:$F$172,4,FALSE)</f>
        <v>548</v>
      </c>
      <c r="G649" s="20">
        <f t="shared" si="5"/>
        <v>548</v>
      </c>
    </row>
    <row r="650" spans="1:7" ht="14.4" x14ac:dyDescent="0.3">
      <c r="A650" s="28">
        <v>15020005</v>
      </c>
      <c r="B650" s="15" t="s">
        <v>730</v>
      </c>
      <c r="C650" s="18">
        <v>356125</v>
      </c>
      <c r="D650" s="19" t="s">
        <v>16</v>
      </c>
      <c r="E650" s="20">
        <v>1</v>
      </c>
      <c r="F650" s="20">
        <f>+VLOOKUP(C650,[1]Serviços!$C$6:$F$172,4,FALSE)</f>
        <v>87034</v>
      </c>
      <c r="G650" s="20">
        <f t="shared" si="5"/>
        <v>87034</v>
      </c>
    </row>
    <row r="651" spans="1:7" ht="14.4" x14ac:dyDescent="0.3">
      <c r="A651" s="28">
        <v>15020006</v>
      </c>
      <c r="B651" s="15" t="s">
        <v>731</v>
      </c>
      <c r="C651" s="18">
        <v>356126</v>
      </c>
      <c r="D651" s="19" t="s">
        <v>16</v>
      </c>
      <c r="E651" s="20">
        <v>1</v>
      </c>
      <c r="F651" s="20">
        <f>+VLOOKUP(C651,[1]Serviços!$C$6:$F$172,4,FALSE)</f>
        <v>142033</v>
      </c>
      <c r="G651" s="20">
        <f t="shared" si="5"/>
        <v>142033</v>
      </c>
    </row>
    <row r="652" spans="1:7" ht="14.4" x14ac:dyDescent="0.3">
      <c r="A652" s="28">
        <v>15020007</v>
      </c>
      <c r="B652" s="15" t="s">
        <v>732</v>
      </c>
      <c r="C652" s="18">
        <v>356123</v>
      </c>
      <c r="D652" s="19" t="s">
        <v>16</v>
      </c>
      <c r="E652" s="20">
        <v>1</v>
      </c>
      <c r="F652" s="20">
        <f>+VLOOKUP(C652,[1]Serviços!$C$6:$F$172,4,FALSE)</f>
        <v>260802.36</v>
      </c>
      <c r="G652" s="20">
        <f t="shared" si="5"/>
        <v>260802.36</v>
      </c>
    </row>
    <row r="653" spans="1:7" ht="14.4" x14ac:dyDescent="0.3">
      <c r="A653" s="28">
        <v>15020008</v>
      </c>
      <c r="B653" s="15" t="s">
        <v>733</v>
      </c>
      <c r="C653" s="18">
        <v>356127</v>
      </c>
      <c r="D653" s="19" t="s">
        <v>16</v>
      </c>
      <c r="E653" s="20">
        <v>1</v>
      </c>
      <c r="F653" s="20">
        <f>+VLOOKUP(C653,[1]Serviços!$C$6:$F$172,4,FALSE)</f>
        <v>19781.55</v>
      </c>
      <c r="G653" s="20">
        <f t="shared" si="5"/>
        <v>19781.55</v>
      </c>
    </row>
    <row r="654" spans="1:7" ht="14.4" x14ac:dyDescent="0.3">
      <c r="A654" s="28">
        <v>15020009</v>
      </c>
      <c r="B654" s="15" t="s">
        <v>734</v>
      </c>
      <c r="C654" s="18">
        <v>356124</v>
      </c>
      <c r="D654" s="19" t="s">
        <v>16</v>
      </c>
      <c r="E654" s="20">
        <v>1</v>
      </c>
      <c r="F654" s="20">
        <f>+VLOOKUP(C654,[1]Serviços!$C$6:$F$172,4,FALSE)</f>
        <v>366479.53</v>
      </c>
      <c r="G654" s="20">
        <f t="shared" si="5"/>
        <v>366479.53</v>
      </c>
    </row>
    <row r="655" spans="1:7" x14ac:dyDescent="0.4">
      <c r="A655" s="21"/>
      <c r="B655" s="22"/>
      <c r="C655" s="16"/>
      <c r="D655" s="19" t="s">
        <v>17</v>
      </c>
      <c r="E655" s="17"/>
      <c r="F655" s="17"/>
      <c r="G655" s="20">
        <f>SUM(G646:G654)</f>
        <v>2285408.4899999998</v>
      </c>
    </row>
    <row r="656" spans="1:7" x14ac:dyDescent="0.4">
      <c r="A656" s="28">
        <v>15030000</v>
      </c>
      <c r="B656" s="15" t="s">
        <v>661</v>
      </c>
      <c r="C656" s="16"/>
      <c r="D656" s="16"/>
      <c r="E656" s="17"/>
      <c r="F656" s="17"/>
      <c r="G656" s="17"/>
    </row>
    <row r="657" spans="1:7" ht="14.4" x14ac:dyDescent="0.3">
      <c r="A657" s="28">
        <v>15030001</v>
      </c>
      <c r="B657" s="15" t="s">
        <v>735</v>
      </c>
      <c r="C657" s="18">
        <v>356128</v>
      </c>
      <c r="D657" s="19" t="s">
        <v>16</v>
      </c>
      <c r="E657" s="20">
        <v>1</v>
      </c>
      <c r="F657" s="20">
        <f>+VLOOKUP(C657,[1]Serviços!$C$6:$F$172,4,FALSE)</f>
        <v>1102121.8999999999</v>
      </c>
      <c r="G657" s="20">
        <f>+ROUND(F657*E657,2)</f>
        <v>1102121.8999999999</v>
      </c>
    </row>
    <row r="658" spans="1:7" x14ac:dyDescent="0.4">
      <c r="A658" s="21"/>
      <c r="B658" s="22"/>
      <c r="C658" s="16"/>
      <c r="D658" s="19" t="s">
        <v>17</v>
      </c>
      <c r="E658" s="17"/>
      <c r="F658" s="17"/>
      <c r="G658" s="20">
        <f>SUM(G657)</f>
        <v>1102121.8999999999</v>
      </c>
    </row>
    <row r="659" spans="1:7" x14ac:dyDescent="0.4">
      <c r="A659" s="28">
        <v>15040000</v>
      </c>
      <c r="B659" s="15" t="s">
        <v>736</v>
      </c>
      <c r="C659" s="16"/>
      <c r="D659" s="16"/>
      <c r="E659" s="17"/>
      <c r="F659" s="17"/>
      <c r="G659" s="17"/>
    </row>
    <row r="660" spans="1:7" ht="14.4" x14ac:dyDescent="0.3">
      <c r="A660" s="28">
        <v>15040001</v>
      </c>
      <c r="B660" s="15" t="s">
        <v>737</v>
      </c>
      <c r="C660" s="18">
        <v>356129</v>
      </c>
      <c r="D660" s="19" t="s">
        <v>16</v>
      </c>
      <c r="E660" s="20">
        <v>1</v>
      </c>
      <c r="F660" s="20">
        <f>+VLOOKUP(C660,[1]Serviços!$C$6:$F$172,4,FALSE)</f>
        <v>98893</v>
      </c>
      <c r="G660" s="20">
        <f>+ROUND(F660*E660,2)</f>
        <v>98893</v>
      </c>
    </row>
    <row r="661" spans="1:7" x14ac:dyDescent="0.4">
      <c r="A661" s="21"/>
      <c r="B661" s="22"/>
      <c r="C661" s="16"/>
      <c r="D661" s="19" t="s">
        <v>17</v>
      </c>
      <c r="E661" s="17"/>
      <c r="F661" s="17"/>
      <c r="G661" s="20">
        <f>SUM(G660)</f>
        <v>98893</v>
      </c>
    </row>
    <row r="662" spans="1:7" x14ac:dyDescent="0.4">
      <c r="A662" s="21"/>
      <c r="B662" s="22"/>
      <c r="C662" s="16"/>
      <c r="D662" s="19" t="s">
        <v>295</v>
      </c>
      <c r="E662" s="17"/>
      <c r="F662" s="17"/>
      <c r="G662" s="20">
        <f>SUM(G634:G661)/2</f>
        <v>3943504</v>
      </c>
    </row>
    <row r="663" spans="1:7" ht="16.8" x14ac:dyDescent="0.45">
      <c r="A663" s="27">
        <v>16000000</v>
      </c>
      <c r="B663" s="24" t="s">
        <v>738</v>
      </c>
      <c r="C663" s="25"/>
      <c r="D663" s="25"/>
      <c r="E663" s="26"/>
      <c r="F663" s="26"/>
      <c r="G663" s="26"/>
    </row>
    <row r="664" spans="1:7" x14ac:dyDescent="0.4">
      <c r="A664" s="28">
        <v>16010000</v>
      </c>
      <c r="B664" s="15" t="s">
        <v>299</v>
      </c>
      <c r="C664" s="16"/>
      <c r="D664" s="16"/>
      <c r="E664" s="17"/>
      <c r="F664" s="17"/>
      <c r="G664" s="17"/>
    </row>
    <row r="665" spans="1:7" x14ac:dyDescent="0.4">
      <c r="A665" s="28">
        <v>16010100</v>
      </c>
      <c r="B665" s="15" t="s">
        <v>34</v>
      </c>
      <c r="C665" s="16"/>
      <c r="D665" s="16"/>
      <c r="E665" s="17"/>
      <c r="F665" s="17"/>
      <c r="G665" s="17"/>
    </row>
    <row r="666" spans="1:7" ht="14.4" x14ac:dyDescent="0.3">
      <c r="A666" s="28">
        <v>16010101</v>
      </c>
      <c r="B666" s="15" t="s">
        <v>344</v>
      </c>
      <c r="C666" s="19" t="s">
        <v>345</v>
      </c>
      <c r="D666" s="19" t="s">
        <v>38</v>
      </c>
      <c r="E666" s="20">
        <v>440</v>
      </c>
      <c r="F666" s="20">
        <f>+VLOOKUP(C666,[1]Serviços!$C$6:$F$172,4,FALSE)</f>
        <v>3.49</v>
      </c>
      <c r="G666" s="20">
        <f>+ROUND(F666*E666,2)</f>
        <v>1535.6</v>
      </c>
    </row>
    <row r="667" spans="1:7" ht="14.4" x14ac:dyDescent="0.3">
      <c r="A667" s="28">
        <v>16010102</v>
      </c>
      <c r="B667" s="15" t="s">
        <v>347</v>
      </c>
      <c r="C667" s="19" t="s">
        <v>348</v>
      </c>
      <c r="D667" s="19" t="s">
        <v>38</v>
      </c>
      <c r="E667" s="20">
        <v>440</v>
      </c>
      <c r="F667" s="20">
        <f>+VLOOKUP(C667,[1]Serviços!$C$6:$F$172,4,FALSE)</f>
        <v>0.84</v>
      </c>
      <c r="G667" s="20">
        <f>+ROUND(F667*E667,2)</f>
        <v>369.6</v>
      </c>
    </row>
    <row r="668" spans="1:7" x14ac:dyDescent="0.4">
      <c r="A668" s="21"/>
      <c r="B668" s="22"/>
      <c r="C668" s="16"/>
      <c r="D668" s="19" t="s">
        <v>17</v>
      </c>
      <c r="E668" s="17"/>
      <c r="F668" s="17"/>
      <c r="G668" s="20">
        <f>SUM(G666:G667)</f>
        <v>1905.1999999999998</v>
      </c>
    </row>
    <row r="669" spans="1:7" x14ac:dyDescent="0.4">
      <c r="A669" s="28">
        <v>16020000</v>
      </c>
      <c r="B669" s="15" t="s">
        <v>43</v>
      </c>
      <c r="C669" s="16"/>
      <c r="D669" s="16"/>
      <c r="E669" s="17"/>
      <c r="F669" s="17"/>
      <c r="G669" s="17"/>
    </row>
    <row r="670" spans="1:7" x14ac:dyDescent="0.4">
      <c r="A670" s="28">
        <v>16020100</v>
      </c>
      <c r="B670" s="15" t="s">
        <v>45</v>
      </c>
      <c r="C670" s="16"/>
      <c r="D670" s="16"/>
      <c r="E670" s="17"/>
      <c r="F670" s="17"/>
      <c r="G670" s="17"/>
    </row>
    <row r="671" spans="1:7" ht="14.4" x14ac:dyDescent="0.3">
      <c r="A671" s="28">
        <v>16020101</v>
      </c>
      <c r="B671" s="15" t="s">
        <v>47</v>
      </c>
      <c r="C671" s="19" t="s">
        <v>48</v>
      </c>
      <c r="D671" s="19" t="s">
        <v>38</v>
      </c>
      <c r="E671" s="20">
        <v>440</v>
      </c>
      <c r="F671" s="20">
        <f>+VLOOKUP(C671,[1]Serviços!$C$6:$F$172,4,FALSE)</f>
        <v>2.41</v>
      </c>
      <c r="G671" s="20">
        <f>+ROUND(F671*E671,2)</f>
        <v>1060.4000000000001</v>
      </c>
    </row>
    <row r="672" spans="1:7" ht="14.4" x14ac:dyDescent="0.3">
      <c r="A672" s="28">
        <v>16020102</v>
      </c>
      <c r="B672" s="15" t="s">
        <v>739</v>
      </c>
      <c r="C672" s="19" t="s">
        <v>740</v>
      </c>
      <c r="D672" s="19" t="s">
        <v>57</v>
      </c>
      <c r="E672" s="20">
        <v>440</v>
      </c>
      <c r="F672" s="20">
        <f>+VLOOKUP(C672,[1]Serviços!$C$6:$F$172,4,FALSE)</f>
        <v>49.65</v>
      </c>
      <c r="G672" s="20">
        <f>+ROUND(F672*E672,2)</f>
        <v>21846</v>
      </c>
    </row>
    <row r="673" spans="1:7" x14ac:dyDescent="0.4">
      <c r="A673" s="28">
        <v>16020200</v>
      </c>
      <c r="B673" s="15" t="s">
        <v>53</v>
      </c>
      <c r="C673" s="16"/>
      <c r="D673" s="16"/>
      <c r="E673" s="17"/>
      <c r="F673" s="17"/>
      <c r="G673" s="17"/>
    </row>
    <row r="674" spans="1:7" ht="14.4" x14ac:dyDescent="0.3">
      <c r="A674" s="28">
        <v>16020201</v>
      </c>
      <c r="B674" s="15" t="s">
        <v>55</v>
      </c>
      <c r="C674" s="19" t="s">
        <v>56</v>
      </c>
      <c r="D674" s="19" t="s">
        <v>57</v>
      </c>
      <c r="E674" s="20">
        <v>20</v>
      </c>
      <c r="F674" s="20">
        <f>+VLOOKUP(C674,[1]Serviços!$C$6:$F$172,4,FALSE)</f>
        <v>62.99</v>
      </c>
      <c r="G674" s="20">
        <f>+ROUND(F674*E674,2)</f>
        <v>1259.8</v>
      </c>
    </row>
    <row r="675" spans="1:7" ht="14.4" x14ac:dyDescent="0.3">
      <c r="A675" s="28">
        <v>16020202</v>
      </c>
      <c r="B675" s="15" t="s">
        <v>59</v>
      </c>
      <c r="C675" s="19" t="s">
        <v>60</v>
      </c>
      <c r="D675" s="19" t="s">
        <v>57</v>
      </c>
      <c r="E675" s="20">
        <v>30</v>
      </c>
      <c r="F675" s="20">
        <f>+VLOOKUP(C675,[1]Serviços!$C$6:$F$172,4,FALSE)</f>
        <v>56.19</v>
      </c>
      <c r="G675" s="20">
        <f>+ROUND(F675*E675,2)</f>
        <v>1685.7</v>
      </c>
    </row>
    <row r="676" spans="1:7" ht="14.4" x14ac:dyDescent="0.3">
      <c r="A676" s="28">
        <v>16020203</v>
      </c>
      <c r="B676" s="15" t="s">
        <v>62</v>
      </c>
      <c r="C676" s="19" t="s">
        <v>63</v>
      </c>
      <c r="D676" s="19" t="s">
        <v>57</v>
      </c>
      <c r="E676" s="20">
        <v>10</v>
      </c>
      <c r="F676" s="20">
        <f>+VLOOKUP(C676,[1]Serviços!$C$6:$F$172,4,FALSE)</f>
        <v>88.18</v>
      </c>
      <c r="G676" s="20">
        <f>+ROUND(F676*E676,2)</f>
        <v>881.8</v>
      </c>
    </row>
    <row r="677" spans="1:7" x14ac:dyDescent="0.4">
      <c r="A677" s="28">
        <v>16020300</v>
      </c>
      <c r="B677" s="15" t="s">
        <v>65</v>
      </c>
      <c r="C677" s="16"/>
      <c r="D677" s="16"/>
      <c r="E677" s="17"/>
      <c r="F677" s="17"/>
      <c r="G677" s="17"/>
    </row>
    <row r="678" spans="1:7" ht="14.4" x14ac:dyDescent="0.3">
      <c r="A678" s="28">
        <v>16020301</v>
      </c>
      <c r="B678" s="15" t="s">
        <v>67</v>
      </c>
      <c r="C678" s="19" t="s">
        <v>68</v>
      </c>
      <c r="D678" s="19" t="s">
        <v>69</v>
      </c>
      <c r="E678" s="20">
        <v>10</v>
      </c>
      <c r="F678" s="20">
        <f>+VLOOKUP(C678,[1]Serviços!$C$6:$F$172,4,FALSE)</f>
        <v>84.06</v>
      </c>
      <c r="G678" s="20">
        <f>+ROUND(F678*E678,2)</f>
        <v>840.6</v>
      </c>
    </row>
    <row r="679" spans="1:7" ht="14.4" x14ac:dyDescent="0.3">
      <c r="A679" s="28">
        <v>16020302</v>
      </c>
      <c r="B679" s="15" t="s">
        <v>71</v>
      </c>
      <c r="C679" s="19" t="s">
        <v>72</v>
      </c>
      <c r="D679" s="19" t="s">
        <v>73</v>
      </c>
      <c r="E679" s="20">
        <v>15</v>
      </c>
      <c r="F679" s="20">
        <f>+VLOOKUP(C679,[1]Serviços!$C$6:$F$172,4,FALSE)</f>
        <v>1718.52</v>
      </c>
      <c r="G679" s="20">
        <f>+ROUND(F679*E679,2)</f>
        <v>25777.8</v>
      </c>
    </row>
    <row r="680" spans="1:7" ht="14.4" x14ac:dyDescent="0.3">
      <c r="A680" s="28">
        <v>16020303</v>
      </c>
      <c r="B680" s="15" t="s">
        <v>75</v>
      </c>
      <c r="C680" s="19" t="s">
        <v>76</v>
      </c>
      <c r="D680" s="19" t="s">
        <v>77</v>
      </c>
      <c r="E680" s="20">
        <v>10</v>
      </c>
      <c r="F680" s="20">
        <f>+VLOOKUP(C680,[1]Serviços!$C$6:$F$172,4,FALSE)</f>
        <v>928.65</v>
      </c>
      <c r="G680" s="20">
        <f>+ROUND(F680*E680,2)</f>
        <v>9286.5</v>
      </c>
    </row>
    <row r="681" spans="1:7" x14ac:dyDescent="0.4">
      <c r="A681" s="21"/>
      <c r="B681" s="22"/>
      <c r="C681" s="16"/>
      <c r="D681" s="19" t="s">
        <v>17</v>
      </c>
      <c r="E681" s="17"/>
      <c r="F681" s="17"/>
      <c r="G681" s="20">
        <f>SUM(G671:G680)</f>
        <v>62638.6</v>
      </c>
    </row>
    <row r="682" spans="1:7" x14ac:dyDescent="0.4">
      <c r="A682" s="28">
        <v>16030000</v>
      </c>
      <c r="B682" s="15" t="s">
        <v>87</v>
      </c>
      <c r="C682" s="16"/>
      <c r="D682" s="16"/>
      <c r="E682" s="17"/>
      <c r="F682" s="17"/>
      <c r="G682" s="17"/>
    </row>
    <row r="683" spans="1:7" x14ac:dyDescent="0.4">
      <c r="A683" s="28">
        <v>16030100</v>
      </c>
      <c r="B683" s="15" t="s">
        <v>100</v>
      </c>
      <c r="C683" s="16"/>
      <c r="D683" s="16"/>
      <c r="E683" s="17"/>
      <c r="F683" s="17"/>
      <c r="G683" s="17"/>
    </row>
    <row r="684" spans="1:7" ht="24" x14ac:dyDescent="0.3">
      <c r="A684" s="28">
        <v>16030101</v>
      </c>
      <c r="B684" s="15" t="s">
        <v>105</v>
      </c>
      <c r="C684" s="19" t="s">
        <v>106</v>
      </c>
      <c r="D684" s="19" t="s">
        <v>73</v>
      </c>
      <c r="E684" s="20">
        <v>10</v>
      </c>
      <c r="F684" s="20">
        <f>+VLOOKUP(C684,[1]Serviços!$C$6:$F$172,4,FALSE)</f>
        <v>49.6</v>
      </c>
      <c r="G684" s="20">
        <f>+ROUND(F684*E684,2)</f>
        <v>496</v>
      </c>
    </row>
    <row r="685" spans="1:7" ht="24" x14ac:dyDescent="0.3">
      <c r="A685" s="28">
        <v>16030102</v>
      </c>
      <c r="B685" s="15" t="s">
        <v>102</v>
      </c>
      <c r="C685" s="19" t="s">
        <v>103</v>
      </c>
      <c r="D685" s="19" t="s">
        <v>73</v>
      </c>
      <c r="E685" s="20">
        <v>20</v>
      </c>
      <c r="F685" s="20">
        <f>+VLOOKUP(C685,[1]Serviços!$C$6:$F$172,4,FALSE)</f>
        <v>42.51</v>
      </c>
      <c r="G685" s="20">
        <f>+ROUND(F685*E685,2)</f>
        <v>850.2</v>
      </c>
    </row>
    <row r="686" spans="1:7" x14ac:dyDescent="0.4">
      <c r="A686" s="28">
        <v>16030200</v>
      </c>
      <c r="B686" s="15" t="s">
        <v>108</v>
      </c>
      <c r="C686" s="16"/>
      <c r="D686" s="16"/>
      <c r="E686" s="17"/>
      <c r="F686" s="17"/>
      <c r="G686" s="17"/>
    </row>
    <row r="687" spans="1:7" ht="14.4" x14ac:dyDescent="0.3">
      <c r="A687" s="28">
        <v>16030201</v>
      </c>
      <c r="B687" s="15" t="s">
        <v>110</v>
      </c>
      <c r="C687" s="19" t="s">
        <v>111</v>
      </c>
      <c r="D687" s="19" t="s">
        <v>73</v>
      </c>
      <c r="E687" s="20">
        <v>1144</v>
      </c>
      <c r="F687" s="20">
        <f>+VLOOKUP(C687,[1]Serviços!$C$6:$F$172,4,FALSE)</f>
        <v>6.26</v>
      </c>
      <c r="G687" s="20">
        <f>+ROUND(F687*E687,2)</f>
        <v>7161.44</v>
      </c>
    </row>
    <row r="688" spans="1:7" ht="14.4" x14ac:dyDescent="0.3">
      <c r="A688" s="28">
        <v>16030202</v>
      </c>
      <c r="B688" s="15" t="s">
        <v>113</v>
      </c>
      <c r="C688" s="19" t="s">
        <v>114</v>
      </c>
      <c r="D688" s="19" t="s">
        <v>73</v>
      </c>
      <c r="E688" s="20">
        <v>50</v>
      </c>
      <c r="F688" s="20">
        <f>+VLOOKUP(C688,[1]Serviços!$C$6:$F$172,4,FALSE)</f>
        <v>6.94</v>
      </c>
      <c r="G688" s="20">
        <f>+ROUND(F688*E688,2)</f>
        <v>347</v>
      </c>
    </row>
    <row r="689" spans="1:7" x14ac:dyDescent="0.4">
      <c r="A689" s="28">
        <v>16030300</v>
      </c>
      <c r="B689" s="15" t="s">
        <v>122</v>
      </c>
      <c r="C689" s="16"/>
      <c r="D689" s="16"/>
      <c r="E689" s="17"/>
      <c r="F689" s="17"/>
      <c r="G689" s="17"/>
    </row>
    <row r="690" spans="1:7" ht="14.4" x14ac:dyDescent="0.3">
      <c r="A690" s="28">
        <v>16030301</v>
      </c>
      <c r="B690" s="15" t="s">
        <v>124</v>
      </c>
      <c r="C690" s="19" t="s">
        <v>125</v>
      </c>
      <c r="D690" s="19" t="s">
        <v>73</v>
      </c>
      <c r="E690" s="20">
        <v>250</v>
      </c>
      <c r="F690" s="20">
        <f>+VLOOKUP(C690,[1]Serviços!$C$6:$F$172,4,FALSE)</f>
        <v>12.26</v>
      </c>
      <c r="G690" s="20">
        <f>+ROUND(F690*E690,2)</f>
        <v>3065</v>
      </c>
    </row>
    <row r="691" spans="1:7" ht="24" x14ac:dyDescent="0.3">
      <c r="A691" s="28">
        <v>16030302</v>
      </c>
      <c r="B691" s="15" t="s">
        <v>127</v>
      </c>
      <c r="C691" s="19" t="s">
        <v>128</v>
      </c>
      <c r="D691" s="19" t="s">
        <v>73</v>
      </c>
      <c r="E691" s="20">
        <v>950</v>
      </c>
      <c r="F691" s="20">
        <f>+VLOOKUP(C691,[1]Serviços!$C$6:$F$172,4,FALSE)</f>
        <v>14.3</v>
      </c>
      <c r="G691" s="20">
        <f>+ROUND(F691*E691,2)</f>
        <v>13585</v>
      </c>
    </row>
    <row r="692" spans="1:7" x14ac:dyDescent="0.4">
      <c r="A692" s="28">
        <v>16030400</v>
      </c>
      <c r="B692" s="15" t="s">
        <v>89</v>
      </c>
      <c r="C692" s="16"/>
      <c r="D692" s="16"/>
      <c r="E692" s="17"/>
      <c r="F692" s="17"/>
      <c r="G692" s="17"/>
    </row>
    <row r="693" spans="1:7" ht="14.4" x14ac:dyDescent="0.3">
      <c r="A693" s="28">
        <v>16030401</v>
      </c>
      <c r="B693" s="15" t="s">
        <v>94</v>
      </c>
      <c r="C693" s="19" t="s">
        <v>95</v>
      </c>
      <c r="D693" s="19" t="s">
        <v>73</v>
      </c>
      <c r="E693" s="20">
        <v>650</v>
      </c>
      <c r="F693" s="20">
        <f>+VLOOKUP(C693,[1]Serviços!$C$6:$F$172,4,FALSE)</f>
        <v>7.69</v>
      </c>
      <c r="G693" s="20">
        <f>+ROUND(F693*E693,2)</f>
        <v>4998.5</v>
      </c>
    </row>
    <row r="694" spans="1:7" x14ac:dyDescent="0.4">
      <c r="A694" s="28">
        <v>16030500</v>
      </c>
      <c r="B694" s="15" t="s">
        <v>130</v>
      </c>
      <c r="C694" s="16"/>
      <c r="D694" s="16"/>
      <c r="E694" s="17"/>
      <c r="F694" s="17"/>
      <c r="G694" s="17"/>
    </row>
    <row r="695" spans="1:7" ht="14.4" x14ac:dyDescent="0.3">
      <c r="A695" s="28">
        <v>16030501</v>
      </c>
      <c r="B695" s="15" t="s">
        <v>132</v>
      </c>
      <c r="C695" s="19" t="s">
        <v>133</v>
      </c>
      <c r="D695" s="19" t="s">
        <v>134</v>
      </c>
      <c r="E695" s="20">
        <v>13000</v>
      </c>
      <c r="F695" s="20">
        <f>+VLOOKUP(C695,[1]Serviços!$C$6:$F$172,4,FALSE)</f>
        <v>1.61</v>
      </c>
      <c r="G695" s="20">
        <f>+ROUND(F695*E695,2)</f>
        <v>20930</v>
      </c>
    </row>
    <row r="696" spans="1:7" x14ac:dyDescent="0.4">
      <c r="A696" s="21"/>
      <c r="B696" s="22"/>
      <c r="C696" s="16"/>
      <c r="D696" s="19" t="s">
        <v>17</v>
      </c>
      <c r="E696" s="17"/>
      <c r="F696" s="17"/>
      <c r="G696" s="20">
        <f>SUM(G684:G695)</f>
        <v>51433.14</v>
      </c>
    </row>
    <row r="697" spans="1:7" x14ac:dyDescent="0.4">
      <c r="A697" s="28">
        <v>16040000</v>
      </c>
      <c r="B697" s="15" t="s">
        <v>136</v>
      </c>
      <c r="C697" s="16"/>
      <c r="D697" s="16"/>
      <c r="E697" s="17"/>
      <c r="F697" s="17"/>
      <c r="G697" s="17"/>
    </row>
    <row r="698" spans="1:7" x14ac:dyDescent="0.4">
      <c r="A698" s="28">
        <v>16040100</v>
      </c>
      <c r="B698" s="15" t="s">
        <v>138</v>
      </c>
      <c r="C698" s="16"/>
      <c r="D698" s="16"/>
      <c r="E698" s="17"/>
      <c r="F698" s="17"/>
      <c r="G698" s="17"/>
    </row>
    <row r="699" spans="1:7" ht="14.4" x14ac:dyDescent="0.3">
      <c r="A699" s="28">
        <v>16040101</v>
      </c>
      <c r="B699" s="15" t="s">
        <v>146</v>
      </c>
      <c r="C699" s="19" t="s">
        <v>147</v>
      </c>
      <c r="D699" s="19" t="s">
        <v>57</v>
      </c>
      <c r="E699" s="20">
        <v>1760</v>
      </c>
      <c r="F699" s="20">
        <f>+VLOOKUP(C699,[1]Serviços!$C$6:$F$172,4,FALSE)</f>
        <v>39.130000000000003</v>
      </c>
      <c r="G699" s="20">
        <f>+ROUND(F699*E699,2)</f>
        <v>68868.800000000003</v>
      </c>
    </row>
    <row r="700" spans="1:7" x14ac:dyDescent="0.4">
      <c r="A700" s="21"/>
      <c r="B700" s="22"/>
      <c r="C700" s="16"/>
      <c r="D700" s="19" t="s">
        <v>17</v>
      </c>
      <c r="E700" s="17"/>
      <c r="F700" s="17"/>
      <c r="G700" s="20">
        <f>SUM(G699)</f>
        <v>68868.800000000003</v>
      </c>
    </row>
    <row r="701" spans="1:7" x14ac:dyDescent="0.4">
      <c r="A701" s="28">
        <v>16050000</v>
      </c>
      <c r="B701" s="15" t="s">
        <v>157</v>
      </c>
      <c r="C701" s="16"/>
      <c r="D701" s="16"/>
      <c r="E701" s="17"/>
      <c r="F701" s="17"/>
      <c r="G701" s="17"/>
    </row>
    <row r="702" spans="1:7" x14ac:dyDescent="0.4">
      <c r="A702" s="28">
        <v>16050100</v>
      </c>
      <c r="B702" s="15" t="s">
        <v>159</v>
      </c>
      <c r="C702" s="16"/>
      <c r="D702" s="16"/>
      <c r="E702" s="17"/>
      <c r="F702" s="17"/>
      <c r="G702" s="17"/>
    </row>
    <row r="703" spans="1:7" ht="14.4" x14ac:dyDescent="0.3">
      <c r="A703" s="28">
        <v>16050101</v>
      </c>
      <c r="B703" s="15" t="s">
        <v>161</v>
      </c>
      <c r="C703" s="19" t="s">
        <v>162</v>
      </c>
      <c r="D703" s="19" t="s">
        <v>163</v>
      </c>
      <c r="E703" s="20">
        <v>3250</v>
      </c>
      <c r="F703" s="20">
        <f>+VLOOKUP(C703,[1]Serviços!$C$6:$F$172,4,FALSE)</f>
        <v>1.41</v>
      </c>
      <c r="G703" s="20">
        <f>+ROUND(F703*E703,2)</f>
        <v>4582.5</v>
      </c>
    </row>
    <row r="704" spans="1:7" x14ac:dyDescent="0.4">
      <c r="A704" s="28">
        <v>16050200</v>
      </c>
      <c r="B704" s="15" t="s">
        <v>165</v>
      </c>
      <c r="C704" s="16"/>
      <c r="D704" s="16"/>
      <c r="E704" s="17"/>
      <c r="F704" s="17"/>
      <c r="G704" s="17"/>
    </row>
    <row r="705" spans="1:7" ht="14.4" x14ac:dyDescent="0.3">
      <c r="A705" s="28">
        <v>16050201</v>
      </c>
      <c r="B705" s="15" t="s">
        <v>167</v>
      </c>
      <c r="C705" s="19" t="s">
        <v>168</v>
      </c>
      <c r="D705" s="19" t="s">
        <v>38</v>
      </c>
      <c r="E705" s="20">
        <v>200</v>
      </c>
      <c r="F705" s="20">
        <f>+VLOOKUP(C705,[1]Serviços!$C$6:$F$172,4,FALSE)</f>
        <v>77.02</v>
      </c>
      <c r="G705" s="20">
        <f>+ROUND(F705*E705,2)</f>
        <v>15404</v>
      </c>
    </row>
    <row r="706" spans="1:7" ht="14.4" x14ac:dyDescent="0.3">
      <c r="A706" s="28">
        <v>16050202</v>
      </c>
      <c r="B706" s="15" t="s">
        <v>176</v>
      </c>
      <c r="C706" s="19" t="s">
        <v>177</v>
      </c>
      <c r="D706" s="19" t="s">
        <v>69</v>
      </c>
      <c r="E706" s="20">
        <v>2</v>
      </c>
      <c r="F706" s="20">
        <f>+VLOOKUP(C706,[1]Serviços!$C$6:$F$172,4,FALSE)</f>
        <v>2016</v>
      </c>
      <c r="G706" s="20">
        <f>+ROUND(F706*E706,2)</f>
        <v>4032</v>
      </c>
    </row>
    <row r="707" spans="1:7" x14ac:dyDescent="0.4">
      <c r="A707" s="21"/>
      <c r="B707" s="22"/>
      <c r="C707" s="16"/>
      <c r="D707" s="19" t="s">
        <v>17</v>
      </c>
      <c r="E707" s="17"/>
      <c r="F707" s="17"/>
      <c r="G707" s="20">
        <f>SUM(G703:G706)</f>
        <v>24018.5</v>
      </c>
    </row>
    <row r="708" spans="1:7" x14ac:dyDescent="0.4">
      <c r="A708" s="28">
        <v>16060000</v>
      </c>
      <c r="B708" s="15" t="s">
        <v>179</v>
      </c>
      <c r="C708" s="16"/>
      <c r="D708" s="16"/>
      <c r="E708" s="17"/>
      <c r="F708" s="17"/>
      <c r="G708" s="17"/>
    </row>
    <row r="709" spans="1:7" x14ac:dyDescent="0.4">
      <c r="A709" s="28">
        <v>16060100</v>
      </c>
      <c r="B709" s="15" t="s">
        <v>181</v>
      </c>
      <c r="C709" s="16"/>
      <c r="D709" s="16"/>
      <c r="E709" s="17"/>
      <c r="F709" s="17"/>
      <c r="G709" s="17"/>
    </row>
    <row r="710" spans="1:7" ht="14.4" x14ac:dyDescent="0.3">
      <c r="A710" s="28">
        <v>16060101</v>
      </c>
      <c r="B710" s="15" t="s">
        <v>183</v>
      </c>
      <c r="C710" s="19" t="s">
        <v>184</v>
      </c>
      <c r="D710" s="19" t="s">
        <v>73</v>
      </c>
      <c r="E710" s="20">
        <v>10</v>
      </c>
      <c r="F710" s="20">
        <f>+VLOOKUP(C710,[1]Serviços!$C$6:$F$172,4,FALSE)</f>
        <v>189.06</v>
      </c>
      <c r="G710" s="20">
        <f>+ROUND(F710*E710,2)</f>
        <v>1890.6</v>
      </c>
    </row>
    <row r="711" spans="1:7" ht="14.4" x14ac:dyDescent="0.3">
      <c r="A711" s="28">
        <v>16060102</v>
      </c>
      <c r="B711" s="15" t="s">
        <v>186</v>
      </c>
      <c r="C711" s="19" t="s">
        <v>187</v>
      </c>
      <c r="D711" s="19" t="s">
        <v>73</v>
      </c>
      <c r="E711" s="20">
        <v>20</v>
      </c>
      <c r="F711" s="20">
        <f>+VLOOKUP(C711,[1]Serviços!$C$6:$F$172,4,FALSE)</f>
        <v>172.39</v>
      </c>
      <c r="G711" s="20">
        <f>+ROUND(F711*E711,2)</f>
        <v>3447.8</v>
      </c>
    </row>
    <row r="712" spans="1:7" x14ac:dyDescent="0.4">
      <c r="A712" s="28">
        <v>16060200</v>
      </c>
      <c r="B712" s="15" t="s">
        <v>668</v>
      </c>
      <c r="C712" s="16"/>
      <c r="D712" s="16"/>
      <c r="E712" s="17"/>
      <c r="F712" s="17"/>
      <c r="G712" s="17"/>
    </row>
    <row r="713" spans="1:7" ht="14.4" x14ac:dyDescent="0.3">
      <c r="A713" s="28">
        <v>16060201</v>
      </c>
      <c r="B713" s="15" t="s">
        <v>669</v>
      </c>
      <c r="C713" s="19" t="s">
        <v>670</v>
      </c>
      <c r="D713" s="19" t="s">
        <v>57</v>
      </c>
      <c r="E713" s="20">
        <v>91</v>
      </c>
      <c r="F713" s="20">
        <f>+VLOOKUP(C713,[1]Serviços!$C$6:$F$172,4,FALSE)</f>
        <v>68.13</v>
      </c>
      <c r="G713" s="20">
        <f>+ROUND(F713*E713,2)</f>
        <v>6199.83</v>
      </c>
    </row>
    <row r="714" spans="1:7" x14ac:dyDescent="0.4">
      <c r="A714" s="28">
        <v>16060300</v>
      </c>
      <c r="B714" s="15" t="s">
        <v>585</v>
      </c>
      <c r="C714" s="16"/>
      <c r="D714" s="16"/>
      <c r="E714" s="17"/>
      <c r="F714" s="17"/>
      <c r="G714" s="17"/>
    </row>
    <row r="715" spans="1:7" ht="14.4" x14ac:dyDescent="0.3">
      <c r="A715" s="28">
        <v>16060301</v>
      </c>
      <c r="B715" s="15" t="s">
        <v>587</v>
      </c>
      <c r="C715" s="19" t="s">
        <v>588</v>
      </c>
      <c r="D715" s="19" t="s">
        <v>589</v>
      </c>
      <c r="E715" s="20">
        <v>1500</v>
      </c>
      <c r="F715" s="20">
        <f>+VLOOKUP(C715,[1]Serviços!$C$6:$F$172,4,FALSE)</f>
        <v>7.51</v>
      </c>
      <c r="G715" s="20">
        <f>+ROUND(F715*E715,2)</f>
        <v>11265</v>
      </c>
    </row>
    <row r="716" spans="1:7" x14ac:dyDescent="0.4">
      <c r="A716" s="28">
        <v>16060400</v>
      </c>
      <c r="B716" s="15" t="s">
        <v>399</v>
      </c>
      <c r="C716" s="16"/>
      <c r="D716" s="16"/>
      <c r="E716" s="17"/>
      <c r="F716" s="17"/>
      <c r="G716" s="17"/>
    </row>
    <row r="717" spans="1:7" ht="14.4" x14ac:dyDescent="0.3">
      <c r="A717" s="28">
        <v>16060401</v>
      </c>
      <c r="B717" s="15" t="s">
        <v>401</v>
      </c>
      <c r="C717" s="19" t="s">
        <v>402</v>
      </c>
      <c r="D717" s="19" t="s">
        <v>73</v>
      </c>
      <c r="E717" s="20">
        <v>2</v>
      </c>
      <c r="F717" s="20">
        <f>+VLOOKUP(C717,[1]Serviços!$C$6:$F$172,4,FALSE)</f>
        <v>417.4</v>
      </c>
      <c r="G717" s="20">
        <f>+ROUND(F717*E717,2)</f>
        <v>834.8</v>
      </c>
    </row>
    <row r="718" spans="1:7" ht="25.2" x14ac:dyDescent="0.4">
      <c r="A718" s="28">
        <v>16060500</v>
      </c>
      <c r="B718" s="15" t="s">
        <v>593</v>
      </c>
      <c r="C718" s="16"/>
      <c r="D718" s="16"/>
      <c r="E718" s="17"/>
      <c r="F718" s="17"/>
      <c r="G718" s="17"/>
    </row>
    <row r="719" spans="1:7" ht="36" x14ac:dyDescent="0.3">
      <c r="A719" s="28">
        <v>16060501</v>
      </c>
      <c r="B719" s="15" t="s">
        <v>741</v>
      </c>
      <c r="C719" s="19" t="s">
        <v>742</v>
      </c>
      <c r="D719" s="19" t="s">
        <v>73</v>
      </c>
      <c r="E719" s="20">
        <v>30</v>
      </c>
      <c r="F719" s="20">
        <f>+VLOOKUP(C719,[1]Serviços!$C$6:$F$172,4,FALSE)</f>
        <v>564.16</v>
      </c>
      <c r="G719" s="20">
        <f>+ROUND(F719*E719,2)</f>
        <v>16924.8</v>
      </c>
    </row>
    <row r="720" spans="1:7" x14ac:dyDescent="0.4">
      <c r="A720" s="21"/>
      <c r="B720" s="22"/>
      <c r="C720" s="16"/>
      <c r="D720" s="19" t="s">
        <v>17</v>
      </c>
      <c r="E720" s="17"/>
      <c r="F720" s="17"/>
      <c r="G720" s="20">
        <f>SUM(G710:G719)</f>
        <v>40562.83</v>
      </c>
    </row>
    <row r="721" spans="1:7" x14ac:dyDescent="0.4">
      <c r="A721" s="28">
        <v>16070000</v>
      </c>
      <c r="B721" s="15" t="s">
        <v>229</v>
      </c>
      <c r="C721" s="16"/>
      <c r="D721" s="16"/>
      <c r="E721" s="17"/>
      <c r="F721" s="17"/>
      <c r="G721" s="17"/>
    </row>
    <row r="722" spans="1:7" x14ac:dyDescent="0.4">
      <c r="A722" s="28">
        <v>16070100</v>
      </c>
      <c r="B722" s="15" t="s">
        <v>743</v>
      </c>
      <c r="C722" s="16"/>
      <c r="D722" s="16"/>
      <c r="E722" s="17"/>
      <c r="F722" s="17"/>
      <c r="G722" s="17"/>
    </row>
    <row r="723" spans="1:7" ht="14.4" x14ac:dyDescent="0.3">
      <c r="A723" s="28">
        <v>16070101</v>
      </c>
      <c r="B723" s="15" t="s">
        <v>744</v>
      </c>
      <c r="C723" s="18">
        <v>356130</v>
      </c>
      <c r="D723" s="19" t="s">
        <v>38</v>
      </c>
      <c r="E723" s="20">
        <v>440</v>
      </c>
      <c r="F723" s="20">
        <f>+VLOOKUP(C723,[1]Serviços!$C$6:$F$172,4,FALSE)</f>
        <v>19.989999999999998</v>
      </c>
      <c r="G723" s="20">
        <f>+ROUND(F723*E723,2)</f>
        <v>8795.6</v>
      </c>
    </row>
    <row r="724" spans="1:7" ht="36" x14ac:dyDescent="0.3">
      <c r="A724" s="28">
        <v>16070102</v>
      </c>
      <c r="B724" s="15" t="s">
        <v>745</v>
      </c>
      <c r="C724" s="18">
        <v>358020</v>
      </c>
      <c r="D724" s="19" t="s">
        <v>38</v>
      </c>
      <c r="E724" s="20">
        <v>915</v>
      </c>
      <c r="F724" s="20">
        <f>+VLOOKUP(C724,[1]Serviços!$C$6:$F$172,4,FALSE)</f>
        <v>2266</v>
      </c>
      <c r="G724" s="20">
        <f>+ROUND(F724*E724,2)</f>
        <v>2073390</v>
      </c>
    </row>
    <row r="725" spans="1:7" x14ac:dyDescent="0.4">
      <c r="A725" s="21"/>
      <c r="B725" s="22"/>
      <c r="C725" s="16"/>
      <c r="D725" s="19" t="s">
        <v>17</v>
      </c>
      <c r="E725" s="17"/>
      <c r="F725" s="17"/>
      <c r="G725" s="20">
        <f>SUM(G723:G724)</f>
        <v>2082185.6</v>
      </c>
    </row>
    <row r="726" spans="1:7" x14ac:dyDescent="0.4">
      <c r="A726" s="28">
        <v>16080000</v>
      </c>
      <c r="B726" s="15" t="s">
        <v>238</v>
      </c>
      <c r="C726" s="16"/>
      <c r="D726" s="16"/>
      <c r="E726" s="17"/>
      <c r="F726" s="17"/>
      <c r="G726" s="17"/>
    </row>
    <row r="727" spans="1:7" x14ac:dyDescent="0.4">
      <c r="A727" s="28">
        <v>16080100</v>
      </c>
      <c r="B727" s="15" t="s">
        <v>240</v>
      </c>
      <c r="C727" s="16"/>
      <c r="D727" s="16"/>
      <c r="E727" s="17"/>
      <c r="F727" s="17"/>
      <c r="G727" s="17"/>
    </row>
    <row r="728" spans="1:7" ht="14.4" x14ac:dyDescent="0.3">
      <c r="A728" s="28">
        <v>16080101</v>
      </c>
      <c r="B728" s="15" t="s">
        <v>242</v>
      </c>
      <c r="C728" s="18">
        <v>100101</v>
      </c>
      <c r="D728" s="19" t="s">
        <v>57</v>
      </c>
      <c r="E728" s="20">
        <v>558</v>
      </c>
      <c r="F728" s="20">
        <f>+VLOOKUP(C728,[1]Serviços!$C$6:$F$172,4,FALSE)</f>
        <v>15.8</v>
      </c>
      <c r="G728" s="20">
        <f>+ROUND(F728*E728,2)</f>
        <v>8816.4</v>
      </c>
    </row>
    <row r="729" spans="1:7" ht="14.4" x14ac:dyDescent="0.3">
      <c r="A729" s="28">
        <v>16080102</v>
      </c>
      <c r="B729" s="15" t="s">
        <v>246</v>
      </c>
      <c r="C729" s="18">
        <v>100103</v>
      </c>
      <c r="D729" s="19" t="s">
        <v>57</v>
      </c>
      <c r="E729" s="20">
        <v>30</v>
      </c>
      <c r="F729" s="20">
        <f>+VLOOKUP(C729,[1]Serviços!$C$6:$F$172,4,FALSE)</f>
        <v>10.16</v>
      </c>
      <c r="G729" s="20">
        <f>+ROUND(F729*E729,2)</f>
        <v>304.8</v>
      </c>
    </row>
    <row r="730" spans="1:7" ht="14.4" x14ac:dyDescent="0.3">
      <c r="A730" s="28">
        <v>16080103</v>
      </c>
      <c r="B730" s="15" t="s">
        <v>250</v>
      </c>
      <c r="C730" s="18">
        <v>100106</v>
      </c>
      <c r="D730" s="19" t="s">
        <v>73</v>
      </c>
      <c r="E730" s="20">
        <v>5</v>
      </c>
      <c r="F730" s="20">
        <f>+VLOOKUP(C730,[1]Serviços!$C$6:$F$172,4,FALSE)</f>
        <v>70.87</v>
      </c>
      <c r="G730" s="20">
        <f>+ROUND(F730*E730,2)</f>
        <v>354.35</v>
      </c>
    </row>
    <row r="731" spans="1:7" ht="14.4" x14ac:dyDescent="0.3">
      <c r="A731" s="28">
        <v>16080104</v>
      </c>
      <c r="B731" s="15" t="s">
        <v>252</v>
      </c>
      <c r="C731" s="18">
        <v>100107</v>
      </c>
      <c r="D731" s="19" t="s">
        <v>38</v>
      </c>
      <c r="E731" s="20">
        <v>30</v>
      </c>
      <c r="F731" s="20">
        <f>+VLOOKUP(C731,[1]Serviços!$C$6:$F$172,4,FALSE)</f>
        <v>13.63</v>
      </c>
      <c r="G731" s="20">
        <f>+ROUND(F731*E731,2)</f>
        <v>408.9</v>
      </c>
    </row>
    <row r="732" spans="1:7" x14ac:dyDescent="0.4">
      <c r="A732" s="28">
        <v>16080200</v>
      </c>
      <c r="B732" s="15" t="s">
        <v>256</v>
      </c>
      <c r="C732" s="16"/>
      <c r="D732" s="16"/>
      <c r="E732" s="17"/>
      <c r="F732" s="17"/>
      <c r="G732" s="17"/>
    </row>
    <row r="733" spans="1:7" ht="14.4" x14ac:dyDescent="0.3">
      <c r="A733" s="28">
        <v>16080201</v>
      </c>
      <c r="B733" s="15" t="s">
        <v>258</v>
      </c>
      <c r="C733" s="18">
        <v>100201</v>
      </c>
      <c r="D733" s="19" t="s">
        <v>57</v>
      </c>
      <c r="E733" s="20">
        <v>2600</v>
      </c>
      <c r="F733" s="20">
        <f>+VLOOKUP(C733,[1]Serviços!$C$6:$F$172,4,FALSE)</f>
        <v>0.51</v>
      </c>
      <c r="G733" s="20">
        <f>+ROUND(F733*E733,2)</f>
        <v>1326</v>
      </c>
    </row>
    <row r="734" spans="1:7" x14ac:dyDescent="0.4">
      <c r="A734" s="28">
        <v>16080300</v>
      </c>
      <c r="B734" s="15" t="s">
        <v>260</v>
      </c>
      <c r="C734" s="16"/>
      <c r="D734" s="16"/>
      <c r="E734" s="17"/>
      <c r="F734" s="17"/>
      <c r="G734" s="17"/>
    </row>
    <row r="735" spans="1:7" ht="14.4" x14ac:dyDescent="0.3">
      <c r="A735" s="28">
        <v>16080301</v>
      </c>
      <c r="B735" s="15" t="s">
        <v>262</v>
      </c>
      <c r="C735" s="18">
        <v>100312</v>
      </c>
      <c r="D735" s="19" t="s">
        <v>73</v>
      </c>
      <c r="E735" s="20">
        <v>5</v>
      </c>
      <c r="F735" s="20">
        <f>+VLOOKUP(C735,[1]Serviços!$C$6:$F$172,4,FALSE)</f>
        <v>478.05</v>
      </c>
      <c r="G735" s="20">
        <f>+ROUND(F735*E735,2)</f>
        <v>2390.25</v>
      </c>
    </row>
    <row r="736" spans="1:7" ht="14.4" x14ac:dyDescent="0.3">
      <c r="A736" s="28">
        <v>16080302</v>
      </c>
      <c r="B736" s="15" t="s">
        <v>268</v>
      </c>
      <c r="C736" s="18">
        <v>100305</v>
      </c>
      <c r="D736" s="19" t="s">
        <v>57</v>
      </c>
      <c r="E736" s="20">
        <v>30</v>
      </c>
      <c r="F736" s="20">
        <f>+VLOOKUP(C736,[1]Serviços!$C$6:$F$172,4,FALSE)</f>
        <v>69.48</v>
      </c>
      <c r="G736" s="20">
        <f>+ROUND(F736*E736,2)</f>
        <v>2084.4</v>
      </c>
    </row>
    <row r="737" spans="1:7" ht="14.4" x14ac:dyDescent="0.3">
      <c r="A737" s="28">
        <v>16080303</v>
      </c>
      <c r="B737" s="15" t="s">
        <v>274</v>
      </c>
      <c r="C737" s="18">
        <v>100310</v>
      </c>
      <c r="D737" s="19" t="s">
        <v>38</v>
      </c>
      <c r="E737" s="20">
        <v>30</v>
      </c>
      <c r="F737" s="20">
        <f>+VLOOKUP(C737,[1]Serviços!$C$6:$F$172,4,FALSE)</f>
        <v>8.6999999999999993</v>
      </c>
      <c r="G737" s="20">
        <f>+ROUND(F737*E737,2)</f>
        <v>261</v>
      </c>
    </row>
    <row r="738" spans="1:7" ht="14.4" x14ac:dyDescent="0.3">
      <c r="A738" s="28">
        <v>16080304</v>
      </c>
      <c r="B738" s="15" t="s">
        <v>276</v>
      </c>
      <c r="C738" s="18">
        <v>100311</v>
      </c>
      <c r="D738" s="19" t="s">
        <v>38</v>
      </c>
      <c r="E738" s="20">
        <v>10</v>
      </c>
      <c r="F738" s="20">
        <f>+VLOOKUP(C738,[1]Serviços!$C$6:$F$172,4,FALSE)</f>
        <v>25.33</v>
      </c>
      <c r="G738" s="20">
        <f>+ROUND(F738*E738,2)</f>
        <v>253.3</v>
      </c>
    </row>
    <row r="739" spans="1:7" x14ac:dyDescent="0.4">
      <c r="A739" s="28">
        <v>16080400</v>
      </c>
      <c r="B739" s="15" t="s">
        <v>278</v>
      </c>
      <c r="C739" s="16"/>
      <c r="D739" s="16"/>
      <c r="E739" s="17"/>
      <c r="F739" s="17"/>
      <c r="G739" s="17"/>
    </row>
    <row r="740" spans="1:7" ht="14.4" x14ac:dyDescent="0.3">
      <c r="A740" s="28">
        <v>16080401</v>
      </c>
      <c r="B740" s="15" t="s">
        <v>286</v>
      </c>
      <c r="C740" s="18">
        <v>100407</v>
      </c>
      <c r="D740" s="19" t="s">
        <v>73</v>
      </c>
      <c r="E740" s="20">
        <v>15</v>
      </c>
      <c r="F740" s="20">
        <f>+VLOOKUP(C740,[1]Serviços!$C$6:$F$172,4,FALSE)</f>
        <v>374.48</v>
      </c>
      <c r="G740" s="20">
        <f>+ROUND(F740*E740,2)</f>
        <v>5617.2</v>
      </c>
    </row>
    <row r="741" spans="1:7" ht="14.4" x14ac:dyDescent="0.3">
      <c r="A741" s="28">
        <v>16080402</v>
      </c>
      <c r="B741" s="15" t="s">
        <v>280</v>
      </c>
      <c r="C741" s="18">
        <v>100401</v>
      </c>
      <c r="D741" s="19" t="s">
        <v>57</v>
      </c>
      <c r="E741" s="20">
        <v>558</v>
      </c>
      <c r="F741" s="20">
        <f>+VLOOKUP(C741,[1]Serviços!$C$6:$F$172,4,FALSE)</f>
        <v>10.41</v>
      </c>
      <c r="G741" s="20">
        <f>+ROUND(F741*E741,2)</f>
        <v>5808.78</v>
      </c>
    </row>
    <row r="742" spans="1:7" ht="14.4" x14ac:dyDescent="0.3">
      <c r="A742" s="28">
        <v>16080403</v>
      </c>
      <c r="B742" s="15" t="s">
        <v>282</v>
      </c>
      <c r="C742" s="18">
        <v>100404</v>
      </c>
      <c r="D742" s="19" t="s">
        <v>57</v>
      </c>
      <c r="E742" s="20">
        <v>558</v>
      </c>
      <c r="F742" s="20">
        <f>+VLOOKUP(C742,[1]Serviços!$C$6:$F$172,4,FALSE)</f>
        <v>4.71</v>
      </c>
      <c r="G742" s="20">
        <f>+ROUND(F742*E742,2)</f>
        <v>2628.18</v>
      </c>
    </row>
    <row r="743" spans="1:7" ht="14.4" x14ac:dyDescent="0.3">
      <c r="A743" s="28">
        <v>16080404</v>
      </c>
      <c r="B743" s="15" t="s">
        <v>284</v>
      </c>
      <c r="C743" s="18">
        <v>100406</v>
      </c>
      <c r="D743" s="19" t="s">
        <v>73</v>
      </c>
      <c r="E743" s="20">
        <v>30</v>
      </c>
      <c r="F743" s="20">
        <f>+VLOOKUP(C743,[1]Serviços!$C$6:$F$172,4,FALSE)</f>
        <v>644.15</v>
      </c>
      <c r="G743" s="20">
        <f>+ROUND(F743*E743,2)</f>
        <v>19324.5</v>
      </c>
    </row>
    <row r="744" spans="1:7" x14ac:dyDescent="0.4">
      <c r="A744" s="21"/>
      <c r="B744" s="22"/>
      <c r="C744" s="16"/>
      <c r="D744" s="19" t="s">
        <v>17</v>
      </c>
      <c r="E744" s="17"/>
      <c r="F744" s="17"/>
      <c r="G744" s="20">
        <f>SUM(G728:G743)</f>
        <v>49578.06</v>
      </c>
    </row>
    <row r="745" spans="1:7" x14ac:dyDescent="0.4">
      <c r="A745" s="28">
        <v>16090000</v>
      </c>
      <c r="B745" s="15" t="s">
        <v>290</v>
      </c>
      <c r="C745" s="16"/>
      <c r="D745" s="16"/>
      <c r="E745" s="17"/>
      <c r="F745" s="17"/>
      <c r="G745" s="17"/>
    </row>
    <row r="746" spans="1:7" ht="14.4" x14ac:dyDescent="0.3">
      <c r="A746" s="28">
        <v>16090001</v>
      </c>
      <c r="B746" s="15" t="s">
        <v>746</v>
      </c>
      <c r="C746" s="18">
        <v>356131</v>
      </c>
      <c r="D746" s="19" t="s">
        <v>16</v>
      </c>
      <c r="E746" s="20">
        <v>1</v>
      </c>
      <c r="F746" s="20">
        <f>+VLOOKUP(C746,[1]Serviços!$C$6:$F$172,4,FALSE)</f>
        <v>504800</v>
      </c>
      <c r="G746" s="20">
        <f>+ROUND(F746*E746,2)</f>
        <v>504800</v>
      </c>
    </row>
    <row r="747" spans="1:7" x14ac:dyDescent="0.4">
      <c r="A747" s="21"/>
      <c r="B747" s="22"/>
      <c r="C747" s="16"/>
      <c r="D747" s="19" t="s">
        <v>17</v>
      </c>
      <c r="E747" s="17"/>
      <c r="F747" s="17"/>
      <c r="G747" s="20">
        <f>SUM(G746)</f>
        <v>504800</v>
      </c>
    </row>
    <row r="748" spans="1:7" x14ac:dyDescent="0.4">
      <c r="A748" s="21"/>
      <c r="B748" s="22"/>
      <c r="C748" s="16"/>
      <c r="D748" s="19" t="s">
        <v>295</v>
      </c>
      <c r="E748" s="17"/>
      <c r="F748" s="17"/>
      <c r="G748" s="20">
        <f>SUM(G665:G747)/2</f>
        <v>2885990.73</v>
      </c>
    </row>
    <row r="749" spans="1:7" x14ac:dyDescent="0.4">
      <c r="A749" s="21"/>
      <c r="B749" s="22"/>
      <c r="C749" s="16"/>
      <c r="D749" s="19" t="s">
        <v>747</v>
      </c>
      <c r="E749" s="17"/>
      <c r="F749" s="17"/>
      <c r="G749" s="20" t="s">
        <v>748</v>
      </c>
    </row>
    <row r="750" spans="1:7" x14ac:dyDescent="0.4">
      <c r="A750" s="29"/>
      <c r="B750" s="30"/>
      <c r="C750" s="31"/>
      <c r="D750" s="31"/>
      <c r="E750" s="32"/>
      <c r="F750" s="32"/>
      <c r="G750" s="32"/>
    </row>
  </sheetData>
  <mergeCells count="2">
    <mergeCell ref="B1:G1"/>
    <mergeCell ref="A3:G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Marcio Zanetti</dc:creator>
  <cp:lastModifiedBy>Caio Marcio Zanetti</cp:lastModifiedBy>
  <dcterms:created xsi:type="dcterms:W3CDTF">2026-01-21T16:43:48Z</dcterms:created>
  <dcterms:modified xsi:type="dcterms:W3CDTF">2026-01-21T16:44:07Z</dcterms:modified>
</cp:coreProperties>
</file>
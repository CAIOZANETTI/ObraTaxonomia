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iomz\Desktop\"/>
    </mc:Choice>
  </mc:AlternateContent>
  <bookViews>
    <workbookView xWindow="0" yWindow="60" windowWidth="15360" windowHeight="7695" firstSheet="1" activeTab="2"/>
  </bookViews>
  <sheets>
    <sheet name="Insumo" sheetId="1" r:id="rId1"/>
    <sheet name="CP. Auxiliar" sheetId="7" r:id="rId2"/>
    <sheet name="CP. Principal" sheetId="3" r:id="rId3"/>
    <sheet name="Planilha de serviços" sheetId="6" r:id="rId4"/>
    <sheet name="Original" sheetId="5" r:id="rId5"/>
    <sheet name="INSUMOS" sheetId="8" r:id="rId6"/>
    <sheet name="CPU AUX" sheetId="9" r:id="rId7"/>
  </sheets>
  <definedNames>
    <definedName name="_xlnm._FilterDatabase" localSheetId="1" hidden="1">'CP. Auxiliar'!$A$2:$M$21</definedName>
    <definedName name="_xlnm._FilterDatabase" localSheetId="2" hidden="1">'CP. Principal'!$A$1:$N$781</definedName>
    <definedName name="_xlnm._FilterDatabase" localSheetId="0" hidden="1">Insumo!$A$2:$E$713</definedName>
    <definedName name="_xlnm._FilterDatabase" localSheetId="5" hidden="1">INSUMOS!$A$3:$K$913</definedName>
    <definedName name="_xlnm._FilterDatabase" localSheetId="4" hidden="1">Original!$C$1:$K$891</definedName>
    <definedName name="_xlnm._FilterDatabase" localSheetId="3" hidden="1">'Planilha de serviços'!$A$8:$L$904</definedName>
    <definedName name="_xlnm.Print_Area" localSheetId="1">'CP. Auxiliar'!$A$1:$M$84</definedName>
    <definedName name="_xlnm.Print_Area" localSheetId="2">'CP. Principal'!$A$648:$O$719</definedName>
    <definedName name="_xlnm.Print_Area" localSheetId="3">'Planilha de serviços'!$A$1:$G$36</definedName>
    <definedName name="_xlnm.Print_Titles" localSheetId="2">'CP. Principal'!$1:$2</definedName>
  </definedNames>
  <calcPr calcId="152511"/>
</workbook>
</file>

<file path=xl/calcChain.xml><?xml version="1.0" encoding="utf-8"?>
<calcChain xmlns="http://schemas.openxmlformats.org/spreadsheetml/2006/main">
  <c r="N676" i="3" l="1"/>
  <c r="F676" i="3"/>
  <c r="O668" i="3"/>
  <c r="J715" i="3"/>
  <c r="I717" i="3"/>
  <c r="J717" i="3" s="1"/>
  <c r="I716" i="3"/>
  <c r="J716" i="3" s="1"/>
  <c r="O707" i="3"/>
  <c r="O714" i="3"/>
  <c r="I667" i="3"/>
  <c r="I666" i="3"/>
  <c r="O704" i="3"/>
  <c r="O706" i="3"/>
  <c r="O705" i="3"/>
  <c r="I711" i="3"/>
  <c r="I710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I686" i="3"/>
  <c r="J686" i="3" s="1"/>
  <c r="I685" i="3"/>
  <c r="J685" i="3" s="1"/>
  <c r="I684" i="3"/>
  <c r="J684" i="3" s="1"/>
  <c r="I683" i="3"/>
  <c r="J683" i="3" s="1"/>
  <c r="I682" i="3"/>
  <c r="J682" i="3" s="1"/>
  <c r="I681" i="3"/>
  <c r="J681" i="3" s="1"/>
  <c r="I680" i="3"/>
  <c r="J680" i="3" s="1"/>
  <c r="I679" i="3"/>
  <c r="J679" i="3" s="1"/>
  <c r="I678" i="3"/>
  <c r="J678" i="3" s="1"/>
  <c r="I677" i="3"/>
  <c r="I652" i="3"/>
  <c r="I676" i="3"/>
  <c r="I662" i="3"/>
  <c r="J662" i="3" s="1"/>
  <c r="I661" i="3"/>
  <c r="J661" i="3" s="1"/>
  <c r="I660" i="3"/>
  <c r="J660" i="3" s="1"/>
  <c r="I659" i="3"/>
  <c r="J659" i="3" s="1"/>
  <c r="I658" i="3"/>
  <c r="J658" i="3" s="1"/>
  <c r="I657" i="3"/>
  <c r="J657" i="3" s="1"/>
  <c r="I656" i="3"/>
  <c r="J656" i="3" s="1"/>
  <c r="I655" i="3"/>
  <c r="J655" i="3" s="1"/>
  <c r="I654" i="3"/>
  <c r="J654" i="3" s="1"/>
  <c r="I653" i="3"/>
  <c r="I718" i="3" l="1"/>
  <c r="J677" i="3"/>
  <c r="I687" i="3" s="1"/>
  <c r="I719" i="3"/>
  <c r="J653" i="3"/>
  <c r="I663" i="3" s="1"/>
  <c r="I448" i="3" l="1"/>
  <c r="I289" i="3"/>
  <c r="AB572" i="3"/>
  <c r="AH610" i="3"/>
  <c r="AI610" i="3" s="1"/>
  <c r="I643" i="3"/>
  <c r="I645" i="3"/>
  <c r="Z644" i="3"/>
  <c r="AB644" i="3" s="1"/>
  <c r="Z631" i="3"/>
  <c r="AB631" i="3" s="1"/>
  <c r="I644" i="3"/>
  <c r="J644" i="3" s="1"/>
  <c r="R645" i="3"/>
  <c r="J639" i="3"/>
  <c r="I641" i="3"/>
  <c r="J641" i="3" s="1"/>
  <c r="I639" i="3"/>
  <c r="N642" i="3"/>
  <c r="N629" i="3"/>
  <c r="N628" i="3"/>
  <c r="I636" i="3"/>
  <c r="I634" i="3"/>
  <c r="Q634" i="3"/>
  <c r="Z634" i="3" s="1"/>
  <c r="AB634" i="3" s="1"/>
  <c r="R634" i="3"/>
  <c r="R635" i="3" s="1"/>
  <c r="I633" i="3"/>
  <c r="I635" i="3"/>
  <c r="I632" i="3"/>
  <c r="I629" i="3" s="1"/>
  <c r="I631" i="3"/>
  <c r="I628" i="3" s="1"/>
  <c r="J634" i="3"/>
  <c r="N633" i="3"/>
  <c r="N637" i="3" s="1"/>
  <c r="N643" i="3" s="1"/>
  <c r="R631" i="3"/>
  <c r="I640" i="3" l="1"/>
  <c r="S635" i="3"/>
  <c r="S634" i="3" s="1"/>
  <c r="I642" i="3"/>
  <c r="R646" i="3"/>
  <c r="I646" i="3" s="1"/>
  <c r="S645" i="3"/>
  <c r="S644" i="3" s="1"/>
  <c r="T643" i="3" s="1"/>
  <c r="R636" i="3"/>
  <c r="S636" i="3" s="1"/>
  <c r="R632" i="3"/>
  <c r="S632" i="3" s="1"/>
  <c r="S631" i="3" s="1"/>
  <c r="J631" i="3" l="1"/>
  <c r="J628" i="3" s="1"/>
  <c r="J572" i="3" l="1"/>
  <c r="Z612" i="3"/>
  <c r="AB612" i="3" s="1"/>
  <c r="Z615" i="3"/>
  <c r="AB615" i="3" s="1"/>
  <c r="Z609" i="3"/>
  <c r="AB609" i="3" s="1"/>
  <c r="I610" i="3"/>
  <c r="I615" i="3"/>
  <c r="I614" i="3"/>
  <c r="J145" i="3" l="1"/>
  <c r="J133" i="3"/>
  <c r="J121" i="3"/>
  <c r="J99" i="3"/>
  <c r="J89" i="3"/>
  <c r="J77" i="3"/>
  <c r="J65" i="3"/>
  <c r="I626" i="3" l="1"/>
  <c r="I624" i="3"/>
  <c r="J624" i="3" s="1"/>
  <c r="I622" i="3"/>
  <c r="I620" i="3"/>
  <c r="I618" i="3"/>
  <c r="R616" i="3"/>
  <c r="F608" i="3"/>
  <c r="R609" i="3"/>
  <c r="R613" i="3" s="1"/>
  <c r="I613" i="3" l="1"/>
  <c r="J613" i="3" s="1"/>
  <c r="F614" i="3"/>
  <c r="F611" i="3"/>
  <c r="R612" i="3"/>
  <c r="I609" i="3"/>
  <c r="I608" i="3" s="1"/>
  <c r="I616" i="3"/>
  <c r="J616" i="3" s="1"/>
  <c r="J620" i="3"/>
  <c r="I621" i="3" s="1"/>
  <c r="J622" i="3"/>
  <c r="I623" i="3" s="1"/>
  <c r="J626" i="3"/>
  <c r="I627" i="3" s="1"/>
  <c r="I625" i="3"/>
  <c r="J618" i="3"/>
  <c r="I619" i="3" s="1"/>
  <c r="S613" i="3" l="1"/>
  <c r="S612" i="3" s="1"/>
  <c r="S616" i="3"/>
  <c r="S615" i="3" s="1"/>
  <c r="T614" i="3" s="1"/>
  <c r="I612" i="3"/>
  <c r="I611" i="3" s="1"/>
  <c r="J615" i="3"/>
  <c r="I595" i="3"/>
  <c r="I573" i="3"/>
  <c r="I574" i="3" s="1"/>
  <c r="N574" i="3"/>
  <c r="F574" i="3"/>
  <c r="T611" i="3" l="1"/>
  <c r="Q606" i="3"/>
  <c r="S606" i="3" s="1"/>
  <c r="P606" i="3"/>
  <c r="I604" i="3"/>
  <c r="N603" i="3"/>
  <c r="N614" i="3" s="1"/>
  <c r="F603" i="3"/>
  <c r="P601" i="3"/>
  <c r="I599" i="3"/>
  <c r="Q601" i="3"/>
  <c r="S601" i="3" s="1"/>
  <c r="P591" i="3"/>
  <c r="I589" i="3"/>
  <c r="I596" i="3"/>
  <c r="I594" i="3" s="1"/>
  <c r="T601" i="3" l="1"/>
  <c r="V601" i="3" s="1"/>
  <c r="U601" i="3" s="1"/>
  <c r="T606" i="3"/>
  <c r="V606" i="3" s="1"/>
  <c r="U606" i="3" s="1"/>
  <c r="J604" i="3"/>
  <c r="I605" i="3" s="1"/>
  <c r="I603" i="3" s="1"/>
  <c r="J599" i="3"/>
  <c r="I600" i="3" s="1"/>
  <c r="I598" i="3" s="1"/>
  <c r="I601" i="3" l="1"/>
  <c r="J601" i="3" s="1"/>
  <c r="I602" i="3" s="1"/>
  <c r="I606" i="3"/>
  <c r="J606" i="3" s="1"/>
  <c r="I607" i="3" s="1"/>
  <c r="N588" i="3" l="1"/>
  <c r="N598" i="3" s="1"/>
  <c r="N608" i="3" s="1"/>
  <c r="N611" i="3" s="1"/>
  <c r="F588" i="3"/>
  <c r="F598" i="3" s="1"/>
  <c r="Q591" i="3"/>
  <c r="S591" i="3" s="1"/>
  <c r="T591" i="3" s="1"/>
  <c r="V591" i="3" s="1"/>
  <c r="J582" i="3"/>
  <c r="J585" i="3"/>
  <c r="I585" i="3"/>
  <c r="I584" i="3"/>
  <c r="I582" i="3"/>
  <c r="I583" i="3" s="1"/>
  <c r="I581" i="3" s="1"/>
  <c r="J587" i="3" s="1"/>
  <c r="P508" i="3"/>
  <c r="I506" i="3"/>
  <c r="J506" i="3" s="1"/>
  <c r="J580" i="3"/>
  <c r="I580" i="3"/>
  <c r="J576" i="3"/>
  <c r="J579" i="3" s="1"/>
  <c r="J578" i="3" s="1"/>
  <c r="I576" i="3"/>
  <c r="I575" i="3"/>
  <c r="J569" i="3"/>
  <c r="J570" i="3" s="1"/>
  <c r="I569" i="3"/>
  <c r="I570" i="3" s="1"/>
  <c r="J567" i="3"/>
  <c r="I567" i="3"/>
  <c r="I566" i="3"/>
  <c r="I564" i="3"/>
  <c r="J562" i="3"/>
  <c r="I562" i="3"/>
  <c r="I561" i="3"/>
  <c r="J560" i="3"/>
  <c r="J559" i="3" s="1"/>
  <c r="I560" i="3"/>
  <c r="I559" i="3" s="1"/>
  <c r="J557" i="3"/>
  <c r="I557" i="3"/>
  <c r="I556" i="3"/>
  <c r="J550" i="3"/>
  <c r="J549" i="3" s="1"/>
  <c r="I550" i="3"/>
  <c r="I549" i="3" s="1"/>
  <c r="J552" i="3"/>
  <c r="I552" i="3"/>
  <c r="J547" i="3"/>
  <c r="I547" i="3"/>
  <c r="I554" i="3"/>
  <c r="I551" i="3"/>
  <c r="I546" i="3"/>
  <c r="I544" i="3"/>
  <c r="J542" i="3"/>
  <c r="I542" i="3"/>
  <c r="J539" i="3"/>
  <c r="J538" i="3" s="1"/>
  <c r="J536" i="3"/>
  <c r="I536" i="3"/>
  <c r="J534" i="3"/>
  <c r="I534" i="3"/>
  <c r="I539" i="3"/>
  <c r="I538" i="3" s="1"/>
  <c r="I540" i="3"/>
  <c r="J540" i="3" s="1"/>
  <c r="I533" i="3"/>
  <c r="J530" i="3"/>
  <c r="I530" i="3"/>
  <c r="J528" i="3"/>
  <c r="J526" i="3"/>
  <c r="I526" i="3"/>
  <c r="J524" i="3"/>
  <c r="I528" i="3"/>
  <c r="I529" i="3" s="1"/>
  <c r="I524" i="3"/>
  <c r="I523" i="3"/>
  <c r="J520" i="3"/>
  <c r="J518" i="3"/>
  <c r="J516" i="3"/>
  <c r="J514" i="3"/>
  <c r="J512" i="3"/>
  <c r="I520" i="3"/>
  <c r="I518" i="3"/>
  <c r="I512" i="3"/>
  <c r="I516" i="3"/>
  <c r="I514" i="3"/>
  <c r="I511" i="3"/>
  <c r="I510" i="3"/>
  <c r="N510" i="3"/>
  <c r="F510" i="3"/>
  <c r="I525" i="3" l="1"/>
  <c r="I563" i="3"/>
  <c r="I519" i="3"/>
  <c r="I577" i="3"/>
  <c r="I513" i="3"/>
  <c r="I521" i="3"/>
  <c r="I527" i="3"/>
  <c r="I586" i="3"/>
  <c r="I531" i="3"/>
  <c r="I548" i="3"/>
  <c r="I553" i="3"/>
  <c r="I568" i="3"/>
  <c r="I517" i="3"/>
  <c r="I515" i="3"/>
  <c r="I558" i="3"/>
  <c r="I579" i="3"/>
  <c r="I578" i="3" s="1"/>
  <c r="U591" i="3"/>
  <c r="I591" i="3"/>
  <c r="J589" i="3"/>
  <c r="I590" i="3" s="1"/>
  <c r="I588" i="3" s="1"/>
  <c r="I501" i="3"/>
  <c r="J501" i="3" s="1"/>
  <c r="I502" i="3" s="1"/>
  <c r="I500" i="3" s="1"/>
  <c r="I496" i="3"/>
  <c r="J496" i="3" s="1"/>
  <c r="I497" i="3" s="1"/>
  <c r="I495" i="3" s="1"/>
  <c r="P503" i="3"/>
  <c r="P498" i="3"/>
  <c r="Q508" i="3"/>
  <c r="S508" i="3" s="1"/>
  <c r="T508" i="3" s="1"/>
  <c r="V508" i="3" s="1"/>
  <c r="I508" i="3" s="1"/>
  <c r="Q503" i="3"/>
  <c r="S503" i="3" s="1"/>
  <c r="Q498" i="3"/>
  <c r="S498" i="3" s="1"/>
  <c r="T498" i="3" s="1"/>
  <c r="V498" i="3" s="1"/>
  <c r="I498" i="3" s="1"/>
  <c r="N495" i="3"/>
  <c r="F495" i="3"/>
  <c r="I490" i="3"/>
  <c r="I494" i="3"/>
  <c r="J494" i="3" s="1"/>
  <c r="I491" i="3"/>
  <c r="J491" i="3" s="1"/>
  <c r="I492" i="3" s="1"/>
  <c r="I489" i="3"/>
  <c r="I486" i="3"/>
  <c r="J486" i="3" s="1"/>
  <c r="I487" i="3" s="1"/>
  <c r="I483" i="3"/>
  <c r="I484" i="3" s="1"/>
  <c r="J484" i="3" s="1"/>
  <c r="I481" i="3"/>
  <c r="I480" i="3" s="1"/>
  <c r="N483" i="3"/>
  <c r="F483" i="3"/>
  <c r="I474" i="3"/>
  <c r="N474" i="3"/>
  <c r="F474" i="3"/>
  <c r="J472" i="3"/>
  <c r="I473" i="3" s="1"/>
  <c r="J470" i="3"/>
  <c r="I471" i="3" s="1"/>
  <c r="J465" i="3"/>
  <c r="I466" i="3" s="1"/>
  <c r="J463" i="3"/>
  <c r="I464" i="3" s="1"/>
  <c r="N460" i="3"/>
  <c r="F460" i="3"/>
  <c r="I457" i="3"/>
  <c r="I452" i="3"/>
  <c r="I453" i="3"/>
  <c r="N446" i="3"/>
  <c r="F446" i="3"/>
  <c r="N377" i="3"/>
  <c r="F377" i="3"/>
  <c r="I380" i="3"/>
  <c r="J380" i="3" s="1"/>
  <c r="J378" i="3"/>
  <c r="I379" i="3" s="1"/>
  <c r="J441" i="3"/>
  <c r="I442" i="3" s="1"/>
  <c r="I443" i="3"/>
  <c r="N440" i="3"/>
  <c r="F440" i="3"/>
  <c r="I438" i="3"/>
  <c r="I436" i="3"/>
  <c r="I434" i="3"/>
  <c r="I432" i="3"/>
  <c r="J438" i="3"/>
  <c r="I439" i="3" s="1"/>
  <c r="J436" i="3"/>
  <c r="I437" i="3" s="1"/>
  <c r="J434" i="3"/>
  <c r="I435" i="3" s="1"/>
  <c r="N432" i="3"/>
  <c r="F432" i="3"/>
  <c r="I475" i="3" l="1"/>
  <c r="I477" i="3" s="1"/>
  <c r="I478" i="3" s="1"/>
  <c r="J478" i="3" s="1"/>
  <c r="J593" i="3"/>
  <c r="J597" i="3"/>
  <c r="I458" i="3"/>
  <c r="J448" i="3"/>
  <c r="J453" i="3" s="1"/>
  <c r="J458" i="3" s="1"/>
  <c r="T503" i="3"/>
  <c r="V503" i="3" s="1"/>
  <c r="I503" i="3" s="1"/>
  <c r="J503" i="3" s="1"/>
  <c r="I482" i="3"/>
  <c r="J482" i="3" s="1"/>
  <c r="J481" i="3"/>
  <c r="J591" i="3"/>
  <c r="I592" i="3" s="1"/>
  <c r="I485" i="3"/>
  <c r="J498" i="3"/>
  <c r="I499" i="3" s="1"/>
  <c r="U498" i="3"/>
  <c r="U508" i="3"/>
  <c r="J443" i="3"/>
  <c r="I444" i="3" s="1"/>
  <c r="I381" i="3"/>
  <c r="I459" i="3" l="1"/>
  <c r="J477" i="3"/>
  <c r="J475" i="3"/>
  <c r="I476" i="3" s="1"/>
  <c r="I449" i="3"/>
  <c r="I446" i="3" s="1"/>
  <c r="U503" i="3"/>
  <c r="I454" i="3"/>
  <c r="J508" i="3"/>
  <c r="I509" i="3" s="1"/>
  <c r="I504" i="3"/>
  <c r="I430" i="3"/>
  <c r="I428" i="3"/>
  <c r="N426" i="3"/>
  <c r="N467" i="3" s="1"/>
  <c r="N480" i="3" s="1"/>
  <c r="F426" i="3"/>
  <c r="F467" i="3" s="1"/>
  <c r="F480" i="3" s="1"/>
  <c r="J423" i="3"/>
  <c r="J414" i="3"/>
  <c r="I415" i="3" s="1"/>
  <c r="J412" i="3"/>
  <c r="I413" i="3" s="1"/>
  <c r="J410" i="3"/>
  <c r="I411" i="3" s="1"/>
  <c r="N408" i="3"/>
  <c r="F408" i="3"/>
  <c r="I400" i="3"/>
  <c r="I405" i="3"/>
  <c r="J405" i="3" s="1"/>
  <c r="I406" i="3" s="1"/>
  <c r="I403" i="3"/>
  <c r="J403" i="3" s="1"/>
  <c r="I401" i="3"/>
  <c r="J401" i="3" s="1"/>
  <c r="I402" i="3" s="1"/>
  <c r="N400" i="3"/>
  <c r="F400" i="3"/>
  <c r="J395" i="3"/>
  <c r="I396" i="3" s="1"/>
  <c r="J393" i="3"/>
  <c r="I394" i="3" s="1"/>
  <c r="I390" i="3"/>
  <c r="I397" i="3" s="1"/>
  <c r="F390" i="3"/>
  <c r="J389" i="3"/>
  <c r="I389" i="3"/>
  <c r="I383" i="3"/>
  <c r="I363" i="3"/>
  <c r="I366" i="3" s="1"/>
  <c r="N358" i="3"/>
  <c r="F362" i="3"/>
  <c r="F361" i="3"/>
  <c r="F360" i="3"/>
  <c r="F359" i="3"/>
  <c r="F358" i="3"/>
  <c r="F357" i="3"/>
  <c r="F356" i="3"/>
  <c r="F355" i="3"/>
  <c r="F354" i="3"/>
  <c r="F353" i="3"/>
  <c r="I342" i="3"/>
  <c r="I350" i="3" s="1"/>
  <c r="I334" i="3"/>
  <c r="N340" i="3"/>
  <c r="N350" i="3" s="1"/>
  <c r="N339" i="3"/>
  <c r="N345" i="3" s="1"/>
  <c r="N357" i="3" s="1"/>
  <c r="N338" i="3"/>
  <c r="N337" i="3"/>
  <c r="N336" i="3"/>
  <c r="I321" i="3"/>
  <c r="I326" i="3" s="1"/>
  <c r="I319" i="3"/>
  <c r="J319" i="3" s="1"/>
  <c r="J324" i="3" s="1"/>
  <c r="I318" i="3"/>
  <c r="I323" i="3" s="1"/>
  <c r="I317" i="3"/>
  <c r="N316" i="3"/>
  <c r="N315" i="3"/>
  <c r="N314" i="3"/>
  <c r="I314" i="3"/>
  <c r="J314" i="3" s="1"/>
  <c r="J338" i="3" s="1"/>
  <c r="N312" i="3"/>
  <c r="N313" i="3"/>
  <c r="I311" i="3"/>
  <c r="I335" i="3" s="1"/>
  <c r="I304" i="3"/>
  <c r="N343" i="3" l="1"/>
  <c r="N361" i="3"/>
  <c r="N353" i="3"/>
  <c r="N362" i="3"/>
  <c r="N390" i="3"/>
  <c r="J342" i="3"/>
  <c r="J348" i="3" s="1"/>
  <c r="J359" i="3" s="1"/>
  <c r="I344" i="3"/>
  <c r="J366" i="3"/>
  <c r="I367" i="3" s="1"/>
  <c r="J397" i="3"/>
  <c r="J398" i="3" s="1"/>
  <c r="I398" i="3"/>
  <c r="N349" i="3"/>
  <c r="N356" i="3"/>
  <c r="I346" i="3"/>
  <c r="I348" i="3"/>
  <c r="I364" i="3"/>
  <c r="I404" i="3"/>
  <c r="J430" i="3"/>
  <c r="I431" i="3" s="1"/>
  <c r="I320" i="3"/>
  <c r="J428" i="3"/>
  <c r="I429" i="3" s="1"/>
  <c r="I315" i="3"/>
  <c r="I339" i="3" s="1"/>
  <c r="I324" i="3"/>
  <c r="I325" i="3" s="1"/>
  <c r="J321" i="3"/>
  <c r="J326" i="3" s="1"/>
  <c r="I327" i="3" s="1"/>
  <c r="I355" i="3" l="1"/>
  <c r="N354" i="3"/>
  <c r="N365" i="3" s="1"/>
  <c r="N355" i="3"/>
  <c r="J350" i="3"/>
  <c r="J361" i="3" s="1"/>
  <c r="I343" i="3"/>
  <c r="I341" i="3" s="1"/>
  <c r="J344" i="3"/>
  <c r="J355" i="3" s="1"/>
  <c r="J346" i="3"/>
  <c r="J357" i="3" s="1"/>
  <c r="I349" i="3"/>
  <c r="J364" i="3"/>
  <c r="J368" i="3" s="1"/>
  <c r="I368" i="3"/>
  <c r="I347" i="3"/>
  <c r="I358" i="3" s="1"/>
  <c r="I322" i="3"/>
  <c r="I354" i="3" l="1"/>
  <c r="I352" i="3"/>
  <c r="I328" i="3"/>
  <c r="I359" i="3"/>
  <c r="I360" i="3"/>
  <c r="I361" i="3"/>
  <c r="I345" i="3"/>
  <c r="I365" i="3"/>
  <c r="J309" i="3"/>
  <c r="I309" i="3"/>
  <c r="I307" i="3"/>
  <c r="J307" i="3" s="1"/>
  <c r="J331" i="3" s="1"/>
  <c r="J305" i="3"/>
  <c r="I305" i="3"/>
  <c r="I301" i="3"/>
  <c r="I299" i="3"/>
  <c r="I298" i="3"/>
  <c r="I295" i="3"/>
  <c r="I292" i="3"/>
  <c r="I291" i="3"/>
  <c r="J303" i="3"/>
  <c r="I303" i="3"/>
  <c r="J301" i="3"/>
  <c r="J297" i="3"/>
  <c r="I297" i="3"/>
  <c r="J295" i="3"/>
  <c r="N291" i="3"/>
  <c r="F291" i="3"/>
  <c r="I286" i="3"/>
  <c r="I281" i="3"/>
  <c r="J281" i="3" s="1"/>
  <c r="I282" i="3" s="1"/>
  <c r="I280" i="3" s="1"/>
  <c r="N280" i="3"/>
  <c r="N284" i="3" s="1"/>
  <c r="F280" i="3"/>
  <c r="F284" i="3" s="1"/>
  <c r="I278" i="3"/>
  <c r="I276" i="3"/>
  <c r="N274" i="3"/>
  <c r="N279" i="3" s="1"/>
  <c r="F274" i="3"/>
  <c r="F279" i="3" s="1"/>
  <c r="I356" i="3" l="1"/>
  <c r="I357" i="3"/>
  <c r="N298" i="3"/>
  <c r="N304" i="3" s="1"/>
  <c r="N311" i="3" s="1"/>
  <c r="N318" i="3" s="1"/>
  <c r="N323" i="3" s="1"/>
  <c r="N328" i="3" s="1"/>
  <c r="N341" i="3" s="1"/>
  <c r="N450" i="3"/>
  <c r="N455" i="3" s="1"/>
  <c r="N500" i="3" s="1"/>
  <c r="F298" i="3"/>
  <c r="F304" i="3" s="1"/>
  <c r="F311" i="3" s="1"/>
  <c r="F318" i="3" s="1"/>
  <c r="F323" i="3" s="1"/>
  <c r="F450" i="3"/>
  <c r="F455" i="3" s="1"/>
  <c r="F500" i="3" s="1"/>
  <c r="J312" i="3"/>
  <c r="J336" i="3" s="1"/>
  <c r="J329" i="3"/>
  <c r="J316" i="3"/>
  <c r="J340" i="3" s="1"/>
  <c r="J353" i="3" s="1"/>
  <c r="J333" i="3"/>
  <c r="I312" i="3"/>
  <c r="I329" i="3"/>
  <c r="I308" i="3"/>
  <c r="I332" i="3" s="1"/>
  <c r="I331" i="3"/>
  <c r="I316" i="3"/>
  <c r="I340" i="3" s="1"/>
  <c r="I353" i="3" s="1"/>
  <c r="I306" i="3"/>
  <c r="I330" i="3" s="1"/>
  <c r="J289" i="3"/>
  <c r="I290" i="3" s="1"/>
  <c r="I284" i="3" s="1"/>
  <c r="J292" i="3"/>
  <c r="I293" i="3" s="1"/>
  <c r="I302" i="3"/>
  <c r="J299" i="3"/>
  <c r="I300" i="3" s="1"/>
  <c r="I296" i="3"/>
  <c r="I269" i="3"/>
  <c r="J269" i="3" s="1"/>
  <c r="T272" i="3"/>
  <c r="U272" i="3" s="1"/>
  <c r="V272" i="3" s="1"/>
  <c r="W272" i="3" s="1"/>
  <c r="X272" i="3" s="1"/>
  <c r="I271" i="3" s="1"/>
  <c r="J271" i="3" s="1"/>
  <c r="N268" i="3"/>
  <c r="F268" i="3"/>
  <c r="N335" i="3" l="1"/>
  <c r="N348" i="3" s="1"/>
  <c r="N359" i="3" s="1"/>
  <c r="N366" i="3" s="1"/>
  <c r="F523" i="3"/>
  <c r="F533" i="3" s="1"/>
  <c r="I333" i="3"/>
  <c r="N505" i="3"/>
  <c r="N523" i="3"/>
  <c r="N533" i="3" s="1"/>
  <c r="N360" i="3"/>
  <c r="I313" i="3"/>
  <c r="I336" i="3"/>
  <c r="I272" i="3"/>
  <c r="J259" i="3"/>
  <c r="I260" i="3" s="1"/>
  <c r="J256" i="3"/>
  <c r="I257" i="3" s="1"/>
  <c r="J254" i="3"/>
  <c r="I255" i="3" s="1"/>
  <c r="J242" i="3"/>
  <c r="I243" i="3" s="1"/>
  <c r="J239" i="3"/>
  <c r="I240" i="3" s="1"/>
  <c r="J237" i="3"/>
  <c r="I238" i="3" s="1"/>
  <c r="J225" i="3"/>
  <c r="I226" i="3" s="1"/>
  <c r="J222" i="3"/>
  <c r="I223" i="3" s="1"/>
  <c r="J220" i="3"/>
  <c r="I221" i="3" s="1"/>
  <c r="J208" i="3"/>
  <c r="I209" i="3" s="1"/>
  <c r="J205" i="3"/>
  <c r="I206" i="3" s="1"/>
  <c r="J203" i="3"/>
  <c r="I204" i="3" s="1"/>
  <c r="J191" i="3"/>
  <c r="I192" i="3" s="1"/>
  <c r="J188" i="3"/>
  <c r="I189" i="3" s="1"/>
  <c r="J186" i="3"/>
  <c r="I187" i="3" s="1"/>
  <c r="J174" i="3"/>
  <c r="I175" i="3" s="1"/>
  <c r="J171" i="3"/>
  <c r="I172" i="3" s="1"/>
  <c r="J169" i="3"/>
  <c r="I170" i="3" s="1"/>
  <c r="N182" i="3"/>
  <c r="F182" i="3"/>
  <c r="I63" i="7"/>
  <c r="H64" i="7" s="1"/>
  <c r="I60" i="7"/>
  <c r="I59" i="7"/>
  <c r="H61" i="7" s="1"/>
  <c r="F62" i="7"/>
  <c r="F53" i="7"/>
  <c r="F48" i="7"/>
  <c r="F58" i="7"/>
  <c r="N181" i="3"/>
  <c r="N198" i="3" s="1"/>
  <c r="N215" i="3" s="1"/>
  <c r="N232" i="3" s="1"/>
  <c r="N249" i="3" s="1"/>
  <c r="N266" i="3" s="1"/>
  <c r="F181" i="3"/>
  <c r="F198" i="3" s="1"/>
  <c r="F215" i="3" s="1"/>
  <c r="F232" i="3" s="1"/>
  <c r="F249" i="3" s="1"/>
  <c r="F266" i="3" s="1"/>
  <c r="N179" i="3"/>
  <c r="N196" i="3" s="1"/>
  <c r="N213" i="3" s="1"/>
  <c r="N230" i="3" s="1"/>
  <c r="N247" i="3" s="1"/>
  <c r="N264" i="3" s="1"/>
  <c r="F179" i="3"/>
  <c r="F196" i="3" s="1"/>
  <c r="F213" i="3" s="1"/>
  <c r="F230" i="3" s="1"/>
  <c r="F247" i="3" s="1"/>
  <c r="F264" i="3" s="1"/>
  <c r="N173" i="3"/>
  <c r="N190" i="3" s="1"/>
  <c r="N207" i="3" s="1"/>
  <c r="N224" i="3" s="1"/>
  <c r="N241" i="3" s="1"/>
  <c r="N258" i="3" s="1"/>
  <c r="F173" i="3"/>
  <c r="F190" i="3" s="1"/>
  <c r="F207" i="3" s="1"/>
  <c r="F224" i="3" s="1"/>
  <c r="F241" i="3" s="1"/>
  <c r="F258" i="3" s="1"/>
  <c r="N166" i="3"/>
  <c r="F166" i="3"/>
  <c r="H56" i="7"/>
  <c r="H55" i="7"/>
  <c r="H54" i="7"/>
  <c r="H53" i="7"/>
  <c r="H51" i="7"/>
  <c r="I51" i="7" s="1"/>
  <c r="H50" i="7"/>
  <c r="I50" i="7" s="1"/>
  <c r="H49" i="7"/>
  <c r="I49" i="7" s="1"/>
  <c r="H48" i="7"/>
  <c r="J158" i="3"/>
  <c r="I158" i="3"/>
  <c r="F165" i="3"/>
  <c r="I160" i="3"/>
  <c r="I165" i="3" s="1"/>
  <c r="J165" i="3" s="1"/>
  <c r="J161" i="3"/>
  <c r="I161" i="3"/>
  <c r="J163" i="3"/>
  <c r="I163" i="3"/>
  <c r="N160" i="3"/>
  <c r="F160" i="3"/>
  <c r="J152" i="3"/>
  <c r="J149" i="3"/>
  <c r="J146" i="3"/>
  <c r="I147" i="3" s="1"/>
  <c r="I148" i="3" s="1"/>
  <c r="F145" i="3"/>
  <c r="J136" i="3"/>
  <c r="I137" i="3" s="1"/>
  <c r="J124" i="3"/>
  <c r="I125" i="3" s="1"/>
  <c r="J112" i="3"/>
  <c r="I113" i="3" s="1"/>
  <c r="J107" i="3"/>
  <c r="I108" i="3" s="1"/>
  <c r="J102" i="3"/>
  <c r="I103" i="3" s="1"/>
  <c r="J92" i="3"/>
  <c r="I93" i="3" s="1"/>
  <c r="J81" i="3"/>
  <c r="I82" i="3" s="1"/>
  <c r="J69" i="3"/>
  <c r="I70" i="3" s="1"/>
  <c r="J57" i="3"/>
  <c r="I58" i="3" s="1"/>
  <c r="I150" i="3" l="1"/>
  <c r="I151" i="3" s="1"/>
  <c r="I153" i="3" s="1"/>
  <c r="I154" i="3" s="1"/>
  <c r="I155" i="3" s="1"/>
  <c r="F183" i="3"/>
  <c r="F200" i="3" s="1"/>
  <c r="F217" i="3" s="1"/>
  <c r="F234" i="3" s="1"/>
  <c r="F617" i="3"/>
  <c r="F630" i="3" s="1"/>
  <c r="F633" i="3" s="1"/>
  <c r="F637" i="3" s="1"/>
  <c r="F199" i="3"/>
  <c r="F216" i="3" s="1"/>
  <c r="F233" i="3" s="1"/>
  <c r="F250" i="3" s="1"/>
  <c r="F267" i="3" s="1"/>
  <c r="I337" i="3"/>
  <c r="I338" i="3"/>
  <c r="N183" i="3"/>
  <c r="N200" i="3" s="1"/>
  <c r="N217" i="3" s="1"/>
  <c r="N234" i="3" s="1"/>
  <c r="N617" i="3"/>
  <c r="N630" i="3" s="1"/>
  <c r="N199" i="3"/>
  <c r="N216" i="3" s="1"/>
  <c r="N233" i="3" s="1"/>
  <c r="N250" i="3" s="1"/>
  <c r="N267" i="3" s="1"/>
  <c r="N367" i="3"/>
  <c r="N368" i="3"/>
  <c r="H52" i="7"/>
  <c r="I164" i="3"/>
  <c r="I159" i="3"/>
  <c r="I162" i="3"/>
  <c r="J144" i="3"/>
  <c r="J142" i="3"/>
  <c r="I143" i="3" s="1"/>
  <c r="J139" i="3"/>
  <c r="I140" i="3"/>
  <c r="J140" i="3" s="1"/>
  <c r="N141" i="3"/>
  <c r="F141" i="3"/>
  <c r="N138" i="3"/>
  <c r="F138" i="3"/>
  <c r="F133" i="3"/>
  <c r="J132" i="3"/>
  <c r="J130" i="3"/>
  <c r="I131" i="3" s="1"/>
  <c r="J127" i="3"/>
  <c r="I128" i="3"/>
  <c r="J128" i="3" s="1"/>
  <c r="N129" i="3"/>
  <c r="F129" i="3"/>
  <c r="N126" i="3"/>
  <c r="F126" i="3"/>
  <c r="J115" i="3"/>
  <c r="I116" i="3"/>
  <c r="J116" i="3" s="1"/>
  <c r="F121" i="3"/>
  <c r="N117" i="3"/>
  <c r="F117" i="3"/>
  <c r="J120" i="3"/>
  <c r="J118" i="3"/>
  <c r="I119" i="3" s="1"/>
  <c r="N114" i="3"/>
  <c r="F114" i="3"/>
  <c r="F109" i="3"/>
  <c r="I104" i="3"/>
  <c r="N104" i="3"/>
  <c r="F104" i="3"/>
  <c r="J96" i="3"/>
  <c r="I97" i="3" s="1"/>
  <c r="N95" i="3"/>
  <c r="F95" i="3"/>
  <c r="F99" i="3"/>
  <c r="N94" i="3"/>
  <c r="F94" i="3"/>
  <c r="F89" i="3"/>
  <c r="F77" i="3"/>
  <c r="F65" i="3"/>
  <c r="J88" i="3"/>
  <c r="J86" i="3"/>
  <c r="I87" i="3" s="1"/>
  <c r="J83" i="3"/>
  <c r="J71" i="3"/>
  <c r="I84" i="3"/>
  <c r="J84" i="3" s="1"/>
  <c r="N85" i="3"/>
  <c r="F85" i="3"/>
  <c r="N80" i="3"/>
  <c r="F80" i="3"/>
  <c r="J76" i="3"/>
  <c r="J74" i="3"/>
  <c r="I75" i="3" s="1"/>
  <c r="I72" i="3"/>
  <c r="J72" i="3" s="1"/>
  <c r="N73" i="3"/>
  <c r="F73" i="3"/>
  <c r="N68" i="3"/>
  <c r="F68" i="3"/>
  <c r="J62" i="3"/>
  <c r="I63" i="3" s="1"/>
  <c r="J64" i="3"/>
  <c r="J59" i="3"/>
  <c r="I60" i="3"/>
  <c r="J60" i="3" s="1"/>
  <c r="N61" i="3"/>
  <c r="F61" i="3"/>
  <c r="N56" i="3"/>
  <c r="F56" i="3"/>
  <c r="N47" i="3"/>
  <c r="F47" i="3"/>
  <c r="N39" i="3"/>
  <c r="F39" i="3"/>
  <c r="I47" i="3"/>
  <c r="J53" i="3" s="1"/>
  <c r="I39" i="3"/>
  <c r="I31" i="3"/>
  <c r="I23" i="3"/>
  <c r="I51" i="3"/>
  <c r="I43" i="3"/>
  <c r="I35" i="3"/>
  <c r="I27" i="3"/>
  <c r="F53" i="3"/>
  <c r="I52" i="3"/>
  <c r="J52" i="3" s="1"/>
  <c r="I50" i="3"/>
  <c r="I48" i="3"/>
  <c r="F45" i="3"/>
  <c r="I44" i="3"/>
  <c r="I42" i="3"/>
  <c r="I40" i="3"/>
  <c r="F37" i="3"/>
  <c r="I36" i="3"/>
  <c r="I34" i="3"/>
  <c r="I32" i="3"/>
  <c r="N31" i="3"/>
  <c r="F31" i="3"/>
  <c r="F29" i="3"/>
  <c r="I28" i="3"/>
  <c r="I26" i="3"/>
  <c r="I16" i="3"/>
  <c r="N23" i="3"/>
  <c r="F23" i="3"/>
  <c r="I24" i="3"/>
  <c r="N21" i="3"/>
  <c r="F21" i="3"/>
  <c r="I20" i="3"/>
  <c r="I15" i="3"/>
  <c r="I18" i="3"/>
  <c r="I11" i="3"/>
  <c r="I10" i="3" s="1"/>
  <c r="I49" i="3" l="1"/>
  <c r="J48" i="3" s="1"/>
  <c r="N251" i="3"/>
  <c r="N352" i="3"/>
  <c r="F643" i="3"/>
  <c r="F505" i="3"/>
  <c r="F251" i="3"/>
  <c r="J34" i="3"/>
  <c r="J11" i="3"/>
  <c r="J13" i="3"/>
  <c r="I33" i="3"/>
  <c r="J32" i="3" s="1"/>
  <c r="J37" i="3"/>
  <c r="I19" i="3"/>
  <c r="J18" i="3" s="1"/>
  <c r="J21" i="3"/>
  <c r="I25" i="3"/>
  <c r="J24" i="3" s="1"/>
  <c r="J29" i="3"/>
  <c r="I41" i="3"/>
  <c r="J40" i="3" s="1"/>
  <c r="J45" i="3"/>
  <c r="J36" i="3"/>
  <c r="J44" i="3"/>
  <c r="J20" i="3"/>
  <c r="J42" i="3"/>
  <c r="I17" i="3"/>
  <c r="J16" i="3" s="1"/>
  <c r="J50" i="3"/>
  <c r="J26" i="3"/>
  <c r="J28" i="3"/>
  <c r="N363" i="3" l="1"/>
  <c r="N490" i="3"/>
  <c r="F15" i="3"/>
  <c r="N5" i="3"/>
  <c r="N10" i="3" s="1"/>
  <c r="N15" i="3" s="1"/>
  <c r="F5" i="3"/>
  <c r="F10" i="3" s="1"/>
  <c r="I14" i="3"/>
  <c r="I9" i="3"/>
  <c r="I6" i="3"/>
  <c r="N8" i="3"/>
  <c r="N13" i="3" s="1"/>
  <c r="F8" i="3"/>
  <c r="F13" i="3" s="1"/>
  <c r="H10" i="7"/>
  <c r="H9" i="7"/>
  <c r="H8" i="7"/>
  <c r="H7" i="7"/>
  <c r="H3" i="7"/>
  <c r="H4" i="7"/>
  <c r="H5" i="7"/>
  <c r="H6" i="7"/>
  <c r="I12" i="3" l="1"/>
  <c r="I5" i="3"/>
  <c r="D261" i="1"/>
  <c r="J6" i="3" l="1"/>
  <c r="I7" i="3" s="1"/>
  <c r="J8" i="3"/>
  <c r="C682" i="6"/>
  <c r="C623" i="6"/>
  <c r="C868" i="6"/>
  <c r="C864" i="6"/>
  <c r="C863" i="6"/>
  <c r="C843" i="6"/>
  <c r="C837" i="6"/>
  <c r="C802" i="6"/>
  <c r="C796" i="6"/>
  <c r="C794" i="6"/>
  <c r="C792" i="6"/>
  <c r="C790" i="6"/>
  <c r="C788" i="6"/>
  <c r="C786" i="6"/>
  <c r="C784" i="6"/>
  <c r="C782" i="6"/>
  <c r="C780" i="6"/>
  <c r="C779" i="6"/>
  <c r="C774" i="6"/>
  <c r="C772" i="6"/>
  <c r="C684" i="6"/>
  <c r="C686" i="6"/>
  <c r="C697" i="6"/>
  <c r="C736" i="6"/>
  <c r="C771" i="6"/>
  <c r="C531" i="6"/>
  <c r="C396" i="6"/>
  <c r="C233" i="6"/>
  <c r="C203" i="6"/>
  <c r="C197" i="6"/>
  <c r="C183" i="6"/>
  <c r="C164" i="6"/>
  <c r="C124" i="6"/>
  <c r="C88" i="6"/>
  <c r="C53" i="6"/>
  <c r="C40" i="6"/>
  <c r="C25" i="6"/>
  <c r="C10" i="6"/>
  <c r="I904" i="6" l="1"/>
  <c r="I903" i="6"/>
  <c r="I902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5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2" i="6"/>
  <c r="I841" i="6"/>
  <c r="I840" i="6"/>
  <c r="I839" i="6"/>
  <c r="I838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1" i="6"/>
  <c r="I800" i="6"/>
  <c r="I799" i="6"/>
  <c r="I798" i="6"/>
  <c r="I797" i="6"/>
  <c r="I795" i="6"/>
  <c r="I793" i="6"/>
  <c r="I791" i="6"/>
  <c r="I789" i="6"/>
  <c r="I787" i="6"/>
  <c r="I785" i="6"/>
  <c r="I783" i="6"/>
  <c r="I781" i="6"/>
  <c r="I778" i="6"/>
  <c r="I777" i="6"/>
  <c r="I776" i="6"/>
  <c r="I775" i="6"/>
  <c r="I773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6" i="6"/>
  <c r="I695" i="6"/>
  <c r="I694" i="6"/>
  <c r="I693" i="6"/>
  <c r="I692" i="6"/>
  <c r="I691" i="6"/>
  <c r="I690" i="6"/>
  <c r="I689" i="6"/>
  <c r="I688" i="6"/>
  <c r="I687" i="6"/>
  <c r="I685" i="6"/>
  <c r="I683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5" i="6"/>
  <c r="I664" i="6"/>
  <c r="I663" i="6"/>
  <c r="I662" i="6"/>
  <c r="I661" i="6"/>
  <c r="I660" i="6"/>
  <c r="I659" i="6"/>
  <c r="I658" i="6"/>
  <c r="I657" i="6"/>
  <c r="I656" i="6"/>
  <c r="I654" i="6"/>
  <c r="I653" i="6"/>
  <c r="I652" i="6"/>
  <c r="I651" i="6"/>
  <c r="I650" i="6"/>
  <c r="I649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2" i="6"/>
  <c r="I631" i="6"/>
  <c r="I630" i="6"/>
  <c r="I629" i="6"/>
  <c r="I628" i="6"/>
  <c r="I627" i="6"/>
  <c r="I626" i="6"/>
  <c r="I625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2" i="6"/>
  <c r="I201" i="6"/>
  <c r="I200" i="6"/>
  <c r="I199" i="6"/>
  <c r="I198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2" i="6"/>
  <c r="I51" i="6"/>
  <c r="I50" i="6"/>
  <c r="I49" i="6"/>
  <c r="I48" i="6"/>
  <c r="I47" i="6"/>
  <c r="I46" i="6"/>
  <c r="I45" i="6"/>
  <c r="I44" i="6"/>
  <c r="I43" i="6"/>
  <c r="I42" i="6"/>
  <c r="I41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906" i="6" l="1"/>
  <c r="K891" i="5"/>
  <c r="K890" i="5"/>
  <c r="K889" i="5"/>
  <c r="K887" i="5"/>
  <c r="K886" i="5"/>
  <c r="K885" i="5"/>
  <c r="K884" i="5"/>
  <c r="K883" i="5"/>
  <c r="K882" i="5"/>
  <c r="K881" i="5"/>
  <c r="K880" i="5"/>
  <c r="K879" i="5"/>
  <c r="K878" i="5"/>
  <c r="K877" i="5"/>
  <c r="K876" i="5"/>
  <c r="K875" i="5"/>
  <c r="K874" i="5"/>
  <c r="K873" i="5"/>
  <c r="K872" i="5"/>
  <c r="K871" i="5"/>
  <c r="K870" i="5"/>
  <c r="K869" i="5"/>
  <c r="K868" i="5"/>
  <c r="K867" i="5"/>
  <c r="K866" i="5"/>
  <c r="K865" i="5"/>
  <c r="K864" i="5"/>
  <c r="K863" i="5"/>
  <c r="K862" i="5"/>
  <c r="K861" i="5"/>
  <c r="K860" i="5"/>
  <c r="K859" i="5"/>
  <c r="K858" i="5"/>
  <c r="K856" i="5"/>
  <c r="K853" i="5"/>
  <c r="K852" i="5"/>
  <c r="K851" i="5"/>
  <c r="K850" i="5"/>
  <c r="K849" i="5"/>
  <c r="K848" i="5"/>
  <c r="K847" i="5"/>
  <c r="K846" i="5"/>
  <c r="K845" i="5"/>
  <c r="K844" i="5"/>
  <c r="K843" i="5"/>
  <c r="K842" i="5"/>
  <c r="K841" i="5"/>
  <c r="K840" i="5"/>
  <c r="K839" i="5"/>
  <c r="K838" i="5"/>
  <c r="K837" i="5"/>
  <c r="K836" i="5"/>
  <c r="K835" i="5"/>
  <c r="K833" i="5"/>
  <c r="K832" i="5"/>
  <c r="K831" i="5"/>
  <c r="K830" i="5"/>
  <c r="K829" i="5"/>
  <c r="K827" i="5"/>
  <c r="K826" i="5"/>
  <c r="K825" i="5"/>
  <c r="K824" i="5"/>
  <c r="K823" i="5"/>
  <c r="K822" i="5"/>
  <c r="K821" i="5"/>
  <c r="K820" i="5"/>
  <c r="K819" i="5"/>
  <c r="K818" i="5"/>
  <c r="K817" i="5"/>
  <c r="K816" i="5"/>
  <c r="K815" i="5"/>
  <c r="K814" i="5"/>
  <c r="K813" i="5"/>
  <c r="K812" i="5"/>
  <c r="K811" i="5"/>
  <c r="K810" i="5"/>
  <c r="K809" i="5"/>
  <c r="K808" i="5"/>
  <c r="K807" i="5"/>
  <c r="K806" i="5"/>
  <c r="K805" i="5"/>
  <c r="K804" i="5"/>
  <c r="K803" i="5"/>
  <c r="K802" i="5"/>
  <c r="K801" i="5"/>
  <c r="K800" i="5"/>
  <c r="K799" i="5"/>
  <c r="K798" i="5"/>
  <c r="K797" i="5"/>
  <c r="K796" i="5"/>
  <c r="K795" i="5"/>
  <c r="K794" i="5"/>
  <c r="K792" i="5"/>
  <c r="K791" i="5"/>
  <c r="K790" i="5"/>
  <c r="K789" i="5"/>
  <c r="K788" i="5"/>
  <c r="K786" i="5"/>
  <c r="K784" i="5"/>
  <c r="K782" i="5"/>
  <c r="K780" i="5"/>
  <c r="K778" i="5"/>
  <c r="K776" i="5"/>
  <c r="K774" i="5"/>
  <c r="K772" i="5"/>
  <c r="K769" i="5"/>
  <c r="K768" i="5"/>
  <c r="K767" i="5"/>
  <c r="K766" i="5"/>
  <c r="K764" i="5"/>
  <c r="K761" i="5"/>
  <c r="K760" i="5"/>
  <c r="K759" i="5"/>
  <c r="K758" i="5"/>
  <c r="K757" i="5"/>
  <c r="K756" i="5"/>
  <c r="K755" i="5"/>
  <c r="K754" i="5"/>
  <c r="K753" i="5"/>
  <c r="K752" i="5"/>
  <c r="K751" i="5"/>
  <c r="K750" i="5"/>
  <c r="K749" i="5"/>
  <c r="K748" i="5"/>
  <c r="K747" i="5"/>
  <c r="K746" i="5"/>
  <c r="K745" i="5"/>
  <c r="K744" i="5"/>
  <c r="K743" i="5"/>
  <c r="K742" i="5"/>
  <c r="K741" i="5"/>
  <c r="K740" i="5"/>
  <c r="K739" i="5"/>
  <c r="K738" i="5"/>
  <c r="K737" i="5"/>
  <c r="K736" i="5"/>
  <c r="K735" i="5"/>
  <c r="K734" i="5"/>
  <c r="K733" i="5"/>
  <c r="K732" i="5"/>
  <c r="K731" i="5"/>
  <c r="K730" i="5"/>
  <c r="K729" i="5"/>
  <c r="K728" i="5"/>
  <c r="K726" i="5"/>
  <c r="K725" i="5"/>
  <c r="K724" i="5"/>
  <c r="K723" i="5"/>
  <c r="K722" i="5"/>
  <c r="K721" i="5"/>
  <c r="K720" i="5"/>
  <c r="K719" i="5"/>
  <c r="K718" i="5"/>
  <c r="K717" i="5"/>
  <c r="K716" i="5"/>
  <c r="K715" i="5"/>
  <c r="K714" i="5"/>
  <c r="K713" i="5"/>
  <c r="K712" i="5"/>
  <c r="K711" i="5"/>
  <c r="K710" i="5"/>
  <c r="K709" i="5"/>
  <c r="K708" i="5"/>
  <c r="K707" i="5"/>
  <c r="K706" i="5"/>
  <c r="K705" i="5"/>
  <c r="K704" i="5"/>
  <c r="K703" i="5"/>
  <c r="K702" i="5"/>
  <c r="K701" i="5"/>
  <c r="K700" i="5"/>
  <c r="K699" i="5"/>
  <c r="K698" i="5"/>
  <c r="K697" i="5"/>
  <c r="K696" i="5"/>
  <c r="K695" i="5"/>
  <c r="K694" i="5"/>
  <c r="K693" i="5"/>
  <c r="K692" i="5"/>
  <c r="K691" i="5"/>
  <c r="K690" i="5"/>
  <c r="K689" i="5"/>
  <c r="K687" i="5"/>
  <c r="K686" i="5"/>
  <c r="K685" i="5"/>
  <c r="K684" i="5"/>
  <c r="K683" i="5"/>
  <c r="K682" i="5"/>
  <c r="K681" i="5"/>
  <c r="K680" i="5"/>
  <c r="K679" i="5"/>
  <c r="K678" i="5"/>
  <c r="K676" i="5"/>
  <c r="K674" i="5"/>
  <c r="K671" i="5"/>
  <c r="K670" i="5"/>
  <c r="K669" i="5"/>
  <c r="K668" i="5"/>
  <c r="K667" i="5"/>
  <c r="K666" i="5"/>
  <c r="K665" i="5"/>
  <c r="K664" i="5"/>
  <c r="K663" i="5"/>
  <c r="K662" i="5"/>
  <c r="K661" i="5"/>
  <c r="K660" i="5"/>
  <c r="K659" i="5"/>
  <c r="K657" i="5"/>
  <c r="K656" i="5"/>
  <c r="K655" i="5"/>
  <c r="K654" i="5"/>
  <c r="K653" i="5"/>
  <c r="K652" i="5"/>
  <c r="K651" i="5"/>
  <c r="K650" i="5"/>
  <c r="K649" i="5"/>
  <c r="K648" i="5"/>
  <c r="K646" i="5"/>
  <c r="K645" i="5"/>
  <c r="K644" i="5"/>
  <c r="K643" i="5"/>
  <c r="K642" i="5"/>
  <c r="K641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4" i="5"/>
  <c r="K623" i="5"/>
  <c r="K622" i="5"/>
  <c r="K621" i="5"/>
  <c r="K620" i="5"/>
  <c r="K619" i="5"/>
  <c r="K618" i="5"/>
  <c r="K617" i="5"/>
  <c r="K614" i="5"/>
  <c r="K613" i="5"/>
  <c r="K612" i="5"/>
  <c r="K611" i="5"/>
  <c r="K610" i="5"/>
  <c r="K609" i="5"/>
  <c r="K608" i="5"/>
  <c r="K607" i="5"/>
  <c r="K606" i="5"/>
  <c r="K605" i="5"/>
  <c r="K604" i="5"/>
  <c r="K603" i="5"/>
  <c r="K602" i="5"/>
  <c r="K601" i="5"/>
  <c r="K600" i="5"/>
  <c r="K599" i="5"/>
  <c r="K598" i="5"/>
  <c r="K597" i="5"/>
  <c r="K596" i="5"/>
  <c r="K595" i="5"/>
  <c r="K594" i="5"/>
  <c r="K593" i="5"/>
  <c r="K592" i="5"/>
  <c r="K591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7" i="5"/>
  <c r="K556" i="5"/>
  <c r="K555" i="5"/>
  <c r="K554" i="5"/>
  <c r="K553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39" i="5"/>
  <c r="K538" i="5"/>
  <c r="K537" i="5"/>
  <c r="K536" i="5"/>
  <c r="K535" i="5"/>
  <c r="K534" i="5"/>
  <c r="K533" i="5"/>
  <c r="K532" i="5"/>
  <c r="K531" i="5"/>
  <c r="K530" i="5"/>
  <c r="K529" i="5"/>
  <c r="K528" i="5"/>
  <c r="K527" i="5"/>
  <c r="K526" i="5"/>
  <c r="K525" i="5"/>
  <c r="K524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4" i="5"/>
  <c r="K193" i="5"/>
  <c r="K192" i="5"/>
  <c r="K191" i="5"/>
  <c r="K190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4" i="5"/>
  <c r="K43" i="5"/>
  <c r="K42" i="5"/>
  <c r="K41" i="5"/>
  <c r="K40" i="5"/>
  <c r="K39" i="5"/>
  <c r="K38" i="5"/>
  <c r="K37" i="5"/>
  <c r="K36" i="5"/>
  <c r="K35" i="5"/>
  <c r="K34" i="5"/>
  <c r="K33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893" i="5" l="1"/>
  <c r="J610" i="3" l="1"/>
  <c r="I270" i="3" s="1"/>
  <c r="S610" i="3"/>
  <c r="S609" i="3" s="1"/>
  <c r="T608" i="3" s="1"/>
  <c r="I268" i="3" l="1"/>
  <c r="I507" i="3"/>
  <c r="I505" i="3" s="1"/>
  <c r="J609" i="3"/>
  <c r="T630" i="3" l="1"/>
  <c r="I637" i="3"/>
  <c r="F328" i="3"/>
  <c r="F335" i="3" s="1"/>
  <c r="F341" i="3" s="1"/>
  <c r="F352" i="3" s="1"/>
  <c r="F363" i="3" s="1"/>
  <c r="F490" i="3"/>
</calcChain>
</file>

<file path=xl/sharedStrings.xml><?xml version="1.0" encoding="utf-8"?>
<sst xmlns="http://schemas.openxmlformats.org/spreadsheetml/2006/main" count="19114" uniqueCount="6569">
  <si>
    <t xml:space="preserve">Cod. Insumo              </t>
  </si>
  <si>
    <t xml:space="preserve">Desc. Insumo             </t>
  </si>
  <si>
    <t xml:space="preserve">Unid. Insumo             </t>
  </si>
  <si>
    <t xml:space="preserve">Preco Insumo             </t>
  </si>
  <si>
    <t xml:space="preserve">Preco Improd.            </t>
  </si>
  <si>
    <t>IE0001</t>
  </si>
  <si>
    <t>IE0002</t>
  </si>
  <si>
    <t>IE0003</t>
  </si>
  <si>
    <t>IE0005</t>
  </si>
  <si>
    <t>IE0006</t>
  </si>
  <si>
    <t>IE0007</t>
  </si>
  <si>
    <t>IE0009</t>
  </si>
  <si>
    <t>IE0010</t>
  </si>
  <si>
    <t>IE0011</t>
  </si>
  <si>
    <t>IE0013</t>
  </si>
  <si>
    <t>IE0014</t>
  </si>
  <si>
    <t>IE0015</t>
  </si>
  <si>
    <t>IE0016</t>
  </si>
  <si>
    <t>IE0055</t>
  </si>
  <si>
    <t>IE0056</t>
  </si>
  <si>
    <t>IE0062</t>
  </si>
  <si>
    <t>IE0063</t>
  </si>
  <si>
    <t>IE0065</t>
  </si>
  <si>
    <t>IE0066</t>
  </si>
  <si>
    <t>IE0101</t>
  </si>
  <si>
    <t>IE0102</t>
  </si>
  <si>
    <t>IE0103</t>
  </si>
  <si>
    <t>IE0104</t>
  </si>
  <si>
    <t>IE0105</t>
  </si>
  <si>
    <t>IE0106</t>
  </si>
  <si>
    <t>IE0107</t>
  </si>
  <si>
    <t>IE0108</t>
  </si>
  <si>
    <t>IE0109</t>
  </si>
  <si>
    <t>IE0110</t>
  </si>
  <si>
    <t>IE0111</t>
  </si>
  <si>
    <t>IE0112</t>
  </si>
  <si>
    <t>IE0113</t>
  </si>
  <si>
    <t>IE0114</t>
  </si>
  <si>
    <t>IE0115</t>
  </si>
  <si>
    <t>IE0116</t>
  </si>
  <si>
    <t>IE0117</t>
  </si>
  <si>
    <t>IE0118</t>
  </si>
  <si>
    <t>IE0119</t>
  </si>
  <si>
    <t>IE0121</t>
  </si>
  <si>
    <t>IE0122</t>
  </si>
  <si>
    <t>IE0123</t>
  </si>
  <si>
    <t>IE0124</t>
  </si>
  <si>
    <t>IE0126</t>
  </si>
  <si>
    <t>IE0127</t>
  </si>
  <si>
    <t>IE0128</t>
  </si>
  <si>
    <t>IE0129</t>
  </si>
  <si>
    <t>IE0138</t>
  </si>
  <si>
    <t>IE0139</t>
  </si>
  <si>
    <t>IE0142</t>
  </si>
  <si>
    <t>IE0147</t>
  </si>
  <si>
    <t>IE0149</t>
  </si>
  <si>
    <t>IE0151</t>
  </si>
  <si>
    <t>IE0153</t>
  </si>
  <si>
    <t>IE0156</t>
  </si>
  <si>
    <t>IE0160</t>
  </si>
  <si>
    <t>IE0161</t>
  </si>
  <si>
    <t>IE0201</t>
  </si>
  <si>
    <t>IE0202</t>
  </si>
  <si>
    <t>IE0203</t>
  </si>
  <si>
    <t>IE0204</t>
  </si>
  <si>
    <t>IE0205</t>
  </si>
  <si>
    <t>IE0206</t>
  </si>
  <si>
    <t>IE0207</t>
  </si>
  <si>
    <t>IE0208</t>
  </si>
  <si>
    <t>IE0209</t>
  </si>
  <si>
    <t>IE0210</t>
  </si>
  <si>
    <t>IE0211</t>
  </si>
  <si>
    <t>IE0223</t>
  </si>
  <si>
    <t>IE0225</t>
  </si>
  <si>
    <t>IE0226</t>
  </si>
  <si>
    <t>IE0301</t>
  </si>
  <si>
    <t>IE0302</t>
  </si>
  <si>
    <t>IE0303</t>
  </si>
  <si>
    <t>IE0304</t>
  </si>
  <si>
    <t>IE0305</t>
  </si>
  <si>
    <t>IE0306</t>
  </si>
  <si>
    <t>IE0307</t>
  </si>
  <si>
    <t>IE0308</t>
  </si>
  <si>
    <t>IE0309</t>
  </si>
  <si>
    <t>IE0310</t>
  </si>
  <si>
    <t>IE0311</t>
  </si>
  <si>
    <t>IE0312</t>
  </si>
  <si>
    <t>IE0313</t>
  </si>
  <si>
    <t>IE0314</t>
  </si>
  <si>
    <t>IE0316</t>
  </si>
  <si>
    <t>IE0317</t>
  </si>
  <si>
    <t>IE0318</t>
  </si>
  <si>
    <t>IE0323</t>
  </si>
  <si>
    <t>IE0330</t>
  </si>
  <si>
    <t>IE0331</t>
  </si>
  <si>
    <t>IE0332</t>
  </si>
  <si>
    <t>IE0333</t>
  </si>
  <si>
    <t>IE0334</t>
  </si>
  <si>
    <t>IE0335</t>
  </si>
  <si>
    <t>IE0336</t>
  </si>
  <si>
    <t>IE0337</t>
  </si>
  <si>
    <t>IE0338</t>
  </si>
  <si>
    <t>IE0339</t>
  </si>
  <si>
    <t>IE0340</t>
  </si>
  <si>
    <t>IE0343</t>
  </si>
  <si>
    <t>IE0400</t>
  </si>
  <si>
    <t>IE0401</t>
  </si>
  <si>
    <t>IE0402</t>
  </si>
  <si>
    <t>IE0403</t>
  </si>
  <si>
    <t>IE0404</t>
  </si>
  <si>
    <t>IE0405</t>
  </si>
  <si>
    <t>IE0406</t>
  </si>
  <si>
    <t>IE0407</t>
  </si>
  <si>
    <t>IE0408</t>
  </si>
  <si>
    <t>IE0409</t>
  </si>
  <si>
    <t>IE0410</t>
  </si>
  <si>
    <t>IE0411</t>
  </si>
  <si>
    <t>IE0412</t>
  </si>
  <si>
    <t>IE0416</t>
  </si>
  <si>
    <t>IE0421</t>
  </si>
  <si>
    <t>IE0422</t>
  </si>
  <si>
    <t>IE0427</t>
  </si>
  <si>
    <t>IE0432</t>
  </si>
  <si>
    <t>IE0433</t>
  </si>
  <si>
    <t>IE0434</t>
  </si>
  <si>
    <t>IE0501</t>
  </si>
  <si>
    <t>IE0502</t>
  </si>
  <si>
    <t>IE0503</t>
  </si>
  <si>
    <t>IE0504</t>
  </si>
  <si>
    <t>IE0505</t>
  </si>
  <si>
    <t>IE0507</t>
  </si>
  <si>
    <t>IE0508</t>
  </si>
  <si>
    <t>IE0509</t>
  </si>
  <si>
    <t>IE0601</t>
  </si>
  <si>
    <t>IE0602</t>
  </si>
  <si>
    <t>IE0603</t>
  </si>
  <si>
    <t>IE0901</t>
  </si>
  <si>
    <t>IE0902</t>
  </si>
  <si>
    <t>IE0903</t>
  </si>
  <si>
    <t>IE0904</t>
  </si>
  <si>
    <t>IE0905</t>
  </si>
  <si>
    <t>IE0906</t>
  </si>
  <si>
    <t>IE0907</t>
  </si>
  <si>
    <t>IE0908</t>
  </si>
  <si>
    <t>IE0909</t>
  </si>
  <si>
    <t>IE0910</t>
  </si>
  <si>
    <t>IE0911</t>
  </si>
  <si>
    <t>IE0912</t>
  </si>
  <si>
    <t>IE0914</t>
  </si>
  <si>
    <t>IE0915</t>
  </si>
  <si>
    <t>IE0916</t>
  </si>
  <si>
    <t>IE0917</t>
  </si>
  <si>
    <t>IE0918</t>
  </si>
  <si>
    <t>IE0919</t>
  </si>
  <si>
    <t>IE0920</t>
  </si>
  <si>
    <t>IE0921</t>
  </si>
  <si>
    <t>IE0922</t>
  </si>
  <si>
    <t>IE0923</t>
  </si>
  <si>
    <t>IE0924</t>
  </si>
  <si>
    <t>IE0925</t>
  </si>
  <si>
    <t>IE2001</t>
  </si>
  <si>
    <t>IE2002</t>
  </si>
  <si>
    <t>IE2003</t>
  </si>
  <si>
    <t>IE2004</t>
  </si>
  <si>
    <t>IE2005</t>
  </si>
  <si>
    <t>IE2007</t>
  </si>
  <si>
    <t>IE2009</t>
  </si>
  <si>
    <t>IE2010</t>
  </si>
  <si>
    <t>IE2011</t>
  </si>
  <si>
    <t>IE2012</t>
  </si>
  <si>
    <t>IE2013</t>
  </si>
  <si>
    <t>IE2014</t>
  </si>
  <si>
    <t>IE2015</t>
  </si>
  <si>
    <t>IE2016</t>
  </si>
  <si>
    <t>IE2017</t>
  </si>
  <si>
    <t>IE2018</t>
  </si>
  <si>
    <t>IE2019</t>
  </si>
  <si>
    <t>IE2020</t>
  </si>
  <si>
    <t>IE2021</t>
  </si>
  <si>
    <t>IE2022</t>
  </si>
  <si>
    <t>IE2023</t>
  </si>
  <si>
    <t>IE2024</t>
  </si>
  <si>
    <t>IE2025</t>
  </si>
  <si>
    <t>IE2026</t>
  </si>
  <si>
    <t>IE2027</t>
  </si>
  <si>
    <t>IE2028</t>
  </si>
  <si>
    <t>IE2029</t>
  </si>
  <si>
    <t>IE2030</t>
  </si>
  <si>
    <t>COMP. P/EQUIPAMENTO:MAQUESONDA 361.01 Nº 0007 - TRIPE P/SONDA</t>
  </si>
  <si>
    <t>IE2031</t>
  </si>
  <si>
    <t>IE2032</t>
  </si>
  <si>
    <t>IE2033</t>
  </si>
  <si>
    <t>IE2036</t>
  </si>
  <si>
    <t>COMP. P/ EQUIPAMENTO: BHEMEL : P/ 3 M3 - CAMPÂNULA DE AR COMP</t>
  </si>
  <si>
    <t>IE2037</t>
  </si>
  <si>
    <t>IE2038</t>
  </si>
  <si>
    <t>IE2041</t>
  </si>
  <si>
    <t>IE2057</t>
  </si>
  <si>
    <t>IE2059</t>
  </si>
  <si>
    <t>IE2063</t>
  </si>
  <si>
    <t>IE2065</t>
  </si>
  <si>
    <t>IE2067</t>
  </si>
  <si>
    <t>IE2070</t>
  </si>
  <si>
    <t>IE2073</t>
  </si>
  <si>
    <t>IE2075</t>
  </si>
  <si>
    <t>IE2083</t>
  </si>
  <si>
    <t>IE2084</t>
  </si>
  <si>
    <t>IE2086</t>
  </si>
  <si>
    <t>IE2087</t>
  </si>
  <si>
    <t>IE2088</t>
  </si>
  <si>
    <t>COMP. P/ EQUIPAMENTO: SERVIMAQ C/ 30 ANÉIS FORMA P/TUBO D=0,2</t>
  </si>
  <si>
    <t>IE2089</t>
  </si>
  <si>
    <t>COMP. P/ EQUIPAMENTO: SERVIMAQ C/ 30 ANÉIS FORMA P/TUDO D=0,3</t>
  </si>
  <si>
    <t>IE2090</t>
  </si>
  <si>
    <t>COMP. P/ EQUIPAMENTO: SERVIMAQ C/ 30 ANÉIS FORMA P/TUBO D=0,4</t>
  </si>
  <si>
    <t>IE2091</t>
  </si>
  <si>
    <t>COMP. P/ EQUIPAMENTO: SERVIMAQ C/ 30 ANÉIS FORMA P/TUDO D=0,6</t>
  </si>
  <si>
    <t>IE2092</t>
  </si>
  <si>
    <t>COMP. P/ EQUIPAMENTO: SERVIMAQ C/ 20 ANÉIS FORMA P/TUBO D=0,8</t>
  </si>
  <si>
    <t>IE2093</t>
  </si>
  <si>
    <t>COMP. P/ EQUIPAMENTO: SERVIMAQ C/ 15 ANÉIS FORMA P/TUBO D=1,0</t>
  </si>
  <si>
    <t>IE2094</t>
  </si>
  <si>
    <t>COMP. P/ EQUIPAMENTO: SERVIMAQ C/ 10 ANÉIS FORMA P/TUBO D=1,2</t>
  </si>
  <si>
    <t>IE2095</t>
  </si>
  <si>
    <t>IE2096</t>
  </si>
  <si>
    <t>IE2097</t>
  </si>
  <si>
    <t>IE2098</t>
  </si>
  <si>
    <t>IE2099</t>
  </si>
  <si>
    <t>IE2100</t>
  </si>
  <si>
    <t>IE2101</t>
  </si>
  <si>
    <t>IE2102</t>
  </si>
  <si>
    <t>IE2103</t>
  </si>
  <si>
    <t>IE2105</t>
  </si>
  <si>
    <t>IE2106</t>
  </si>
  <si>
    <t>IE2107</t>
  </si>
  <si>
    <t>IE2108</t>
  </si>
  <si>
    <t>COMP. P/ EQUIPAMENTO: CIFALI : MULTIFLEX P/ 12M3 SEMI-REBOQUE</t>
  </si>
  <si>
    <t>IE2109</t>
  </si>
  <si>
    <t>IE2110</t>
  </si>
  <si>
    <t>IH0000</t>
  </si>
  <si>
    <t>IH0301</t>
  </si>
  <si>
    <t>IH0302</t>
  </si>
  <si>
    <t>IH0303</t>
  </si>
  <si>
    <t>IH0311</t>
  </si>
  <si>
    <t>IH0312</t>
  </si>
  <si>
    <t>IH0313</t>
  </si>
  <si>
    <t>IH0314</t>
  </si>
  <si>
    <t>IH0401</t>
  </si>
  <si>
    <t>IH0501</t>
  </si>
  <si>
    <t>IH0511</t>
  </si>
  <si>
    <t>IH0512</t>
  </si>
  <si>
    <t>IH0601</t>
  </si>
  <si>
    <t>IH0602</t>
  </si>
  <si>
    <t>IH0603</t>
  </si>
  <si>
    <t>IH0604</t>
  </si>
  <si>
    <t>IH0605</t>
  </si>
  <si>
    <t>IH0606</t>
  </si>
  <si>
    <t>IH0607</t>
  </si>
  <si>
    <t>IH0608</t>
  </si>
  <si>
    <t>IH0609</t>
  </si>
  <si>
    <t>IH0610</t>
  </si>
  <si>
    <t>IH0701</t>
  </si>
  <si>
    <t>IH0702</t>
  </si>
  <si>
    <t>IH0801</t>
  </si>
  <si>
    <t>IM0001</t>
  </si>
  <si>
    <t>IM0002</t>
  </si>
  <si>
    <t>IM0003</t>
  </si>
  <si>
    <t>IM0004</t>
  </si>
  <si>
    <t>IM0005</t>
  </si>
  <si>
    <t>IM0101</t>
  </si>
  <si>
    <t>IM0102</t>
  </si>
  <si>
    <t>IM0103</t>
  </si>
  <si>
    <t>IM0104</t>
  </si>
  <si>
    <t>IM0105</t>
  </si>
  <si>
    <t>IM0106</t>
  </si>
  <si>
    <t>IM0107</t>
  </si>
  <si>
    <t>IM0108</t>
  </si>
  <si>
    <t>IM0109</t>
  </si>
  <si>
    <t>IM0110</t>
  </si>
  <si>
    <t>IM0111</t>
  </si>
  <si>
    <t>IM0112</t>
  </si>
  <si>
    <t>IM0114</t>
  </si>
  <si>
    <t>IM0115</t>
  </si>
  <si>
    <t>IM0116</t>
  </si>
  <si>
    <t>IM0117</t>
  </si>
  <si>
    <t>IM0118</t>
  </si>
  <si>
    <t>IM0201</t>
  </si>
  <si>
    <t>IM0202</t>
  </si>
  <si>
    <t>IM0203</t>
  </si>
  <si>
    <t>IM0204</t>
  </si>
  <si>
    <t>IM0205</t>
  </si>
  <si>
    <t>IM0206</t>
  </si>
  <si>
    <t>IM0207</t>
  </si>
  <si>
    <t>IM0208</t>
  </si>
  <si>
    <t>IM0209</t>
  </si>
  <si>
    <t>IM0210</t>
  </si>
  <si>
    <t>IM0211</t>
  </si>
  <si>
    <t>IM0212</t>
  </si>
  <si>
    <t>IM0213</t>
  </si>
  <si>
    <t>IM0214</t>
  </si>
  <si>
    <t>IM0215</t>
  </si>
  <si>
    <t>IM0216</t>
  </si>
  <si>
    <t>IM0217</t>
  </si>
  <si>
    <t>IM0218</t>
  </si>
  <si>
    <t>IM0219</t>
  </si>
  <si>
    <t>IM0220</t>
  </si>
  <si>
    <t>IM0221</t>
  </si>
  <si>
    <t>IM0222</t>
  </si>
  <si>
    <t>IM0307</t>
  </si>
  <si>
    <t>IM0319</t>
  </si>
  <si>
    <t>IM0320</t>
  </si>
  <si>
    <t>IM0321</t>
  </si>
  <si>
    <t>IM0322</t>
  </si>
  <si>
    <t>IM0323</t>
  </si>
  <si>
    <t>IM0324</t>
  </si>
  <si>
    <t>IM0325</t>
  </si>
  <si>
    <t>IM0326</t>
  </si>
  <si>
    <t>IM0328</t>
  </si>
  <si>
    <t>IM0330</t>
  </si>
  <si>
    <t>IM0331</t>
  </si>
  <si>
    <t>IM0332</t>
  </si>
  <si>
    <t>IM0334</t>
  </si>
  <si>
    <t>IM0335</t>
  </si>
  <si>
    <t>IM0338</t>
  </si>
  <si>
    <t>IM0339</t>
  </si>
  <si>
    <t>IM0340</t>
  </si>
  <si>
    <t>IM0341</t>
  </si>
  <si>
    <t>IM0342</t>
  </si>
  <si>
    <t>IM0343</t>
  </si>
  <si>
    <t>IM0344</t>
  </si>
  <si>
    <t>IM0345</t>
  </si>
  <si>
    <t>IM0346</t>
  </si>
  <si>
    <t>IM0347</t>
  </si>
  <si>
    <t>IM0348</t>
  </si>
  <si>
    <t>IM0349</t>
  </si>
  <si>
    <t>IM0350</t>
  </si>
  <si>
    <t>IM0351</t>
  </si>
  <si>
    <t>IM0352</t>
  </si>
  <si>
    <t>IM0353</t>
  </si>
  <si>
    <t>IM0354</t>
  </si>
  <si>
    <t>IM0355</t>
  </si>
  <si>
    <t>IM0356</t>
  </si>
  <si>
    <t>IM0357</t>
  </si>
  <si>
    <t>IM0358</t>
  </si>
  <si>
    <t>IM0359</t>
  </si>
  <si>
    <t>IM0360</t>
  </si>
  <si>
    <t>IM0361</t>
  </si>
  <si>
    <t>IM0362</t>
  </si>
  <si>
    <t>IM0363</t>
  </si>
  <si>
    <t>IM0364</t>
  </si>
  <si>
    <t>IM0365</t>
  </si>
  <si>
    <t>IM0366</t>
  </si>
  <si>
    <t>IM0367</t>
  </si>
  <si>
    <t>IM0368</t>
  </si>
  <si>
    <t>IM0369</t>
  </si>
  <si>
    <t>IM0370</t>
  </si>
  <si>
    <t>IM0371</t>
  </si>
  <si>
    <t>IM0372</t>
  </si>
  <si>
    <t>IM0373</t>
  </si>
  <si>
    <t>IM0374</t>
  </si>
  <si>
    <t>IM0375</t>
  </si>
  <si>
    <t>IM0376</t>
  </si>
  <si>
    <t>IM0377</t>
  </si>
  <si>
    <t>IM0378</t>
  </si>
  <si>
    <t>IM0380</t>
  </si>
  <si>
    <t>IM0381</t>
  </si>
  <si>
    <t>IM0382</t>
  </si>
  <si>
    <t>IM0383</t>
  </si>
  <si>
    <t>IM0384</t>
  </si>
  <si>
    <t>IM0385</t>
  </si>
  <si>
    <t>IM0386</t>
  </si>
  <si>
    <t>IM0387</t>
  </si>
  <si>
    <t>IM0390</t>
  </si>
  <si>
    <t>IM0391</t>
  </si>
  <si>
    <t>IM0392</t>
  </si>
  <si>
    <t>IM0393</t>
  </si>
  <si>
    <t>IM0394</t>
  </si>
  <si>
    <t>IM0395</t>
  </si>
  <si>
    <t>IM0396</t>
  </si>
  <si>
    <t>IM0397</t>
  </si>
  <si>
    <t>IM0398</t>
  </si>
  <si>
    <t>IM0401</t>
  </si>
  <si>
    <t>IM0402</t>
  </si>
  <si>
    <t>IM0403</t>
  </si>
  <si>
    <t>IM0404</t>
  </si>
  <si>
    <t>IM0405</t>
  </si>
  <si>
    <t>IM0406</t>
  </si>
  <si>
    <t>IM0407</t>
  </si>
  <si>
    <t>IM0408</t>
  </si>
  <si>
    <t>IM0409</t>
  </si>
  <si>
    <t>IM0410</t>
  </si>
  <si>
    <t>IM0411</t>
  </si>
  <si>
    <t>IM0412</t>
  </si>
  <si>
    <t>IM0413</t>
  </si>
  <si>
    <t>IM0414</t>
  </si>
  <si>
    <t>IM0415</t>
  </si>
  <si>
    <t>IM0416</t>
  </si>
  <si>
    <t>IM0417</t>
  </si>
  <si>
    <t>IM0418</t>
  </si>
  <si>
    <t>IM0501</t>
  </si>
  <si>
    <t>IM0503</t>
  </si>
  <si>
    <t>IM0505</t>
  </si>
  <si>
    <t>IM0507</t>
  </si>
  <si>
    <t>IM0508</t>
  </si>
  <si>
    <t>IM0600</t>
  </si>
  <si>
    <t>IM0601</t>
  </si>
  <si>
    <t>IM0602</t>
  </si>
  <si>
    <t>IM0603</t>
  </si>
  <si>
    <t>IM0604</t>
  </si>
  <si>
    <t>IM0605</t>
  </si>
  <si>
    <t>IM0606</t>
  </si>
  <si>
    <t>IM0607</t>
  </si>
  <si>
    <t>IM0608</t>
  </si>
  <si>
    <t>IM0609</t>
  </si>
  <si>
    <t>IM0610</t>
  </si>
  <si>
    <t>IM0611</t>
  </si>
  <si>
    <t>IM0612</t>
  </si>
  <si>
    <t>IM0613</t>
  </si>
  <si>
    <t>IM0614</t>
  </si>
  <si>
    <t>IM0615</t>
  </si>
  <si>
    <t>IM0616</t>
  </si>
  <si>
    <t>IM0617</t>
  </si>
  <si>
    <t>IM0618</t>
  </si>
  <si>
    <t>IM0619</t>
  </si>
  <si>
    <t>IM0620</t>
  </si>
  <si>
    <t>IM0621</t>
  </si>
  <si>
    <t>IM0622</t>
  </si>
  <si>
    <t>IM0623</t>
  </si>
  <si>
    <t>IM0624</t>
  </si>
  <si>
    <t>IM0625</t>
  </si>
  <si>
    <t>IM0626</t>
  </si>
  <si>
    <t>IM0630</t>
  </si>
  <si>
    <t>IM0700</t>
  </si>
  <si>
    <t>IM0702</t>
  </si>
  <si>
    <t>IM0703</t>
  </si>
  <si>
    <t>IM0704</t>
  </si>
  <si>
    <t>IM0705</t>
  </si>
  <si>
    <t>IM0709</t>
  </si>
  <si>
    <t>IM0710</t>
  </si>
  <si>
    <t>IM0711</t>
  </si>
  <si>
    <t>IM0712</t>
  </si>
  <si>
    <t>IM0715</t>
  </si>
  <si>
    <t>IM0801</t>
  </si>
  <si>
    <t>IM0802</t>
  </si>
  <si>
    <t>IM0803</t>
  </si>
  <si>
    <t>IM0804</t>
  </si>
  <si>
    <t>IM0901</t>
  </si>
  <si>
    <t>IM0902</t>
  </si>
  <si>
    <t>IM0903</t>
  </si>
  <si>
    <t>IM0904</t>
  </si>
  <si>
    <t>IM0905</t>
  </si>
  <si>
    <t>IM0906</t>
  </si>
  <si>
    <t>IM0907</t>
  </si>
  <si>
    <t>IM0908</t>
  </si>
  <si>
    <t>IM0909</t>
  </si>
  <si>
    <t>IM0910</t>
  </si>
  <si>
    <t>IM0911</t>
  </si>
  <si>
    <t>IM0912</t>
  </si>
  <si>
    <t>IM0913</t>
  </si>
  <si>
    <t>IM0914</t>
  </si>
  <si>
    <t>IM0915</t>
  </si>
  <si>
    <t>IM0920</t>
  </si>
  <si>
    <t>IM0921</t>
  </si>
  <si>
    <t>IM0922</t>
  </si>
  <si>
    <t>IM0923</t>
  </si>
  <si>
    <t>IM0924</t>
  </si>
  <si>
    <t>IM0925</t>
  </si>
  <si>
    <t>IM0926</t>
  </si>
  <si>
    <t>IM0927</t>
  </si>
  <si>
    <t>IM0928</t>
  </si>
  <si>
    <t>IM0929</t>
  </si>
  <si>
    <t>IM0930</t>
  </si>
  <si>
    <t>IM0935</t>
  </si>
  <si>
    <t>IM0936</t>
  </si>
  <si>
    <t>IM0937</t>
  </si>
  <si>
    <t>IM0938</t>
  </si>
  <si>
    <t>IM0939</t>
  </si>
  <si>
    <t>IM0940</t>
  </si>
  <si>
    <t>IM0941</t>
  </si>
  <si>
    <t>IM0942</t>
  </si>
  <si>
    <t>IM0945</t>
  </si>
  <si>
    <t>IM0946</t>
  </si>
  <si>
    <t>IM0947</t>
  </si>
  <si>
    <t>IM0948</t>
  </si>
  <si>
    <t>IM0949</t>
  </si>
  <si>
    <t>IM0950</t>
  </si>
  <si>
    <t>IM0951</t>
  </si>
  <si>
    <t>IM0952</t>
  </si>
  <si>
    <t>IM0953</t>
  </si>
  <si>
    <t>IM0954</t>
  </si>
  <si>
    <t>IM0955</t>
  </si>
  <si>
    <t>IM0956</t>
  </si>
  <si>
    <t>IM0957</t>
  </si>
  <si>
    <t>IM0958</t>
  </si>
  <si>
    <t>IM0960</t>
  </si>
  <si>
    <t>IM0961</t>
  </si>
  <si>
    <t>IM0962</t>
  </si>
  <si>
    <t>IM0963</t>
  </si>
  <si>
    <t>IM0968</t>
  </si>
  <si>
    <t>IM0969</t>
  </si>
  <si>
    <t>IM0970</t>
  </si>
  <si>
    <t>IM0971</t>
  </si>
  <si>
    <t>IM0972</t>
  </si>
  <si>
    <t>IM0973</t>
  </si>
  <si>
    <t>IM0974</t>
  </si>
  <si>
    <t>IM0975</t>
  </si>
  <si>
    <t>IM0976</t>
  </si>
  <si>
    <t>IM0977</t>
  </si>
  <si>
    <t>IM0980</t>
  </si>
  <si>
    <t>IM0982</t>
  </si>
  <si>
    <t>IM0983</t>
  </si>
  <si>
    <t>IM0984</t>
  </si>
  <si>
    <t>IM0985</t>
  </si>
  <si>
    <t>IM0986</t>
  </si>
  <si>
    <t>IM0987</t>
  </si>
  <si>
    <t>IM0988</t>
  </si>
  <si>
    <t>IM0996</t>
  </si>
  <si>
    <t>IM0997</t>
  </si>
  <si>
    <t>IM0998</t>
  </si>
  <si>
    <t>IM0999</t>
  </si>
  <si>
    <t>IN0001</t>
  </si>
  <si>
    <t>IN0002</t>
  </si>
  <si>
    <t>IN0003</t>
  </si>
  <si>
    <t>IN0004</t>
  </si>
  <si>
    <t>IN0005</t>
  </si>
  <si>
    <t>IN0006</t>
  </si>
  <si>
    <t>IN0007</t>
  </si>
  <si>
    <t>IN0008</t>
  </si>
  <si>
    <t>IN0009</t>
  </si>
  <si>
    <t>IN0010</t>
  </si>
  <si>
    <t>IN0011</t>
  </si>
  <si>
    <t>IN0012</t>
  </si>
  <si>
    <t>IN0013</t>
  </si>
  <si>
    <t>IN0019</t>
  </si>
  <si>
    <t>IN0020</t>
  </si>
  <si>
    <t>IN0025</t>
  </si>
  <si>
    <t>IN0026</t>
  </si>
  <si>
    <t>IN0027</t>
  </si>
  <si>
    <t>IN0028</t>
  </si>
  <si>
    <t>IN0029</t>
  </si>
  <si>
    <t>IN0030</t>
  </si>
  <si>
    <t>IN0035</t>
  </si>
  <si>
    <t>IN0036</t>
  </si>
  <si>
    <t>IN0037</t>
  </si>
  <si>
    <t>IN0801</t>
  </si>
  <si>
    <t>IN0802</t>
  </si>
  <si>
    <t>IN0803</t>
  </si>
  <si>
    <t>IN0804</t>
  </si>
  <si>
    <t>IN0805</t>
  </si>
  <si>
    <t>IN0807</t>
  </si>
  <si>
    <t>IN0808</t>
  </si>
  <si>
    <t>IN0809</t>
  </si>
  <si>
    <t>IN0810</t>
  </si>
  <si>
    <t>IN0811</t>
  </si>
  <si>
    <t>IN0812</t>
  </si>
  <si>
    <t>IN0813</t>
  </si>
  <si>
    <t>IN0814</t>
  </si>
  <si>
    <t>IN0943</t>
  </si>
  <si>
    <t>IT0001</t>
  </si>
  <si>
    <t>IT0002</t>
  </si>
  <si>
    <t>IT0003</t>
  </si>
  <si>
    <t>IT0004</t>
  </si>
  <si>
    <t>IT0005</t>
  </si>
  <si>
    <t>IT0006</t>
  </si>
  <si>
    <t>IT0007</t>
  </si>
  <si>
    <t>IT0008</t>
  </si>
  <si>
    <t>IT0009</t>
  </si>
  <si>
    <t>IT0010</t>
  </si>
  <si>
    <t>IT0011</t>
  </si>
  <si>
    <t>IT0012</t>
  </si>
  <si>
    <t>IT0013</t>
  </si>
  <si>
    <t>IT0014</t>
  </si>
  <si>
    <t>IT0015</t>
  </si>
  <si>
    <t>IT0016</t>
  </si>
  <si>
    <t>IT0017</t>
  </si>
  <si>
    <t>IT0018</t>
  </si>
  <si>
    <t>IT0019</t>
  </si>
  <si>
    <t>IT0020</t>
  </si>
  <si>
    <t>IT0021</t>
  </si>
  <si>
    <t>IT0022</t>
  </si>
  <si>
    <t>IT0023</t>
  </si>
  <si>
    <t>IT0024</t>
  </si>
  <si>
    <t>IT0025</t>
  </si>
  <si>
    <t>IT0026</t>
  </si>
  <si>
    <t>IT0027</t>
  </si>
  <si>
    <t>IT0028</t>
  </si>
  <si>
    <t>IT0029</t>
  </si>
  <si>
    <t>IT0030</t>
  </si>
  <si>
    <t>IT0031</t>
  </si>
  <si>
    <t>IT0032</t>
  </si>
  <si>
    <t>IT0033</t>
  </si>
  <si>
    <t>IT0034</t>
  </si>
  <si>
    <t>IT0035</t>
  </si>
  <si>
    <t>IT0036</t>
  </si>
  <si>
    <t>IT0037</t>
  </si>
  <si>
    <t>IT0038</t>
  </si>
  <si>
    <t>IT0039</t>
  </si>
  <si>
    <t>IT0040</t>
  </si>
  <si>
    <t>IT0041</t>
  </si>
  <si>
    <t>IT0042</t>
  </si>
  <si>
    <t>IT0043</t>
  </si>
  <si>
    <t>IT0044</t>
  </si>
  <si>
    <t>IT0045</t>
  </si>
  <si>
    <t>IT0046</t>
  </si>
  <si>
    <t>IT0047</t>
  </si>
  <si>
    <t>IT0048</t>
  </si>
  <si>
    <t>IT0049</t>
  </si>
  <si>
    <t>IT0050</t>
  </si>
  <si>
    <t>IT0051</t>
  </si>
  <si>
    <t>IT0052</t>
  </si>
  <si>
    <t>IT0053</t>
  </si>
  <si>
    <t>IT0054</t>
  </si>
  <si>
    <t>IT0055</t>
  </si>
  <si>
    <t>IT0056</t>
  </si>
  <si>
    <t>IT0057</t>
  </si>
  <si>
    <t>IT0058</t>
  </si>
  <si>
    <t>IT0059</t>
  </si>
  <si>
    <t>IT0060</t>
  </si>
  <si>
    <t>IT0061</t>
  </si>
  <si>
    <t>IT0062</t>
  </si>
  <si>
    <t>IT0063</t>
  </si>
  <si>
    <t>IT0064</t>
  </si>
  <si>
    <t>IT0065</t>
  </si>
  <si>
    <t>IT0066</t>
  </si>
  <si>
    <t>IT0067</t>
  </si>
  <si>
    <t>IT0068</t>
  </si>
  <si>
    <t>IT0069</t>
  </si>
  <si>
    <t>IT0070</t>
  </si>
  <si>
    <t>IT0071</t>
  </si>
  <si>
    <t>IT0072</t>
  </si>
  <si>
    <t>IT0073</t>
  </si>
  <si>
    <t>IT0074</t>
  </si>
  <si>
    <t>IT0075</t>
  </si>
  <si>
    <t>IT0076</t>
  </si>
  <si>
    <t>IT0077</t>
  </si>
  <si>
    <t>IT0078</t>
  </si>
  <si>
    <t>IT0079</t>
  </si>
  <si>
    <t>IT0080</t>
  </si>
  <si>
    <t>IT0081</t>
  </si>
  <si>
    <t>IT0082</t>
  </si>
  <si>
    <t>IT0083</t>
  </si>
  <si>
    <t>IT0084</t>
  </si>
  <si>
    <t>IT0085</t>
  </si>
  <si>
    <t>IT0086</t>
  </si>
  <si>
    <t>IT0087</t>
  </si>
  <si>
    <t>IT0088</t>
  </si>
  <si>
    <t>IT0089</t>
  </si>
  <si>
    <t>IT0090</t>
  </si>
  <si>
    <t>IT0091</t>
  </si>
  <si>
    <t>IT0092</t>
  </si>
  <si>
    <t>IT0093</t>
  </si>
  <si>
    <t>IT0094</t>
  </si>
  <si>
    <t>IT0095</t>
  </si>
  <si>
    <t>IT0096</t>
  </si>
  <si>
    <t>IT0097</t>
  </si>
  <si>
    <t>IT0098</t>
  </si>
  <si>
    <t>IT0099</t>
  </si>
  <si>
    <t>IT0100</t>
  </si>
  <si>
    <t>IT0101</t>
  </si>
  <si>
    <t>IT0102</t>
  </si>
  <si>
    <t>IT0103</t>
  </si>
  <si>
    <t>IT0104</t>
  </si>
  <si>
    <t>IT0105</t>
  </si>
  <si>
    <t>IT0106</t>
  </si>
  <si>
    <t>IT0107</t>
  </si>
  <si>
    <t>IT0108</t>
  </si>
  <si>
    <t>IT0109</t>
  </si>
  <si>
    <t>IT0110</t>
  </si>
  <si>
    <t>IT0111</t>
  </si>
  <si>
    <t>IT0112</t>
  </si>
  <si>
    <t>IT0113</t>
  </si>
  <si>
    <t>IT0114</t>
  </si>
  <si>
    <t>IT0115</t>
  </si>
  <si>
    <t>IT0116</t>
  </si>
  <si>
    <t>IT0117</t>
  </si>
  <si>
    <t>IT0118</t>
  </si>
  <si>
    <t>IT0119</t>
  </si>
  <si>
    <t>IT0120</t>
  </si>
  <si>
    <t>IT0121</t>
  </si>
  <si>
    <t>IT0122</t>
  </si>
  <si>
    <t>IT0123</t>
  </si>
  <si>
    <t>IT0124</t>
  </si>
  <si>
    <t>IT0125</t>
  </si>
  <si>
    <t>IT0126</t>
  </si>
  <si>
    <t>IT0127</t>
  </si>
  <si>
    <t>IT0128</t>
  </si>
  <si>
    <t>IT0129</t>
  </si>
  <si>
    <t>IT0130</t>
  </si>
  <si>
    <t>IT0131</t>
  </si>
  <si>
    <t>IT0132</t>
  </si>
  <si>
    <t>IT0133</t>
  </si>
  <si>
    <t>IT0134</t>
  </si>
  <si>
    <t>IT0135</t>
  </si>
  <si>
    <t>IT0136</t>
  </si>
  <si>
    <t>IT0137</t>
  </si>
  <si>
    <t>IT0138</t>
  </si>
  <si>
    <t>IT0139</t>
  </si>
  <si>
    <t>IT0140</t>
  </si>
  <si>
    <t>IT0141</t>
  </si>
  <si>
    <t>IT0142</t>
  </si>
  <si>
    <t>IT0143</t>
  </si>
  <si>
    <t>IT0144</t>
  </si>
  <si>
    <t>IT0145</t>
  </si>
  <si>
    <t>IT0146</t>
  </si>
  <si>
    <t>IT0147</t>
  </si>
  <si>
    <t>IT0148</t>
  </si>
  <si>
    <t>IT0149</t>
  </si>
  <si>
    <t>IT0150</t>
  </si>
  <si>
    <t>IT0151</t>
  </si>
  <si>
    <t>IT0152</t>
  </si>
  <si>
    <t>IT0153</t>
  </si>
  <si>
    <t>IT0154</t>
  </si>
  <si>
    <t>IT0155</t>
  </si>
  <si>
    <t>IT0156</t>
  </si>
  <si>
    <t>IT0157</t>
  </si>
  <si>
    <t>IT0158</t>
  </si>
  <si>
    <t>IT0159</t>
  </si>
  <si>
    <t>IT0160</t>
  </si>
  <si>
    <t>OPERADOR DE EQUIPAMENTO LEVE 1</t>
  </si>
  <si>
    <t>TRATOR DE ESTEIRAS : NEW HOLLAND : 7D - COM LÂMINA</t>
  </si>
  <si>
    <t>TRATOR DE ESTEIRAS : CATERPILLAR : D6N - COM LÂMINA</t>
  </si>
  <si>
    <t>TRATOR DE ESTEIRAS : CATERPILLAR : D8T - COM LÂMINA</t>
  </si>
  <si>
    <t>MOTOSCRAPER : CATERPILLAR : 621H -</t>
  </si>
  <si>
    <t>MOTONIVELADORA : CATERPILLAR : 120K -</t>
  </si>
  <si>
    <t>TRATOR AGRÍCOLA : MASSEY FERGUSON : MF 4291/4 449A -</t>
  </si>
  <si>
    <t>CARREGADEIRA DE PNEUS : CATERPILLAR : 924H - 1,80 M3</t>
  </si>
  <si>
    <t>CARREGADEIRA DE PNEUS : CATERPILLAR : 950H - 3,3 M3</t>
  </si>
  <si>
    <t>RETROESCAVADEIRA : MASSEY FERGUSON : MF-86HS - DE</t>
  </si>
  <si>
    <t>ROLO COMPACTADOR : DYNAPAC : CA-250-P - PÉ DE CARNEIRO</t>
  </si>
  <si>
    <t>TRATOR DE ESTEIRAS : CATERPILLAR : D8T - COM</t>
  </si>
  <si>
    <t>CARREGADEIRA DE PNEUS : CASE : W-20 E - 1,91 M3</t>
  </si>
  <si>
    <t>ROLO COMPACTADOR : CATERPILLAR : CS423E - PÉ DE CARNEIRO</t>
  </si>
  <si>
    <t>ROLO COMPACTADOR : DYNAPAC : CT-300 - PÉ DE CARNEIRO</t>
  </si>
  <si>
    <t>ESCAVADEIRA HIDRÁULICA : CATERPILLAR : 336DL - COM</t>
  </si>
  <si>
    <t>ESCAVADEIRA HIDRÁULICA : CATERPILLAR : 320DL - C/ EST.</t>
  </si>
  <si>
    <t>DRAGA DE SUCÇÃO : DIVERSOS : - P/ EXTRAÇÃO DE AREIA 6"</t>
  </si>
  <si>
    <t>CHATA - 25M3 : DIVERSOS : - COM REBOCADOR</t>
  </si>
  <si>
    <t>GRADE DE DISCOS : MARCHESAN : - GA 24 X 24</t>
  </si>
  <si>
    <t>ROLO COMPACTADOR : DYNAPAC : CC-424HF - TANDEN VIBRAT.</t>
  </si>
  <si>
    <t>ROLO COMPACTADOR : CATERPILLAR : CS-563 E - LISO, VIBRAT.</t>
  </si>
  <si>
    <t>ROLO COMPACTADOR : DYNAPAC : CC-224HF - LISO, TANDEN</t>
  </si>
  <si>
    <t>ROLO COMPACTADOR : CATERPILLAR : PS-360 C - DE PNEUS</t>
  </si>
  <si>
    <t>USINA MISTURADORA : CIFALI : - DE SOLOS 300 T/H</t>
  </si>
  <si>
    <t>VASSOURA MECÂNICA : CMV : VM 2440 - REBOCÁVEL</t>
  </si>
  <si>
    <t>DISTRIBUIDOR DE AGREGADOS : CMV : - REBOCÁVEL</t>
  </si>
  <si>
    <t>DISTRIBUIDOR DE AGREGADOS : ROMANELLI : DAR-5000 -</t>
  </si>
  <si>
    <t>TANQUE DE ESTOCAGEM DE ASFALTO : CIFALI : - 30.000 L</t>
  </si>
  <si>
    <t>EQUIP. DISTRIBUIÇÃO DE ASFALTO : FERLEX : - MONTADO EM</t>
  </si>
  <si>
    <t>AQUECEDOR DE FLUIDO TÉRMICO : TENGE : TH III -</t>
  </si>
  <si>
    <t>USINA DE ASFALTO A QUENTE : CIFALI : DMC-2 - 40 / 60 T/H</t>
  </si>
  <si>
    <t>VIBRO-ACABADORA DE ASFALTO : CIFALI : VDA-421 - SOBRE PNEUS</t>
  </si>
  <si>
    <t>USINA MISTURADORA : TEREX : UPM F 60 - PRÉ MIST. A FRIO 60</t>
  </si>
  <si>
    <t>USINA MISTURADORA : CIFALI : - PRÉ MIST. A FRIO 30/60 T/H</t>
  </si>
  <si>
    <t>ROLO COMPACTADOR : MULLER : RT82H - ESTÁTICO TANDEN</t>
  </si>
  <si>
    <t>ROLO COMPACTADOR : DYNAPAC : CC900 - TANDEN VIBRAT. 1,6 T</t>
  </si>
  <si>
    <t>ROLO COMPACTADOR : DYNAPAC : CP 224 - DE PNEUS ESTAT.</t>
  </si>
  <si>
    <t>ROLO COMPACTADOR : DYNAPAC : CA150 STD - LISO</t>
  </si>
  <si>
    <t>EQUIP. DISTRIBUIÇÃO LAMA ASFÁLTICA : M. BENZ/CONSMAQ :</t>
  </si>
  <si>
    <t>CALDEIRA DE ASFALTO REBOCÁVEL : ALMEIDA : CAD 1500 -</t>
  </si>
  <si>
    <t>USINA DE ASFALTO A QUENTE : CIFALI : - GRAVIM 100/140 T/H</t>
  </si>
  <si>
    <t>FRESADORA A FRIO : WIRTGEN : W 100 -</t>
  </si>
  <si>
    <t>FRESADORA A FRIO : WIRTGEN : W 200 -</t>
  </si>
  <si>
    <t>RECICLADORA DE PAVIMENTO : WIRTGEN : WR 2000 - A FRIO</t>
  </si>
  <si>
    <t>RECICLADORA DE PAVIMENTO : WIRTGEN : WR 2500 S - A FRIO</t>
  </si>
  <si>
    <t>ESTABILIZADOR/RECICLADORA A FRIO : CATERPILLAR : RM-500 -</t>
  </si>
  <si>
    <t>ROLO COMPACTADOR : DYNAPAC : CA250 - LISO AUTO. VIBRAT.</t>
  </si>
  <si>
    <t>ROLO COMPACTADOR : DYNAPAC : CP274 - DE PNEUS</t>
  </si>
  <si>
    <t>USINA DE ASFALTO A QUENTE : CIFALI : CIFALI MAGNUM 120 -</t>
  </si>
  <si>
    <t>VIBRO-ACABADORA DE ASFALTO : TEREX : TEREX VDA 600 -</t>
  </si>
  <si>
    <t>ROLO COMPACTADOR : CATERPILLAR : PS-360 C - AUTOPROP. DE</t>
  </si>
  <si>
    <t>RECICLADORA DE PAVIMENTO : WIRTGEN : - A QUENTE "IN SITU"</t>
  </si>
  <si>
    <t>CARREGADEIRA DE PNEUS : CASE : SR 175 - C/ VASSOURA SPS</t>
  </si>
  <si>
    <t>FRESADORA E DISTRIBUIDORA DE SOLO : GOMACO : 9500 - PARA</t>
  </si>
  <si>
    <t>EQUIP. DISTR. DE L.A. RUPT. CONTR. : M. BENZ/CIFALI :</t>
  </si>
  <si>
    <t>COMPRESSOR DE AR : ATLAS COPCO : XAHS 157PD - 295 PCM</t>
  </si>
  <si>
    <t>COMPRESSOR DE AR : ATLAS COPCO : XAS 187PD - 400 PCM</t>
  </si>
  <si>
    <t>COMPRESSOR DE AR : ATLAS COPCO : XAS 360 CUD - 762 PCM</t>
  </si>
  <si>
    <t>MARTELETE : ATLAS COPCO : RH658-6L - PERFURATRIZ MANUAL</t>
  </si>
  <si>
    <t>PERFURATRIZ SOBRE ESTEIRAS : ATLAS COPCO : ROC 442PC -</t>
  </si>
  <si>
    <t>CONJUNTO DE BRITAGEM : DIVERSOS : NW80 100HPS-A-30</t>
  </si>
  <si>
    <t>CONJUNTO DE BRITAGEM : FAÇO : C-130 - 9 A 20 M3/H</t>
  </si>
  <si>
    <t>COMPRESSOR DE AR : ATLAS COPCO : XAHS 107PD - 200 PCM</t>
  </si>
  <si>
    <t>MARTELETE : ATLAS COPCO : TEX270 PS - ROMPEDOR 28 KG</t>
  </si>
  <si>
    <t>MARTELETE : ATLAS COPCO : TEX32 PS - ROMPEDOR 33 KG</t>
  </si>
  <si>
    <t>MÁQUINA PARA PINTURA : SHULZ : CSL 10/100 L - COMPRES. DE</t>
  </si>
  <si>
    <t>COMPRESSOR DE AR : ATLAS COPCO : XATS 167PD - 360 PCM</t>
  </si>
  <si>
    <t>CONJUNTO DE BRITAGEM : METSO SVEDALA : C96/HP-200 - 80</t>
  </si>
  <si>
    <t>CONJUNTO DE BRITAGEM - P/ RACHÃO : METSO SVEDALA : DS-96</t>
  </si>
  <si>
    <t>BETONEIRA : MENEGOTTI : - 400 L</t>
  </si>
  <si>
    <t>BETONEIRA : ALFA : - 750 L</t>
  </si>
  <si>
    <t>TRANSPORTADOR MANUAL : AJS : - CARRINHO DE MÃO 80 L</t>
  </si>
  <si>
    <t>TRANSPORTADOR MANUAL : AJS : A-15 - GERICA 180 L</t>
  </si>
  <si>
    <t>VIBRADOR DE CONCRETO : DIVERSOS : VIP-MT2 - DE</t>
  </si>
  <si>
    <t>FÁBRIC. PRÉ-MOLDADO CONCRETO : SERVIMAQ : - TUBOS D=0,2</t>
  </si>
  <si>
    <t>FÁBRIC. PRÉ-MOLDADO CONCRETO : SERVIMAQ : - TUBOS D=0,3</t>
  </si>
  <si>
    <t>FÁBRIC. PRÉ-MOLDADO CONCRETO : SERVIMAQ : - TUBOS D=0,4</t>
  </si>
  <si>
    <t>FÁBRIC. PRÉ-MOLDADO CONCRETO : SERVIMAQ : - TUBOS D=0,6</t>
  </si>
  <si>
    <t>FÁBRIC. PRÉ-MOLDADO CONCRETO : SERVIMAQ : - TUBOS D=0,8</t>
  </si>
  <si>
    <t>FÁBRIC. PRÉ-MOLDADO CONCRETO : SERVIMAQ : - TUBOS D=1,0</t>
  </si>
  <si>
    <t>FÁBRIC. PRÉ-MOLDADO CONCRETO : SERVIMAQ : - TUBOS D=1,2</t>
  </si>
  <si>
    <t>FÁBRIC. PRÉ-MOLDADO CONCRETO : SERVIMAQ : - TUBOS D=1,5</t>
  </si>
  <si>
    <t>FÁBRIC. PRÉ-MOLDADO CONCRETO : SERVIMAQ : - INST. COMPL. -</t>
  </si>
  <si>
    <t>CENTRAL DE CONCRETO : CIFALI : - 30M3/H - DOSADORA</t>
  </si>
  <si>
    <t>ESPALHADORA DE CONCRETO : GOMACO : PS 2600 -</t>
  </si>
  <si>
    <t>ACABADORA DE CONCRETO : GOMACO : GP-2600 - COM FORMA</t>
  </si>
  <si>
    <t>TEXTURIZADORA E LANÇADORA : GOMACO : TC 400 - SEM</t>
  </si>
  <si>
    <t>SERRA DE DISCO DIAMANTADO : NORTON : C13-E - PARA</t>
  </si>
  <si>
    <t>SELADORA DE JUNTAS : CRAFCO : EZ SERIE LL 500 -</t>
  </si>
  <si>
    <t>CENTRAL DE CONCRETO : CIBI : UNI-5 - 180M3 / H - DOSADORA E</t>
  </si>
  <si>
    <t>SERRA DE DISCO DIAMANTADO : CSM - MAQ. E EQUIP. PARA</t>
  </si>
  <si>
    <t>RÉGUA VIBRATÓRIA : WEBER : RV 4 - 4,25M</t>
  </si>
  <si>
    <t>SERRA DE JUNTAS : CLIPPER : DRW CLIPPER C 13 E - PARA</t>
  </si>
  <si>
    <t>FÁBRIC. PRÉ-MOLDADO CONCRETO : SERVIMAQ : - PLACAS P/</t>
  </si>
  <si>
    <t>JATEADORA DE AREIA : ANCO : ANCO BLAST CSS270 -</t>
  </si>
  <si>
    <t>BETONEIRA : MENEGOTTI : CSN CS - 600 L</t>
  </si>
  <si>
    <t>CAMINHÃO BASCULANTE : MERCEDES BENZ : ATEGO 1518/36 -</t>
  </si>
  <si>
    <t>CAMINHÃO CARROCERIA : M. BENZ / RODOEIXO : STANDART P/ 5,50</t>
  </si>
  <si>
    <t>CAMINHÃO CARROCERIA : MERCEDES BENZ : 2726 K - DE</t>
  </si>
  <si>
    <t>CAMINHÃO BASCULANTE : MERCEDES BENZ : LK 1620 - 6 M3 -</t>
  </si>
  <si>
    <t>CAMINHÃO BASCULANTE : MERCEDES BENZ : 2726 K - 10 M3 -</t>
  </si>
  <si>
    <t>CAMINHÃO BASCULANTE : MERCEDES BENZ : 2726 K - P/ ROCHA</t>
  </si>
  <si>
    <t>CAMINHÃO TANQUE : MERCEDES BENZ : ATEGO 1418/42 -</t>
  </si>
  <si>
    <t>CAMINHÃO TANQUE : MERCEDES BENZ : 2726 K - 10.000 L</t>
  </si>
  <si>
    <t>CAMINHÃO CARROCERIA : MERCEDES BENZ : 710 / 37 - 4 T</t>
  </si>
  <si>
    <t>CAMINHÃO CARROCERIA : MERCEDES BENZ : ATEGO 1418/42 -</t>
  </si>
  <si>
    <t>CAMINHÃO BASCULANTE : MERCEDES BENZ : 1215 C - 4 M3 -</t>
  </si>
  <si>
    <t>CAVALO MECÂNICO COM REBOQUE : M. BENZ/RANDON :</t>
  </si>
  <si>
    <t>VEÍCULO LEVE : VOLKSWAGEN : GOL 1000 - AUTOMÓVEL ATÉ 100</t>
  </si>
  <si>
    <t>VEÍCULO LEVE : CHEVROLET : S10 - PICK UP (4X4)</t>
  </si>
  <si>
    <t>CAMINHÃO TANQUE : MERCEDES BENZ : 2726 K - 13.000 L</t>
  </si>
  <si>
    <t>CAMINHÃO TANQUE : MERCEDES BENZ : L1620/51 - 8.000 L</t>
  </si>
  <si>
    <t>CAMINHÃO BETONEIRA : VOLKSWAGEN : CONSTELLATION</t>
  </si>
  <si>
    <t>CAMINHÃO BASCULANTE : VOLVO : FMX 6X4R - 40 T</t>
  </si>
  <si>
    <t>CAMINHÃO BASCULANTE : MERCEDES BENZ : 2726 - PARA ROCHA</t>
  </si>
  <si>
    <t>CAMINHÃO CARROCERIA : MERCEDES BENZ : L 1620/51 - C/</t>
  </si>
  <si>
    <t>GRUPO GERADOR : HEIMER : GEHM-40 - 36/40 KVA</t>
  </si>
  <si>
    <t>GRUPO GERADOR : HEIMER : GEHM-150 - 136 / 150 KVA</t>
  </si>
  <si>
    <t>GRUPO GERADOR : HEIMER : GEHM-180 - 164 / 180 KVA</t>
  </si>
  <si>
    <t>GRUPO GERADOR : HEIMER : GEHMB-360 - 288 KVA</t>
  </si>
  <si>
    <t>GRUPO GERADOR : HEIMER : GEHB-17 KVA - 17,0 / 15,5 KVA</t>
  </si>
  <si>
    <t>GRUPO GERADOR : HEIMER : GEHP-110 - 100 / 110 KVA</t>
  </si>
  <si>
    <t>GRUPO GERADOR : PRAMAC : BL 6500 E - MANUAL/ELETRICO</t>
  </si>
  <si>
    <t>GRUPO GERADOR : HEIMER : GEHMI-40 - 32,0 KVA</t>
  </si>
  <si>
    <t>ROÇADEIRA : M. FERGUSON / MARCHESAN : RAC 2 1700 BALDAN</t>
  </si>
  <si>
    <t>ROÇADEIRA : YANMAR : XTA-TC145 - EM MICRO TRATOR</t>
  </si>
  <si>
    <t>ROÇADEIRA : STIHL : FS-220 - MECÂNICA (COSTAL)</t>
  </si>
  <si>
    <t>CAMPÂNULA DE AR COMPRIMIDO : BHEMEL : - 3 M3</t>
  </si>
  <si>
    <t>BATE-ESTACAS : MAGAM : IM-750 PM - DE GRAVIDADE P/ 600 A</t>
  </si>
  <si>
    <t>BATE-ESTACAS : MAGAM : IM -1450 PM/E - DE GRAVIDADE P/</t>
  </si>
  <si>
    <t>MÁQUINA DE BANCADA : MAKSIWA : SCMA - SERRA CIRCULAR DE</t>
  </si>
  <si>
    <t>MÁQUINA MANUAL : TIRFOR : TU-L 30 - TALHA GUINCHO PARA 3 T</t>
  </si>
  <si>
    <t>COMPACTADOR MANUAL : WACKER : ES 60 - SOQUETE VIBRATÓRIO</t>
  </si>
  <si>
    <t>CONJUNTO MOTO-BOMBA : HERO : 180-SH-75 - COM MOTOR</t>
  </si>
  <si>
    <t>MÁQUINA PARA PINTURA : CONSMAQ : - PINTURA A FRIO</t>
  </si>
  <si>
    <t>EQUIP. PARA HIDROSEMEADURA : M. BENZ/CONSMAQ : 1420 -</t>
  </si>
  <si>
    <t>MÁQUINA MANUAL : BOSCH : 1361 - ESMERILHADEIRA DE DISCO</t>
  </si>
  <si>
    <t>TRIPÉ-SONDA : MAQUESONDA : MACH 850 - TRIPÉ-SONDA COM</t>
  </si>
  <si>
    <t>MÁQUINA MANUAL : BOSCH : GBS 20-2 - FURADEIRA ELÉTRICA DE</t>
  </si>
  <si>
    <t>COMPACTADOR MANUAL : WACKER : VP-2050 Y - PLACA</t>
  </si>
  <si>
    <t>VASSOURA MECÂNICA : M. BENZ/CONSMAQ : - EQUIP.</t>
  </si>
  <si>
    <t>MÁQUINA MANUAL : STIHL : MS-381 - MOTO SERRA Nº 8</t>
  </si>
  <si>
    <t>MÁQUINA DE BANCADA : FRANHO : - C-6A UNIVERSAL DE CORTE P/</t>
  </si>
  <si>
    <t>MÁQUINA DE BANCADA : HARLO : VF-8 - PRENSA EXCÊNTRICA</t>
  </si>
  <si>
    <t>MÁQUINA DE BANCADA : COR DOB IND. E COM. DE MÁQUINAS :</t>
  </si>
  <si>
    <t>MÁQUINA PARA PINTURA : ELGIMAQ : COM ASPERSÃO/EXTRUSÃO -</t>
  </si>
  <si>
    <t>FUSOR : ELGIMAQ : - 500 L</t>
  </si>
  <si>
    <t>MARTELETE : BOSCH : GBH 5-40 DCE - PERFURADOR/ ROMPEDOR</t>
  </si>
  <si>
    <t>MÁQUINA MANUAL : BOSCH : GWS 22U 7" - LIXADEIRA ELETRICA</t>
  </si>
  <si>
    <t>EQUIP. PARA SOLDA : MAX BANTAM : BANTAM 250 SERRALHEIRO -</t>
  </si>
  <si>
    <t>APLICADOR DE MATERIAL TERMOPLÁSTICO : ELGIMAQ : -</t>
  </si>
  <si>
    <t>COMP.P/EQUIPAMENTO:CATERPILLAR D8R - TRATOR DE ESTEIRAS</t>
  </si>
  <si>
    <t>COMP.P/EQUIPAMENTO:CATERPILLAR R-8 - ESCARIFICADOR</t>
  </si>
  <si>
    <t>COMP. P/ VEÍCULOS: MERCEDES BENZ : 1215 C - CHASSIS 7,1 T</t>
  </si>
  <si>
    <t>COMP. P/ VEÍCULOS: MERCEDES BENZ : L1620/51 CHASSIS 9,3 T</t>
  </si>
  <si>
    <t>COMP. P/ VEÍCULOS: MERCEDES BENZ : L 1620 6X2 CHASSIS 10,5</t>
  </si>
  <si>
    <t>COMP. P/ VEÍCULOS: MERCEDES BENZ : 710/37 - CHASSIS 4,0 T</t>
  </si>
  <si>
    <t>COMP. P/ VEÍCULOS: MERCEDES BENZ : LS 1634/45 - CAV. MEC.</t>
  </si>
  <si>
    <t>COMP. P/ VEÍCULOS: RANDON : SRCS-03 - SEMI-REBOQUE</t>
  </si>
  <si>
    <t>COMP. P/ VEÍCULOS: ROSSETTI : 4 M3 - CAÇAMBA BASCULANTE 4 m3</t>
  </si>
  <si>
    <t>COMP. P/ VEÍCULOS: ROSSETTI : 6 M3 - CAÇAMBA BASCULANTE 6 m3</t>
  </si>
  <si>
    <t>COMP. P/ VEÍCULOS: ROSSETTI : 10 M3- CAÇAMBA BASCULANTE 10m3</t>
  </si>
  <si>
    <t>COMP. P/ VEÍCULOS: ROSSETTI : 5 M3 - CAÇAMBA BASCULANTE 5 m3</t>
  </si>
  <si>
    <t>COMPONENTE PARA VEÍCULOS : DIVERSOS : STAMDART 5,5 M3 -</t>
  </si>
  <si>
    <t>COMP. P/ VEÍCULOS: DIVERSOS : 6.000 L - TANQUE DE AGUA</t>
  </si>
  <si>
    <t>COMP. P/ VEÍCULOS: DIVERSOS : 10.000 L - TANQUE DE AGUA</t>
  </si>
  <si>
    <t>COMP. P/ VEÍCULOS: CIFALI : 6.000 L / HE-C - TANQUE ASF.</t>
  </si>
  <si>
    <t>COMP. P/ VEÍCULOS: DIVERSOS : CIFALI: ESPARGIDORA-ACESSORIOS</t>
  </si>
  <si>
    <t>COMP. P/ VEÍCULOS: MAMBRINI : L 2318/51 - CARROC. MAD 7,0 m</t>
  </si>
  <si>
    <t>COMP. P/ VEÍCULOS: MAMBRINI : 709/37 - CARROC. MAD. 4,5 m</t>
  </si>
  <si>
    <t>COMP. P/ EQUIPAMENTO : CIFALI PURIFICADOR DE AR 40/60 T/H</t>
  </si>
  <si>
    <t>COMP. P/ EQUIPAMENTO: CIFALI USINA DE ASFALTO 40/60 T/H</t>
  </si>
  <si>
    <t>COMP. P/ EQUIPAMENTO: DIVERSOS VIBRADOR DE IMERSAO P/ CONCR.</t>
  </si>
  <si>
    <t>COMP. P/ EQUIPAMENTO: DIVERSOS VIP-MT2 - MOTOR P/ACIONAMENTO</t>
  </si>
  <si>
    <t>COMP. P/ VEÍCULOS: CONSMAQ : HS-06 - EQUIP. P/ HIDROSSEMEAD</t>
  </si>
  <si>
    <t>COMP. P/ EQUIPAMENTO: BOSCH : 1361 - ESMERILHADEIRA ANGULAR</t>
  </si>
  <si>
    <t>COMP. P/ EQUIPAMENTO: ITAMBE : CA-21/8" - DISCO DE CORTE</t>
  </si>
  <si>
    <t>COMP. P/EQUIPAMENTO:MAQUESONDA MACH/850 - SONDA ROTATIVA</t>
  </si>
  <si>
    <t>COMP. P/ VEÍCULOS: IDEROL : - EIXO TANDEM TIPO CORSO</t>
  </si>
  <si>
    <t>COMP. P/ VEÍCULOS: MERCEDES BENZ : 2423 K - CHASSIS 15 T</t>
  </si>
  <si>
    <t>COMP. P/ VEÍCULOS: MERCEDES BENZ : 1420 - CHASSIS 8,8 T</t>
  </si>
  <si>
    <t>COMP. P/ EQUIPAMENTO: BHEMEL : P/ 3 M3 - RESERVATÓRIO DE AR</t>
  </si>
  <si>
    <t>COMP. P/ EQUIPAMENTO: BHEMEL : P/ 3M3 - CÂMARA DE DESCOMP.</t>
  </si>
  <si>
    <t>COMP. P/ VEÍCULOS: CONSMAQ : 6M3 - VARREDORA E ASPIRAD AA-4</t>
  </si>
  <si>
    <t>COMP. P/ VEÍCULOS: DIVERSOS : ROAT 2 - 1700 - ROÇADEIRA</t>
  </si>
  <si>
    <t>COMP. P/ VEÍCULOS: CONSMAQ : LA-3 - EQUIP. P/ LAMA ASF.3 m3</t>
  </si>
  <si>
    <t>COMP. P/ VEÍCULOS: MAMBRINI : CARROCERIA DE MADEIRA 7 t</t>
  </si>
  <si>
    <t>COMP. P/ VEÍCULOS: MAMBRINI : CARROC. MADEIRA 5,4 M - 10 T</t>
  </si>
  <si>
    <t>COMP.P/EQUIPAMENTO:CATERPILLAR 8 SU - LÂMINA P/ TRATOR D8R</t>
  </si>
  <si>
    <t>COMP. P/ EQUIPAMENTO: SERVIMAQ MESA VIBR. 2X1 M MOTOR 3 CV</t>
  </si>
  <si>
    <t>COMP. P/ EQUIPAMENTO: SERVIMAQ RETO - FORMA P/ MOURAO</t>
  </si>
  <si>
    <t>COMP. P/ EQUIPAMENTO: SERVIMAQ FORMA PARA PLACAS PRE-MOLD.</t>
  </si>
  <si>
    <t>COMP. P/ EQUIPAMENTO: SERVIMAQ CARRO P/ TRANSP DE PRE-MOLD.</t>
  </si>
  <si>
    <t>COMP. P/ EQUIPAMENTO: SERVIMAQ CAVALETE MÓVEL (MANUAL)</t>
  </si>
  <si>
    <t>COMP. P/ EQUIPAMENTO: CIFALI : PURIFICADOR DE AR 100/140 T/H</t>
  </si>
  <si>
    <t>COMP. P/ EQUIPAMENTO: CIFALI : USINA ASFALTO 100/100/140 T/H</t>
  </si>
  <si>
    <t>COMP. P/ EQUIPAMENTO: SERVIMAQ C/ 5 ANÉIS FORMA P/TUBO D=1,5</t>
  </si>
  <si>
    <t>COMP. P/ VEÍCULOS: DIVERSOS : 13000 L - TANQUE DE AGUA</t>
  </si>
  <si>
    <t>COMP. P/ VEÍCULOS: DIVERSOS : 8000 L - TANQUE DE AGUA</t>
  </si>
  <si>
    <t>COMP. P/ VEÍCULOS: VOLKSWAGEN 17210 - 17 T - CHASSI CAMINHAO</t>
  </si>
  <si>
    <t>COMP. P/ VEÍCULOS: CIBI : 5M3 BETONEIRA 5M3 P/ CAMINHAO</t>
  </si>
  <si>
    <t>COMP. P/ VEÍCULOS: VOLVO : FM 12 6X4 LC CHASSIS CAMINHAO</t>
  </si>
  <si>
    <t>COMP. P/ VEÍCULOS: ROSSETTI : 12M3/14M3 - CAÇAMBA BASCULANTE</t>
  </si>
  <si>
    <t>COMP. P/ VEÍCULOS: ROSSETTI : 12M3 - CAÇAMBA BASCULANTE</t>
  </si>
  <si>
    <t>COMP. P/ VEÍCULOS: MADAL-PALFI NGER : MD-11605 - GUINDASTE</t>
  </si>
  <si>
    <t>COMP. P/ VEÍCULOS: RANDON: 8M3 CAÇAMBA BASCULANTE P/ ROCHA</t>
  </si>
  <si>
    <t>MÁQUINA PARA PINTURA : ELGIMAQ : EGM-CAF-800L - PINTURA</t>
  </si>
  <si>
    <t>MÁQUINA PARA PINTURA : ELGIMAQ : EGM-FA 1500 L - PARA</t>
  </si>
  <si>
    <t>COMP. P/ EQUIPAMENTO: SERVIMAQ FORMA P/ BALIZADOR</t>
  </si>
  <si>
    <t>COMP. P/ EQUIPAMENTO: SERVIMAQ FORMA P/ GUARDA-CORPO</t>
  </si>
  <si>
    <t>SALÁRIO MÍNIMO</t>
  </si>
  <si>
    <t>MOTORISTA DE VEÍCULO LEVE</t>
  </si>
  <si>
    <t>MOTORISTA DE CAMINHÃO</t>
  </si>
  <si>
    <t>MOTORISTA DE VEÍCULO ESPECIAL</t>
  </si>
  <si>
    <t>OPERADOR DE EQUIPAMENTO LEVE 2</t>
  </si>
  <si>
    <t>OPERADOR DE EQUIP. PESADO</t>
  </si>
  <si>
    <t>OPERADOR DE EQUIP. ESPECIAL</t>
  </si>
  <si>
    <t>PRÉ-MARCADOR</t>
  </si>
  <si>
    <t>ENCARREGADO DE TURMA</t>
  </si>
  <si>
    <t>ENCARREG. DE PAVIMENTAÇÃO</t>
  </si>
  <si>
    <t>ENCARREGADO DE BRITAGEM</t>
  </si>
  <si>
    <t>BLASTER</t>
  </si>
  <si>
    <t>MONTADOR</t>
  </si>
  <si>
    <t>CARPINTEIRO</t>
  </si>
  <si>
    <t>PEDREIRO</t>
  </si>
  <si>
    <t>ARMADOR</t>
  </si>
  <si>
    <t>FERREIRO</t>
  </si>
  <si>
    <t>PINTOR</t>
  </si>
  <si>
    <t>SOLDADOR</t>
  </si>
  <si>
    <t>JARDINEIRO</t>
  </si>
  <si>
    <t>SERRALHEIRO</t>
  </si>
  <si>
    <t>SERVENTE</t>
  </si>
  <si>
    <t>AJUDANTE</t>
  </si>
  <si>
    <t>PERFURADOR DE TUBULÃO</t>
  </si>
  <si>
    <t>GASOLINA</t>
  </si>
  <si>
    <t>OLEO DIESEL</t>
  </si>
  <si>
    <t>OLEO COMBUSTÍVEL 1A</t>
  </si>
  <si>
    <t>ALCOOL</t>
  </si>
  <si>
    <t>ENERGIA ELÉTRICA</t>
  </si>
  <si>
    <t>CIMENTO ASFÁLTICO CAP 50/70</t>
  </si>
  <si>
    <t>CIMENTO ASFÁLTICO CAP 30/45</t>
  </si>
  <si>
    <t>ASFALTO DILUÍDO CM-30</t>
  </si>
  <si>
    <t>EMULSÃO ASFÁLTICA RR-1C</t>
  </si>
  <si>
    <t>EMULSÃO ASFÁLTICA RR-2C</t>
  </si>
  <si>
    <t>EMULSÃO ASFALTICA RR1C C/ POLÍMERO</t>
  </si>
  <si>
    <t>EMULSÃO ASFÁLTICA RM-1C</t>
  </si>
  <si>
    <t>EMULSÃO ASFÁLTICA RM1C C/ POLÍMERO</t>
  </si>
  <si>
    <t>EMULSÃO ASFÁLTICA RL-1C</t>
  </si>
  <si>
    <t>EMULSÃO POLIM. P/ MICRO-REV. A FRIO</t>
  </si>
  <si>
    <t>ADIFLEX</t>
  </si>
  <si>
    <t>ADISOL</t>
  </si>
  <si>
    <t>BETUPEN AR75</t>
  </si>
  <si>
    <t>CAP 50/70 - ASFALTO BORRACHA</t>
  </si>
  <si>
    <t>CIMENTO PORTLAND CP II-32(A GRANEL)</t>
  </si>
  <si>
    <t>CIMENTO PORTLAND CP II-32</t>
  </si>
  <si>
    <t>TUBO DE CONCR ARMADO D=0,60M PA-1</t>
  </si>
  <si>
    <t>TUBO DE CONCR ARMADO D=0,80M PA-1 M</t>
  </si>
  <si>
    <t>TUBO DE CONCR ARMADO D=1,00M PA-1</t>
  </si>
  <si>
    <t>TUBO DE CONCR ARMADO D=1,20M PA-1</t>
  </si>
  <si>
    <t>TUBO DE CONCR ARMADO D=1,50M PA-1</t>
  </si>
  <si>
    <t>TUBO DE CONCR ARMADO D=0,60M PA-2</t>
  </si>
  <si>
    <t>TUBO DE CONCR ARMADO D=0,80M PA-2</t>
  </si>
  <si>
    <t>TUBO DE CONCR ARMADO D=1,00M PA-2</t>
  </si>
  <si>
    <t>TUBO DE CONCR ARMADO D=1,20M PA-2</t>
  </si>
  <si>
    <t>TUBO DE CONCR ARMADO D=1,50M PA-2</t>
  </si>
  <si>
    <t>TUBO DE CONCR ARMADO D=0,60M PA-3</t>
  </si>
  <si>
    <t>TUBO DE CONCR ARMADO D=0,80M PA-3</t>
  </si>
  <si>
    <t>TUBO DE CONCR ARMADO D=1,00M PA-3</t>
  </si>
  <si>
    <t>TUBO DE CONCR ARMADO D=1,20M PA-3</t>
  </si>
  <si>
    <t>TUBO DE CONCR ARMADO D=1,50M PA-3</t>
  </si>
  <si>
    <t>TUBO DE CONCR ARMADO D=0,60M PA-4</t>
  </si>
  <si>
    <t>TUBO DE CONCR ARMADO D=0,80M PA-4</t>
  </si>
  <si>
    <t>TUBO DE CONCR ARMADO D=1,00M PA-4</t>
  </si>
  <si>
    <t>TUBO DE CONCR ARMADO D=1,20M PA-4</t>
  </si>
  <si>
    <t>TUBO DE CONCR ARMADO D=1,50M PA-4</t>
  </si>
  <si>
    <t>CORDOALHA CP-190 RB D=12,7MM</t>
  </si>
  <si>
    <t>ARAME RECOZIDO Nº. 18</t>
  </si>
  <si>
    <t>PREGOS DE FERRO 18X30</t>
  </si>
  <si>
    <t>ARAME FARPADO Nº. 16 GALV. SIMPLES</t>
  </si>
  <si>
    <t>GRAMPO PARA CERCA GALVANIZADO 1 X 9</t>
  </si>
  <si>
    <t>CANTONEIRA DE AÇO 4" X 4" X 3/8"</t>
  </si>
  <si>
    <t>PÓRTICO METÁLICO (15 A 17M DE VÃO)</t>
  </si>
  <si>
    <t>TRILHO METÁLICO TR-37 (USADO)</t>
  </si>
  <si>
    <t>SÉRIE DE BROCAS S-12 D=22 MM</t>
  </si>
  <si>
    <t>LUVA DE EMENDA D=32MM</t>
  </si>
  <si>
    <t>CALHA MET. SEMICIRCULAR D=40 CM</t>
  </si>
  <si>
    <t>PARAF. FIXAÇÃO CALHA MET. (1/2"X1")</t>
  </si>
  <si>
    <t>PARAFUSO 1/2" X 3" COM PORCA,</t>
  </si>
  <si>
    <t>PARAF. ZINC. C/ FENDA 1 1/2"X3/16"</t>
  </si>
  <si>
    <t>PARAF. ZINCADO FRANCÊS 4" X 5/16"</t>
  </si>
  <si>
    <t>TUBO DE FERRO GALVANIZADO D=3/4"</t>
  </si>
  <si>
    <t>CANTONEIRA FERRO 2 1/2"X2 1/2"X3/8"</t>
  </si>
  <si>
    <t>TAMPÃO DE FERRO FUNDIDO</t>
  </si>
  <si>
    <t>DEFENSA MET. MALEÁVEL SIMPLES</t>
  </si>
  <si>
    <t>DEFENSA MET. MALEÁVEL DUPLA</t>
  </si>
  <si>
    <t>DEFENSA MET. SEMI-MALEÁVEL SIMPLES</t>
  </si>
  <si>
    <t>DEFENSA MET. SEMI-MALEÁVEL DUPLA</t>
  </si>
  <si>
    <t>CHAPA DE AÇO N. 28 FINA GALVANIZADA</t>
  </si>
  <si>
    <t>CHAPA DE AÇO N. 16 (TRATADA)</t>
  </si>
  <si>
    <t>DENTE P/ FRESADORA W-1000 L</t>
  </si>
  <si>
    <t>PORTA DENTE P/ FRESADORA W-1000 L</t>
  </si>
  <si>
    <t>DENTE P/ FRESADORA W-1900</t>
  </si>
  <si>
    <t>PORTA DENTE P/ FRESADORA W-1900</t>
  </si>
  <si>
    <t>ESTRUT. (TUNNEL LINER) D=1,6M GALV.</t>
  </si>
  <si>
    <t>ESTRUT. (TUNNEL LINER) D=2,0M GALV.</t>
  </si>
  <si>
    <t>ESTRUT. (TUNNEL LINER) D=1,6M EPOXY</t>
  </si>
  <si>
    <t>ESTRUT, (TUNNEL LINER) D=2,0M EPOXY</t>
  </si>
  <si>
    <t>CHAPA MULT. D=1,60 M REV. GALV.</t>
  </si>
  <si>
    <t>CHAPA MULT. D=2,00 M REV. GALV.</t>
  </si>
  <si>
    <t>CHAPA MULT. D=1,60 M REV. EPOXY</t>
  </si>
  <si>
    <t>CHAPA MULT. D=2,00 M REV. EPOXY</t>
  </si>
  <si>
    <t>PERFIL " I " W 254MM X 37,80 KG/M</t>
  </si>
  <si>
    <t>BUEIRO CHAPA MÚLT. D=3,05M E=2,70MM</t>
  </si>
  <si>
    <t>ESTRUT.(TUNNEL LINER) D=1,2M GALV.</t>
  </si>
  <si>
    <t>ESTRUT. (TUNNEL LINER) D=1,2M EPOXY</t>
  </si>
  <si>
    <t>BLOCO DE DESGASTE P/ RECICLADORAS</t>
  </si>
  <si>
    <t>PORTA DENTES P/RECICLADORAS</t>
  </si>
  <si>
    <t>DENTE DE CORTE (W6/22) P/ RECICLAD.</t>
  </si>
  <si>
    <t>DENTE DE CORTE (W7/22) P/ RECICLAD.</t>
  </si>
  <si>
    <t>PARAFUSO FIXAÇÃO PORTA DENTE</t>
  </si>
  <si>
    <t>PLUG PROTEÇÃO PARAFUSO P/RECICLAD.</t>
  </si>
  <si>
    <t>ANEL BORRACHA P/ASSENTO PORTA DENTE</t>
  </si>
  <si>
    <t>BAINHA METÁLICA DIAM. INT.=45MM MAC</t>
  </si>
  <si>
    <t>BAINHA METÁLICA DIAM. INT.=60MM MAC</t>
  </si>
  <si>
    <t>BAINHA METÁLICA DIAM. INT.=55MM MAC</t>
  </si>
  <si>
    <t>BAINHA METÁLICA DIAM. INT.=70MM MAC</t>
  </si>
  <si>
    <t>ANCORAGEM P/ CABO 4V D=1/2" MAC</t>
  </si>
  <si>
    <t>ANCORAGEM P/ CABO 6V D=1/2" MAC</t>
  </si>
  <si>
    <t>ANCORAGEM P/ CABO 7V D=1/2" MAC</t>
  </si>
  <si>
    <t>ANCORAGEM P/ CABO 12V D=1/2" MAC</t>
  </si>
  <si>
    <t>APOIO DO PORTA DENTE FREZAD. W 200</t>
  </si>
  <si>
    <t>BAINHA METÁLICA D=45MM STUP</t>
  </si>
  <si>
    <t>BAINHA METÁLICA D=60MM STUP</t>
  </si>
  <si>
    <t>BAINHA METÁLICA D=55MM STUP</t>
  </si>
  <si>
    <t>BAINHA METÁLICA D=70MM STUP</t>
  </si>
  <si>
    <t>ANCORAGEM P/ CABO 4V D=1/2" STUP</t>
  </si>
  <si>
    <t>ANCORAGEM P/ CABO 6V D=1/2" STUP</t>
  </si>
  <si>
    <t>ANCORAGEM P/ CABO 7V D=1/2" STUP</t>
  </si>
  <si>
    <t>ANCORAGEM P/ CABO 12V D=1/2" STUP</t>
  </si>
  <si>
    <t>PORCA DE ANCORAGEM D=32MM</t>
  </si>
  <si>
    <t>CONTRA PORCA H=35MM D=32MM</t>
  </si>
  <si>
    <t>AÇO ST 85/105 D=32MM</t>
  </si>
  <si>
    <t>PLACA DE ANCORAGEM - 200X200X38MM</t>
  </si>
  <si>
    <t>BAINHA METÁLICA D=40MM</t>
  </si>
  <si>
    <t>BITS P/ ESTABIL. E RECICL. RM-300</t>
  </si>
  <si>
    <t>PORTA DENTE P/ EST. E REC. RM-300</t>
  </si>
  <si>
    <t>DENTE DE CORTE PARA EQUIP. RECICL.</t>
  </si>
  <si>
    <t>CHAPA DE 8,00 MM</t>
  </si>
  <si>
    <t>PONTALETES D=15 CM (TRONCO P/ ESC.)</t>
  </si>
  <si>
    <t>PONTALETES D=20 CM (TRONCO P/ ESC.)</t>
  </si>
  <si>
    <t>MOURÃO MADEIRA H=2,10 M D=0,10 M</t>
  </si>
  <si>
    <t>MOURÃO MADEIRA H=2,20 M D=0,15 M</t>
  </si>
  <si>
    <t>RIPAS DE 2,5 CM X 5,0 CM</t>
  </si>
  <si>
    <t>CAIBROS DE 7,5 CM X 7,5 CM</t>
  </si>
  <si>
    <t>TÁBUA DE 1ª 2,5 CM X 15,0 CM</t>
  </si>
  <si>
    <t>TÁBUA DE 3ª 2,5 CM X 30,0 CM</t>
  </si>
  <si>
    <t>PRANCHÃO DE 1ª DE 5,0 CM X 30,0 CM</t>
  </si>
  <si>
    <t>COMPENSADO RESINADO DE 17 MM</t>
  </si>
  <si>
    <t>COMPENSADO PLASTIFICADO DE 17 MM</t>
  </si>
  <si>
    <t>GASTALHO 10 X 2,0 CM</t>
  </si>
  <si>
    <t>GASTALHO 10 X 2,5 CM</t>
  </si>
  <si>
    <t>PRANCHÃO 7,5 X 30,0 CM</t>
  </si>
  <si>
    <t>TÁBUA 2,5 X 22,5 CM</t>
  </si>
  <si>
    <t>MADEIRA DE LEI</t>
  </si>
  <si>
    <t>SUPORTE ECOL. SINALIZ. QUADRADO 8CM</t>
  </si>
  <si>
    <t>SUPORTE ECOL. SINALIZ. D=6,5CM</t>
  </si>
  <si>
    <t>DINAMITE A 60% (GELATINA ESPECIAL)</t>
  </si>
  <si>
    <t>ESPOLETA COMUM N. 8</t>
  </si>
  <si>
    <t>CORDEL DETONANTE NP 10</t>
  </si>
  <si>
    <t>RETARDADOR DE CORDEL</t>
  </si>
  <si>
    <t>ESTOPIM</t>
  </si>
  <si>
    <t>TINTA REFLETIVA ACRÍLICA P/ 1 ANO</t>
  </si>
  <si>
    <t>TINTA REFLETIVA ACRÍLICA</t>
  </si>
  <si>
    <t>ADUBO NPK (4.14.8)</t>
  </si>
  <si>
    <t>INSETICIDA</t>
  </si>
  <si>
    <t>ADITIVO PLASTIMENT BV-40</t>
  </si>
  <si>
    <t>COLA PARA TUBO PVC</t>
  </si>
  <si>
    <t>TINTA ANTI-CORROSIVA</t>
  </si>
  <si>
    <t>OLEO DE LINHAÇA</t>
  </si>
  <si>
    <t>DETERGENTE</t>
  </si>
  <si>
    <t>TINTA ESMALTE SINTÉTICO SEMI-FOSCO</t>
  </si>
  <si>
    <t>PINTURA EPÓXICA - BARRA D= 32MM</t>
  </si>
  <si>
    <t>REDUTOR TIPO 2002 PRIM. QUALIDADE</t>
  </si>
  <si>
    <t>LIXA PARA FERRO N. 100</t>
  </si>
  <si>
    <t>TINTA A BASE DE RESINA ALQUÍDICA</t>
  </si>
  <si>
    <t>TINTA BASE RES. ACRILICA EMUL. AGUA</t>
  </si>
  <si>
    <t>MICROESFERAS PRE-MIX</t>
  </si>
  <si>
    <t>MICROESFERAS DROP-ON</t>
  </si>
  <si>
    <t>MASSA TERMOPLÁSTICA PARA EXTRUSÃO</t>
  </si>
  <si>
    <t>MASSA TERMOPLÁSTICA PARA ASPERSÃO</t>
  </si>
  <si>
    <t>COLA POLIESTER</t>
  </si>
  <si>
    <t>PROTETOR DE CURA DO CONCRETO</t>
  </si>
  <si>
    <t>DESMOLDANTE</t>
  </si>
  <si>
    <t>INTERPLAST N</t>
  </si>
  <si>
    <t>GÁS PROPANO</t>
  </si>
  <si>
    <t>TINTA PARA PRÉ-MARCAÇÃO</t>
  </si>
  <si>
    <t>ACETILENO</t>
  </si>
  <si>
    <t>OXIGÊNIO</t>
  </si>
  <si>
    <t>TERMOPLÁSTICO PRÉ-FORMADO</t>
  </si>
  <si>
    <t>TIJOLO COMUM (5,5X10X20) CM</t>
  </si>
  <si>
    <t>CAL HIDRATADA</t>
  </si>
  <si>
    <t>TIJOLO 20 X 30 CM</t>
  </si>
  <si>
    <t>AREIA LAVADA</t>
  </si>
  <si>
    <t>PÓ DE PEDRA</t>
  </si>
  <si>
    <t>BRITA CORRIDA</t>
  </si>
  <si>
    <t>PEDRA DE MÃO</t>
  </si>
  <si>
    <t>BRITA GRADUADA USINA - BGSU</t>
  </si>
  <si>
    <t>BRITA GRAD. TRAT. C/ CIMENTO - BGTC</t>
  </si>
  <si>
    <t>PÓ CALCÁRIO DOLOMÍTICO</t>
  </si>
  <si>
    <t>MOURÃO DE CONCRETO CURVO P/CERCAS</t>
  </si>
  <si>
    <t>MOURÃO DE CONCRETO RETO P/CERCAS</t>
  </si>
  <si>
    <t>POSTE ESTICADOR</t>
  </si>
  <si>
    <t>POSTE CURVO</t>
  </si>
  <si>
    <t>APARELHO DE APOIO NEOPRENE FRETADO</t>
  </si>
  <si>
    <t>TUBO DE PVC D=75 MM</t>
  </si>
  <si>
    <t>GEOTÊXTIL NÃO TECIDO AGULHADO RT-09</t>
  </si>
  <si>
    <t>GEOTÊXTIL NÃO TECIDO AGULHADO RT-14</t>
  </si>
  <si>
    <t>FILLER</t>
  </si>
  <si>
    <t>SEMENTES P/ HIDROSSEMEADURA</t>
  </si>
  <si>
    <t>ADUBO ORGÂNICO</t>
  </si>
  <si>
    <t>ELETRODO E7018</t>
  </si>
  <si>
    <t>TUBO DE PVC PERFURADO D= 150 MM</t>
  </si>
  <si>
    <t>TUBO DE PVC RÍGIDO D=50 MM</t>
  </si>
  <si>
    <t>TUBO DE PVC D=100 MM</t>
  </si>
  <si>
    <t>TUBO DRENO PEAD ESPIRALADO D=80MM</t>
  </si>
  <si>
    <t>TUBO DRENO PEAD ESPIRALADO D=100MM</t>
  </si>
  <si>
    <t>TUBO DRENO PEAD ESPIRALADO D= 170MM</t>
  </si>
  <si>
    <t>TUBO DRENO PEAD ESPIRALADO D= 230MM</t>
  </si>
  <si>
    <t>MEIO TUBO DE CONCRETO D=40 CM</t>
  </si>
  <si>
    <t>GABIÃO CAIXA 2X1X0,50M ZN/AL</t>
  </si>
  <si>
    <t>GABIÃO CAIXA 2X1X1M ZN/AL UN</t>
  </si>
  <si>
    <t>GABIÃO CAIXA 2X1X1M ZN/AL+PVC</t>
  </si>
  <si>
    <t>GABIÃO CAIXA 2X1X0,50M ZN/AL+PVC</t>
  </si>
  <si>
    <t>GABIÃO SACO ZN/AL+PVC</t>
  </si>
  <si>
    <t>GABIÃO COLCHÃO ZN/AL+PVC 4X2X0,23M</t>
  </si>
  <si>
    <t>GABIÃO COLCHÃO ZN/AL+PVC 4X2X0,30M</t>
  </si>
  <si>
    <t>MALHA 8X10 D=2,7MM ZN/AL</t>
  </si>
  <si>
    <t>MALHA 8X10 D=2,4MM ZN/AL+PVC</t>
  </si>
  <si>
    <t>GABIÃO CAIXA 2X1X1M ZINCO/ALUMÍNIO</t>
  </si>
  <si>
    <t>TERRA ARM. ECE - GREIDE 0&lt;H&lt;6M</t>
  </si>
  <si>
    <t>TERRA ARM. ECE - GREIDE 6&lt;H&lt;9M</t>
  </si>
  <si>
    <t>TERRA ARM. ECE - GREIDE 9&lt;H&lt;12M</t>
  </si>
  <si>
    <t>TERRA ARM. ECE- PÉ TALUDE 0&lt;H&lt;6M</t>
  </si>
  <si>
    <t>TERRA ARM. ECE- PÉ TALUDE 6&lt;H&lt;9M</t>
  </si>
  <si>
    <t>TERRA ARM. ECE- PÉ TALUDE 9&lt;H&lt;12M</t>
  </si>
  <si>
    <t>TERRA ARM. ECE-ENC. PORTANTE 0&lt;H&lt;6M</t>
  </si>
  <si>
    <t>TERRA ARM. ECE-ENC. PORTANTE 6&lt;H&lt;9M</t>
  </si>
  <si>
    <t>HASTE PARA PERFURATRIZ DE ESTEIRA</t>
  </si>
  <si>
    <t>LUVA PARA PERFURATRIZ DE ESTEIRA</t>
  </si>
  <si>
    <t>PUNHO PARA PERFURATRIZ DE ESTEIRA</t>
  </si>
  <si>
    <t>COROA PARA PERFURATRIZ DE ESTEIRA</t>
  </si>
  <si>
    <t>DISCO DIAM. SERRA ASFALTO SD8-034</t>
  </si>
  <si>
    <t>COROA IMPREGNADA NWG</t>
  </si>
  <si>
    <t>CALIBRADOR DIAMANTADO NWG</t>
  </si>
  <si>
    <t>MOLA RETENTORA NWG</t>
  </si>
  <si>
    <t>BARRILETE SIMPLES NGW5</t>
  </si>
  <si>
    <t>HASTE PAREDES PARALELAS C/ NIPLES</t>
  </si>
  <si>
    <t>COROA PASTILHA NWG</t>
  </si>
  <si>
    <t>SAPATA PASTILHA NW</t>
  </si>
  <si>
    <t>REVESTIMENTO NW10</t>
  </si>
  <si>
    <t>CALIBRADOR PASTILHA NWG</t>
  </si>
  <si>
    <t>FIO DE NYLON N. 040</t>
  </si>
  <si>
    <t>GEOCOMPOSTO DRENANTE VERTICAL</t>
  </si>
  <si>
    <t>DRENO FIBROQUÍMICO (GEODRENO)</t>
  </si>
  <si>
    <t>TELA P/ CONT. DE EROSÃO SUPERFICIAL</t>
  </si>
  <si>
    <t>COROA P/ PERFURATRIZ 4"</t>
  </si>
  <si>
    <t>PELÍCULA REFLETIVA LENTES EXPOSTAS</t>
  </si>
  <si>
    <t>PELÍCULA REFLETIVA LENTES INCLUSAS</t>
  </si>
  <si>
    <t>DISPOSITIVO ANTI-OFUSCANTE</t>
  </si>
  <si>
    <t>TACHA REFLETIVA MONODIRECIONAL</t>
  </si>
  <si>
    <t>TACHA REFLETIVA BIDIRECIONAL</t>
  </si>
  <si>
    <t>TACHÃO REFLETIVO MONODIRECIONAL</t>
  </si>
  <si>
    <t>TACHÃO REFLETIVO BIDIRECIONAL</t>
  </si>
  <si>
    <t>BAGUETE LIMITADOR DE POLIETILENO</t>
  </si>
  <si>
    <t>SELANTE ASFÁLTICO POLIMERIZADO</t>
  </si>
  <si>
    <t>INDENIZAÇÃO DE JAZIDA</t>
  </si>
  <si>
    <t>ISOPOR DE 5CM DE ESPESSURA</t>
  </si>
  <si>
    <t>DISCO DIAM. P/ MÁQ. DE DISCO 6KW</t>
  </si>
  <si>
    <t>CHUMBADORES</t>
  </si>
  <si>
    <t>TUBO PLÁSTICO PARA PURGADORES</t>
  </si>
  <si>
    <t>TACHA REFL. VIDRO TEMP. 180º BRCA</t>
  </si>
  <si>
    <t>TACHA REFL. VIDRO TEMP. 360° BRCA</t>
  </si>
  <si>
    <t>TACHA REFL. VIDRO TEMP. 360º AMAREL</t>
  </si>
  <si>
    <t>MATERIAL DEMOLIDO</t>
  </si>
  <si>
    <t>MATERIAL FRESADO</t>
  </si>
  <si>
    <t>MADEIRA</t>
  </si>
  <si>
    <t>MATERIAL RETIRADO DA PISTA</t>
  </si>
  <si>
    <t>AÇO D=4,2 MM CA 25</t>
  </si>
  <si>
    <t>AÇO D=6,3 MM CA 25</t>
  </si>
  <si>
    <t>AÇO D=10 MM CA 25</t>
  </si>
  <si>
    <t>AÇO D=6,3 MM CA 50</t>
  </si>
  <si>
    <t>AÇO D=10 MM CA 50</t>
  </si>
  <si>
    <t>AÇO D=4,2 MM CA 60</t>
  </si>
  <si>
    <t>AÇO D=5,0 MM CA 60</t>
  </si>
  <si>
    <t>AÇO D=6,0 MM CA 60</t>
  </si>
  <si>
    <t>MANDÍBULA MÓVEL P/ BRITADOR 6240C</t>
  </si>
  <si>
    <t>MANDÍBULA FIXA P/ BRITADOR 6240C</t>
  </si>
  <si>
    <t>REVESTIMENTO MÓVEL P/ BRITADOR 60TS</t>
  </si>
  <si>
    <t>REVESTIMENTO FIXO P/ BRITADOR 60TS</t>
  </si>
  <si>
    <t>AÇO CA 50 D=12,5MM (1/2")</t>
  </si>
  <si>
    <t>MANDÍBULA FIXA P/ BRITADOR 4230</t>
  </si>
  <si>
    <t>MANDÍBULA MÓVEL P/ BRITADOR 4230</t>
  </si>
  <si>
    <t>MANDÍBULA MÓVEL C96 STANDART</t>
  </si>
  <si>
    <t>MANDÍBULA FIXA C96 STANDART</t>
  </si>
  <si>
    <t>MANTA HP200</t>
  </si>
  <si>
    <t>REVESTIMENTO BOJO STD HP200</t>
  </si>
  <si>
    <t>CUNHA LATERAL SUPERIOR C96</t>
  </si>
  <si>
    <t>CUNHA LATERAL INFERIOR C96</t>
  </si>
  <si>
    <t>BRITA 1</t>
  </si>
  <si>
    <t>BRITA 2</t>
  </si>
  <si>
    <t>BRITA 3</t>
  </si>
  <si>
    <t>BOMBA HIDRÁULICA ALTA PRESSÃO MAC</t>
  </si>
  <si>
    <t>BOMBA ELETR P/ INJEÇÃO DE NATA MAC</t>
  </si>
  <si>
    <t>MACACO P/ PROTENSÃO MAC</t>
  </si>
  <si>
    <t>MACACO P/ PROTENSÃO MAC 12</t>
  </si>
  <si>
    <t>MACACO P/ PROTENSÃO MAC 4</t>
  </si>
  <si>
    <t>BOMBA HIDR. ALTA PRESSÃO STUP</t>
  </si>
  <si>
    <t>BOMBA ELETR. INJEÇÃO DE NATA STUP</t>
  </si>
  <si>
    <t>MACACO P/ PROTENSÃO STUP</t>
  </si>
  <si>
    <t>MACACO P/ PROT. DE TIRANTE D=32MM</t>
  </si>
  <si>
    <t>INJEÇÃO DE NATA DE CIMENTO</t>
  </si>
  <si>
    <t>TERRA ARMADA - MOLDES METÁLICOS</t>
  </si>
  <si>
    <t>RACHÃO OU PEDRA-DE-MÃO PRODUZIDOS-(CONST E REST)</t>
  </si>
  <si>
    <t>AREIA EXTRAÍDA COM ESCAVADEIRA HIDRÁULICA</t>
  </si>
  <si>
    <t>AREIA COMERCIAL</t>
  </si>
  <si>
    <t>BRITA PRODUZIDA EM CENTRAL DE BRITAGEM DE 80 M3/H</t>
  </si>
  <si>
    <t>BRITA COMERCIAL</t>
  </si>
  <si>
    <t>ESCAV. E CARGA DE MATER. DE JAZIDA(CONST E RESTR)</t>
  </si>
  <si>
    <t>USINAGEM DE SOLO-BRITA</t>
  </si>
  <si>
    <t>USINAGEM DE SOLO-BRITA BC</t>
  </si>
  <si>
    <t>USINAGEM DE BRITA GRADUADA</t>
  </si>
  <si>
    <t>USINAGEM DE BRITA GRADUADA BC</t>
  </si>
  <si>
    <t>USINAGEM DE SOLO-CIMENTO</t>
  </si>
  <si>
    <t>USINAGEM DE SOLO MELHORADO COM CIMENTO.</t>
  </si>
  <si>
    <t>EMULSAO ASFALTICA RR1C COM POLIMERO</t>
  </si>
  <si>
    <t>USINAGEM DE P.M.F.</t>
  </si>
  <si>
    <t>USINAGEM DE P.M.F. AC/BC</t>
  </si>
  <si>
    <t>USINAGEM DE AREIA-ASFALTO</t>
  </si>
  <si>
    <t>USINAGEM DE AREIA-ASFALTO AC</t>
  </si>
  <si>
    <t>USINAGEM DE CBUQ (CAPA DE ROLAMENTO)</t>
  </si>
  <si>
    <t>USINAGEM DE CBUQ (BINDER)</t>
  </si>
  <si>
    <t>USINAGEM DE CBUQ (CAPA DE ROLAMENTO) AC/BC</t>
  </si>
  <si>
    <t>USINAGEM DE CBUQ (BINDER) AC/BC</t>
  </si>
  <si>
    <t>USINAGEM PARA SUB-BASE DE CONCRETO ROLADO</t>
  </si>
  <si>
    <t>USINAGEM P/ SUB-BASE DE CONCRETO ROLADO AC/BC</t>
  </si>
  <si>
    <t>USINAGEM P/ SUB-BASE DE CONCR. DE CIMENTO PORTLAND</t>
  </si>
  <si>
    <t>USINAGEM P/SUB-BASE DE CONCR.CIMENTO PORTL. AC/BC</t>
  </si>
  <si>
    <t>AREIA EXTRAÍDA COM DRAGA DE SUCÇÃO (TIPO BOMBA)</t>
  </si>
  <si>
    <t>USINAGEM P/ CONC. DE CIM. PORTLAND C/ FORMA DESLIZ</t>
  </si>
  <si>
    <t>USINAGEM P/ CONC.CIM.PORTL.C/ FORMA DESLIZ AC/BC</t>
  </si>
  <si>
    <t>USINAGEM P/ CONC.CIM. PORTLAND C/ EQUIP. PEQ. POR.</t>
  </si>
  <si>
    <t>USINAGEM P/CONC.CIM. PORTL.C/ EQUIP.PEQ.POR.AC/BC</t>
  </si>
  <si>
    <t>FABRICAÇÃO DE PEÇAS PRÉ MOLD. DE CONC. P/ PAVIM.</t>
  </si>
  <si>
    <t>FABRIC.DE PEÇAS PRÉ MOLD.DE CONC. P/PAVIM.AC/BC</t>
  </si>
  <si>
    <t>FORNECIMENTO DE AÇO CA-50</t>
  </si>
  <si>
    <t>PERFIL " I " W 250MM X 17,9KG/M</t>
  </si>
  <si>
    <t>CANTONEIRA DE ACO 4x4x3/8</t>
  </si>
  <si>
    <t>CONFECÇÃO DE TUBOS DE CONCRETO ARMADO D=0,60M CA-4</t>
  </si>
  <si>
    <t>CONFECÇÃO DE TUBOS DE CONCRETO ARMADO D=0,80M CA-4</t>
  </si>
  <si>
    <t>CONFECÇÃO DE TUBOS DE CONCRETO ARMADO D=1,00M CA-4</t>
  </si>
  <si>
    <t>CONFECÇÃO DE TUBOS DE CONCRETO ARMADO D=1,20M CA-4</t>
  </si>
  <si>
    <t>CONFECÇÃO DE TUBOS DE CONCRETO ARMADO D=1,50M CA-4</t>
  </si>
  <si>
    <t>CONFECÇÃO DE TUBOS CONCR.ARMADO D=0,60M CA-4</t>
  </si>
  <si>
    <t>CONFECÇÃO DE TUBOS CONCR.ARMADO D=0,80M CA-4</t>
  </si>
  <si>
    <t>CONFECÇÃO DE TUBOS CONCR.ARMADO D=1,00M CA-4</t>
  </si>
  <si>
    <t>CONFECÇÃO DE TUBOS CONCR.ARMADO D=1,20M CA-4</t>
  </si>
  <si>
    <t>CONFECÇÃO DE TUBOS CONCR.ARMADO D=1,50M CA-4</t>
  </si>
  <si>
    <t>RACHÃO OU PEDRA-DE-MÃO COMERCIAL (CONT E REST)/ PC</t>
  </si>
  <si>
    <t>ESCORAMENTO DE BUEIROS CELULARES</t>
  </si>
  <si>
    <t>BRITA PRODUZIDA EM CENTRAL DE BRITAGEM DE 30 M3/H</t>
  </si>
  <si>
    <t>OBTENÇÃO DE GRAMA PARA REPLANTIO</t>
  </si>
  <si>
    <t>CONFECÇÃO DE TUBOS DE CONCRETO POROSO D=0,20M</t>
  </si>
  <si>
    <t>CONFECÇÃO DE TUBOS DE CONCRETO PERFURADO D=0,20M</t>
  </si>
  <si>
    <t>CONFECÇÃO DE TUBOS DE CONCR.POROSO D=0,20M AC/BC</t>
  </si>
  <si>
    <t>CONFECÇÃO TUBOS CONCR.PERFURADO D=0,20M AC/BC</t>
  </si>
  <si>
    <t>ESCAVAÇÃO MANUAL EM MATERIAL DE 1A CATEGORIA</t>
  </si>
  <si>
    <t>CONFECÇÃO DE TUBOS DE CONCRETO D=0,40M</t>
  </si>
  <si>
    <t>CONFECÇÃO DE TUBOS DE CONCRETO D=0,40M AC/BC</t>
  </si>
  <si>
    <t>CONFECÇÃO DE TUBOS DE CONCRETO D=0,30M</t>
  </si>
  <si>
    <t>CONFECÇÃO DE TUBOS DE CONCRETO D=0,30M AC/BC</t>
  </si>
  <si>
    <t>FÔRMA COMUM DE MADEIRA</t>
  </si>
  <si>
    <t>FABR. MOURÃO DE CONCR. ESTICADOR SEÇÃO QUAD. 15CM</t>
  </si>
  <si>
    <t>FABR. MOURÃO DE CONCRETO SUPORTE SEÇÃO QUAD. 11CM</t>
  </si>
  <si>
    <t>FABR. MOURÃO DE CONCR ESTICADOR SEÇÃO TRIANG. 15CM</t>
  </si>
  <si>
    <t>FABR. MOURÃO DE CONCR. SUPORTE SEÇÃO TRIANG. 11CM</t>
  </si>
  <si>
    <t>FABRIC.MOURÃO CONCR.ESTIC.SEÇÃO QUADR.15CM</t>
  </si>
  <si>
    <t>FABRIC.MOURÃO CONCR.SUPORTE SEÇÃO QUADR.11CM AC/BC</t>
  </si>
  <si>
    <t>FABRIC.MOURÃO CONCR.ESTIC.SEÇÃO TRIANG.15CM</t>
  </si>
  <si>
    <t>FABRIC.MOURÃO CONCR.SUPORTE SEC.TRIANG.11CM AC/BC</t>
  </si>
  <si>
    <t>MOURÃO MADEIRA H=2,15 M D=9 CM</t>
  </si>
  <si>
    <t>MOURÃO MADEIRA H=2,50 M D=12 CM</t>
  </si>
  <si>
    <t>ESC. E CARGA MATERIAL DE JAZIDA (CONSV)</t>
  </si>
  <si>
    <t>AREIA EXTRAÍDA COM TRATOR E CARREGADEIRA</t>
  </si>
  <si>
    <t>MISTURA AREIA-ASFALTO USINADA A FRIO</t>
  </si>
  <si>
    <t>MISTURA AREIA-ASFALTO USINADA A QUENTE</t>
  </si>
  <si>
    <t>MISTURA BETUMINOSA USINADA A FRIO</t>
  </si>
  <si>
    <t>MISTURA BETUMINOSA USINADA A QUENTE</t>
  </si>
  <si>
    <t>PEDRA DE MÃO PRODUZIDA MANUALMENTE (CONSV)</t>
  </si>
  <si>
    <t>CONFECÇÃO DE TUBOS DE CONCRETO D=0,20M</t>
  </si>
  <si>
    <t>CONFECÇÃO DE TUBOS DE CONCRETO D=0,20M AC/BC</t>
  </si>
  <si>
    <t>MISTURA BETUMINOSA</t>
  </si>
  <si>
    <t>MATERIAL DE BASE (CONSERV)</t>
  </si>
  <si>
    <t>FORNECIMENTO DE AÇO CA-60</t>
  </si>
  <si>
    <t>FORNECIMENTO DE AÇO CA-25</t>
  </si>
  <si>
    <t>AGENTE REJUV. P/ RECICL. A QUENTE</t>
  </si>
  <si>
    <t>USINAGEM DE CBUQ P/ RECICLAGEM EM USINA FIXA.</t>
  </si>
  <si>
    <t>USINAGEM DE CBUQ P/ RECICLAGEM EM USINA FIXA BC</t>
  </si>
  <si>
    <t>USINAGEM DE CBUQ C/ CAL HIDR. (CAPA DE ROLAMENTO)</t>
  </si>
  <si>
    <t>USINAGEM DE CBUQ (CAPA DE ROLAM.) AC/BC C CAL HIDR</t>
  </si>
  <si>
    <t>TRANSP. LOCAL MATERIAL PARA REMENDOS</t>
  </si>
  <si>
    <t>TRANSPORTE LOCAL CBUQ C/ CAÇAMBA TÉRMICA</t>
  </si>
  <si>
    <t>TUBO DE CONCR ARMADO D=0,80M PA-1</t>
  </si>
  <si>
    <t>USINAGEM DE AGREGADOS P/ MICRO-REVESTIMENTO</t>
  </si>
  <si>
    <t>USINAGEM DE AGREGADOS P/ MICRO-REVESTIMENTO BC</t>
  </si>
  <si>
    <t>CA0010</t>
  </si>
  <si>
    <t>4-1196</t>
  </si>
  <si>
    <t>Descricao Completa</t>
  </si>
  <si>
    <t>Unid. Comp</t>
  </si>
  <si>
    <t>M2</t>
  </si>
  <si>
    <t>M3</t>
  </si>
  <si>
    <t>T</t>
  </si>
  <si>
    <t>M</t>
  </si>
  <si>
    <t>KG</t>
  </si>
  <si>
    <t>L</t>
  </si>
  <si>
    <t>UN</t>
  </si>
  <si>
    <t>3 - 705</t>
  </si>
  <si>
    <t>ID Primario</t>
  </si>
  <si>
    <t>ID</t>
  </si>
  <si>
    <t>SETOR</t>
  </si>
  <si>
    <t>GRUPO</t>
  </si>
  <si>
    <t>ITEM</t>
  </si>
  <si>
    <t>UNIDADE</t>
  </si>
  <si>
    <t>QUANT.</t>
  </si>
  <si>
    <t>PREÇO UNITÁRIO</t>
  </si>
  <si>
    <t xml:space="preserve">PREÇO TOTAL </t>
  </si>
  <si>
    <t>1</t>
  </si>
  <si>
    <t>ACESSOS - LADO SANTOS E GUARUJÁ</t>
  </si>
  <si>
    <t>SERVIÇOS PRELIMINARES</t>
  </si>
  <si>
    <t>2</t>
  </si>
  <si>
    <t>1.1</t>
  </si>
  <si>
    <t>21.03.01</t>
  </si>
  <si>
    <t xml:space="preserve"> REMOÇÃO CERCA ARAME, INCLUSIVE TRANSPORTE  </t>
  </si>
  <si>
    <t>m</t>
  </si>
  <si>
    <t>3</t>
  </si>
  <si>
    <t>1.2</t>
  </si>
  <si>
    <t xml:space="preserve"> 21.03.02  </t>
  </si>
  <si>
    <t xml:space="preserve"> REMOCAO DE DEFENSA METALICA SIMPLES  </t>
  </si>
  <si>
    <t>4</t>
  </si>
  <si>
    <t>1.3</t>
  </si>
  <si>
    <t xml:space="preserve"> 21.03.08  </t>
  </si>
  <si>
    <t xml:space="preserve"> REMOÇÃO E TRANSPORTE DE GUIA PRÉ-MOLDADA  </t>
  </si>
  <si>
    <t>5</t>
  </si>
  <si>
    <t>1.4</t>
  </si>
  <si>
    <t xml:space="preserve"> 21.88.0.,01  </t>
  </si>
  <si>
    <t xml:space="preserve"> DEMOLIÇÃO DE CONCRETO ARMADO  </t>
  </si>
  <si>
    <t>m3</t>
  </si>
  <si>
    <t>6</t>
  </si>
  <si>
    <t>1.5</t>
  </si>
  <si>
    <t>21.88.05.02</t>
  </si>
  <si>
    <t xml:space="preserve"> DEMOLIÇÃO DE CONCRETO SIMPLES  </t>
  </si>
  <si>
    <t>7</t>
  </si>
  <si>
    <t>1.6</t>
  </si>
  <si>
    <t>21.88.05.05</t>
  </si>
  <si>
    <t xml:space="preserve"> DEMOLIÇÃO DE EDIFICAÇÃO EM ALVENARIA  </t>
  </si>
  <si>
    <t>m2</t>
  </si>
  <si>
    <t>8</t>
  </si>
  <si>
    <t>1.7</t>
  </si>
  <si>
    <t>21.88.05.06</t>
  </si>
  <si>
    <t xml:space="preserve"> DEMOLIÇÃO DE EDIFICAÇÃO EM MADEIRA  </t>
  </si>
  <si>
    <t>9</t>
  </si>
  <si>
    <t>1.8</t>
  </si>
  <si>
    <t>21.88.05.07</t>
  </si>
  <si>
    <t xml:space="preserve"> DEMOLIÇÃO DE PAVIMENTO FLEXIVEL  </t>
  </si>
  <si>
    <t>10</t>
  </si>
  <si>
    <t>1.9</t>
  </si>
  <si>
    <t>21.88.19.01</t>
  </si>
  <si>
    <t xml:space="preserve"> MURO DE FECHAMENTO COM PLACAS E MOURÕES PRÉ-MOLDADO H=2,00 m  </t>
  </si>
  <si>
    <t>11</t>
  </si>
  <si>
    <t>1.10</t>
  </si>
  <si>
    <t>21.88.19.08.03</t>
  </si>
  <si>
    <t xml:space="preserve"> TRANSPORTE DE MATERIAL CLASSE IIA e IIB PARA BOTA-FORA ESPECIAL  </t>
  </si>
  <si>
    <t>ton x km</t>
  </si>
  <si>
    <t>12</t>
  </si>
  <si>
    <t>1.11</t>
  </si>
  <si>
    <t>21.88.20.01</t>
  </si>
  <si>
    <t xml:space="preserve"> BRITAGEM DE MATERIAL DE DEMOLIÇÃO  </t>
  </si>
  <si>
    <t>13</t>
  </si>
  <si>
    <t>1.12</t>
  </si>
  <si>
    <t>21.88.21.02</t>
  </si>
  <si>
    <t xml:space="preserve"> DEPOSIÇÃO DE MATERIAL CLASSE IIA, EM BOTA-FORA ESPECIAL  </t>
  </si>
  <si>
    <t>ton</t>
  </si>
  <si>
    <t>14</t>
  </si>
  <si>
    <t>1.13</t>
  </si>
  <si>
    <t>21.88.21.03</t>
  </si>
  <si>
    <t xml:space="preserve"> DEPOSIÇÃO DE MATERIAL CLASSE IIB, EM BOTA-FORA ESPECIAL  </t>
  </si>
  <si>
    <t>15</t>
  </si>
  <si>
    <t>1.14</t>
  </si>
  <si>
    <t>22.88.03.03</t>
  </si>
  <si>
    <t xml:space="preserve"> TRANSPORTE DE MATERIAL DE DEMOLIÇÃO ATÉ 5 KM  </t>
  </si>
  <si>
    <t>m3 x km</t>
  </si>
  <si>
    <t>16</t>
  </si>
  <si>
    <t>TERRAPLENAGEM</t>
  </si>
  <si>
    <t>17</t>
  </si>
  <si>
    <t>2.1</t>
  </si>
  <si>
    <t>22.01.01</t>
  </si>
  <si>
    <t xml:space="preserve"> LIMPEZA ÁRVORES  DE   TERRENO   SEM   DESTOCAMENTO   DE  ÁRVORES</t>
  </si>
  <si>
    <t>18</t>
  </si>
  <si>
    <t>2.2</t>
  </si>
  <si>
    <t>22.02.01</t>
  </si>
  <si>
    <t xml:space="preserve"> ESCAVAÇÃO E CARGA DE MATERIAL DE 1ª/2ª CATEGORIA  </t>
  </si>
  <si>
    <t>19</t>
  </si>
  <si>
    <t>2.3</t>
  </si>
  <si>
    <t>22.02.02</t>
  </si>
  <si>
    <t xml:space="preserve"> ESCAVAÇÃO E CARGA DE MATERIAL DE 2ª CATEGORIA COM RIPPER  </t>
  </si>
  <si>
    <t>20</t>
  </si>
  <si>
    <t>2.4</t>
  </si>
  <si>
    <t>22.02.06</t>
  </si>
  <si>
    <t xml:space="preserve"> CARGA DE MATERIAL DE LIMPEZA  </t>
  </si>
  <si>
    <t>21</t>
  </si>
  <si>
    <t>2.5</t>
  </si>
  <si>
    <t>22.03.01</t>
  </si>
  <si>
    <t xml:space="preserve"> TRANSPORTE DE MATERIAL DE 1ª/2ª CATEGORIA ATÉ 1 km  </t>
  </si>
  <si>
    <t>22</t>
  </si>
  <si>
    <t>2.6</t>
  </si>
  <si>
    <t>22.03.02</t>
  </si>
  <si>
    <t xml:space="preserve"> TRANSPORTE DE MATERIAL DE 1ª/2ª CATEGORIA ATÉ 2 km  </t>
  </si>
  <si>
    <t>23</t>
  </si>
  <si>
    <t>2.7</t>
  </si>
  <si>
    <t>22.03.03</t>
  </si>
  <si>
    <t xml:space="preserve"> TRANSPORTE DE MATERIAL DE 1ª/2ª CATEGORIA ATÉ 5 km  </t>
  </si>
  <si>
    <t>24</t>
  </si>
  <si>
    <t>2.8</t>
  </si>
  <si>
    <t>22.03.04</t>
  </si>
  <si>
    <t xml:space="preserve"> TRANSPORTE DE MATERIAL DE 1ª/2ª CATEGORIA ATÉ 10 km  </t>
  </si>
  <si>
    <t>25</t>
  </si>
  <si>
    <t>2.9</t>
  </si>
  <si>
    <t>22.03.05</t>
  </si>
  <si>
    <t xml:space="preserve"> TRANSPORTE DE MATERIAL DE 1ª/2ª CATEGORIA ATÉ 15 km  </t>
  </si>
  <si>
    <t>26</t>
  </si>
  <si>
    <t>2.10</t>
  </si>
  <si>
    <t>22.88.03.12.01</t>
  </si>
  <si>
    <t xml:space="preserve"> TRANSPORTE DE MATERIAL DE LIMPEZA ATÉ 5 km  </t>
  </si>
  <si>
    <t>27</t>
  </si>
  <si>
    <t>2.11</t>
  </si>
  <si>
    <t>22.88.03.12.02</t>
  </si>
  <si>
    <t xml:space="preserve"> TRANSPORTE DE MATERIAL DE LIMPEZA ATÉ 10 km  </t>
  </si>
  <si>
    <t>28</t>
  </si>
  <si>
    <t>2.12</t>
  </si>
  <si>
    <t>22.88.03.12.03</t>
  </si>
  <si>
    <t xml:space="preserve"> TRANSPORTE DE MATERIAL DE LIMPEZA ATÉ 15 km  </t>
  </si>
  <si>
    <t>29</t>
  </si>
  <si>
    <t>2.13</t>
  </si>
  <si>
    <t>22.88.03.12.04</t>
  </si>
  <si>
    <t xml:space="preserve"> TRANSPORTE DE MATERIAL DE LIMPEZA ALÉM DE 15 km  </t>
  </si>
  <si>
    <t>30</t>
  </si>
  <si>
    <t>2.14</t>
  </si>
  <si>
    <t>22.04.01</t>
  </si>
  <si>
    <t xml:space="preserve"> COMPACTAÇÃO DE ATERRO MAIOR/IGUAL 95% PN  </t>
  </si>
  <si>
    <t>31</t>
  </si>
  <si>
    <t xml:space="preserve"> PAVIMENTAÇÃO  </t>
  </si>
  <si>
    <t>32</t>
  </si>
  <si>
    <t>3.1</t>
  </si>
  <si>
    <t>22.02.09</t>
  </si>
  <si>
    <t xml:space="preserve"> ESPALHAMENTO / REGULARIZAÇÃO / COMPACTAÇÃO DE MATERIAL EM BOTA-FORA.  </t>
  </si>
  <si>
    <t>33</t>
  </si>
  <si>
    <t>3.2</t>
  </si>
  <si>
    <t xml:space="preserve"> MELHORIA / PREPARO SUB-LEITO -100% EN  </t>
  </si>
  <si>
    <t>34</t>
  </si>
  <si>
    <t>3.3</t>
  </si>
  <si>
    <t>23.04.03.01</t>
  </si>
  <si>
    <t xml:space="preserve"> SUB-BASE OU BASE BRITA GRADUADA SIMPLES  </t>
  </si>
  <si>
    <t>35</t>
  </si>
  <si>
    <t>3.4</t>
  </si>
  <si>
    <t>23.04.03.04</t>
  </si>
  <si>
    <t xml:space="preserve"> SUB-BASE OU BASE DE PEDRA RACHÃO  </t>
  </si>
  <si>
    <t>36</t>
  </si>
  <si>
    <t>3.5</t>
  </si>
  <si>
    <t>23.04.04.04</t>
  </si>
  <si>
    <t xml:space="preserve"> SUB-BASE OU BASE BRITA GRADUADA COM CIMENTO 4%VOL  </t>
  </si>
  <si>
    <t>37</t>
  </si>
  <si>
    <t>3.6</t>
  </si>
  <si>
    <t>23.05.01</t>
  </si>
  <si>
    <t xml:space="preserve"> IMPRIMADURA BETUMINOSA IMPERMEABILIZANTE  </t>
  </si>
  <si>
    <t>38</t>
  </si>
  <si>
    <t>3.7</t>
  </si>
  <si>
    <t>23.05.02</t>
  </si>
  <si>
    <t xml:space="preserve"> IMPRIMADURA BETUMINOSA LIGANTE  </t>
  </si>
  <si>
    <t>39</t>
  </si>
  <si>
    <t>3.8</t>
  </si>
  <si>
    <t>23.05.04</t>
  </si>
  <si>
    <t xml:space="preserve"> IMPRIMADURA BETUMINOSA LIGANTE MODIFICADA COM POLÍMERO  </t>
  </si>
  <si>
    <t>40</t>
  </si>
  <si>
    <t>3.9</t>
  </si>
  <si>
    <t>23.08.02</t>
  </si>
  <si>
    <t xml:space="preserve"> CONCRETO ASFÁLTICO USINADO A QUENTE  BINDER - GRADUAÇÃO B COM DOP  </t>
  </si>
  <si>
    <t>41</t>
  </si>
  <si>
    <t>3.10</t>
  </si>
  <si>
    <t>23.08.03.03</t>
  </si>
  <si>
    <t xml:space="preserve"> CAMADA ROLAMENTO CBUQ - GRADUAÇÃO C - COM DOP  </t>
  </si>
  <si>
    <t>42</t>
  </si>
  <si>
    <t>3.11</t>
  </si>
  <si>
    <t>23.08.05</t>
  </si>
  <si>
    <t xml:space="preserve"> CONCRETO ASFÁLTICO MODIFICADO POR POLÍMERO  </t>
  </si>
  <si>
    <t>43</t>
  </si>
  <si>
    <t>3.12</t>
  </si>
  <si>
    <t>23.10.01</t>
  </si>
  <si>
    <t xml:space="preserve"> FRESAGEM CONTÍNUA DE PAVIMENTO, INDEPENDENTE DA ESPESSURA  </t>
  </si>
  <si>
    <t>44</t>
  </si>
  <si>
    <t>OBRAS DE ARTE CORRENTE E DRENAGEM</t>
  </si>
  <si>
    <t xml:space="preserve"> </t>
  </si>
  <si>
    <t>45</t>
  </si>
  <si>
    <t>4.1</t>
  </si>
  <si>
    <t>46</t>
  </si>
  <si>
    <t>4.2</t>
  </si>
  <si>
    <t>47</t>
  </si>
  <si>
    <t>4.3</t>
  </si>
  <si>
    <t>24.02.02</t>
  </si>
  <si>
    <t xml:space="preserve"> ESCAVAÇÃO MECÂNICA PARA OBRAS SEM EXPLOSIVO  </t>
  </si>
  <si>
    <t>48</t>
  </si>
  <si>
    <t>4.4</t>
  </si>
  <si>
    <t>24.02.08</t>
  </si>
  <si>
    <t xml:space="preserve"> ESCAVAÇÃO DE DRENOS E BUEIROS SEM EXPLOSIVO  </t>
  </si>
  <si>
    <t>49</t>
  </si>
  <si>
    <t>4.5</t>
  </si>
  <si>
    <t>24.03.06</t>
  </si>
  <si>
    <t xml:space="preserve"> ESCORAMENTO DE VALAS/CAVAS -CONTÍNUO  </t>
  </si>
  <si>
    <t>50</t>
  </si>
  <si>
    <t>4.6</t>
  </si>
  <si>
    <t>24.03.07</t>
  </si>
  <si>
    <t xml:space="preserve"> ESCORAMENTO DE VALAS/CAVAS -DESCONTÍNUO  </t>
  </si>
  <si>
    <t>51</t>
  </si>
  <si>
    <t>4.7</t>
  </si>
  <si>
    <t>24.05.01</t>
  </si>
  <si>
    <t xml:space="preserve"> FORMA PLANA PARA CONCRETO COMUM  </t>
  </si>
  <si>
    <t>52</t>
  </si>
  <si>
    <t>4.8</t>
  </si>
  <si>
    <t>24.06.02</t>
  </si>
  <si>
    <t xml:space="preserve"> BARRA DE AÇO CA-50  </t>
  </si>
  <si>
    <t>kg</t>
  </si>
  <si>
    <t>53</t>
  </si>
  <si>
    <t>4.9</t>
  </si>
  <si>
    <t>24.07.01</t>
  </si>
  <si>
    <t xml:space="preserve"> CONCRETO fck 10 MPa  </t>
  </si>
  <si>
    <t>54</t>
  </si>
  <si>
    <t>4.10</t>
  </si>
  <si>
    <t>24.07.02</t>
  </si>
  <si>
    <t xml:space="preserve"> CONCRETO fck 15 MPa  </t>
  </si>
  <si>
    <t>55</t>
  </si>
  <si>
    <t>4.11</t>
  </si>
  <si>
    <t>24.07.04</t>
  </si>
  <si>
    <t xml:space="preserve"> CONCRETO fck 20 MPa  </t>
  </si>
  <si>
    <t>56</t>
  </si>
  <si>
    <t>4.12</t>
  </si>
  <si>
    <t>24.07.05</t>
  </si>
  <si>
    <t xml:space="preserve"> CONCRETO fck 25 MPa  </t>
  </si>
  <si>
    <t>57</t>
  </si>
  <si>
    <t>4.13</t>
  </si>
  <si>
    <t>24.10.02</t>
  </si>
  <si>
    <t xml:space="preserve"> CALÇAMENTO DE CONCRETO fck 15 MPa  </t>
  </si>
  <si>
    <t>58</t>
  </si>
  <si>
    <t>4.14</t>
  </si>
  <si>
    <t>24.11.05</t>
  </si>
  <si>
    <t xml:space="preserve"> ALVENARIA DE BLOCO DE CONCRETO  </t>
  </si>
  <si>
    <t>59</t>
  </si>
  <si>
    <t>4.15</t>
  </si>
  <si>
    <t>24.11.07</t>
  </si>
  <si>
    <t xml:space="preserve"> REVESTIMENTO DE ARGAMASSA DE CIMENTO E AREIA  </t>
  </si>
  <si>
    <t>60</t>
  </si>
  <si>
    <t>4.16</t>
  </si>
  <si>
    <t>24.12.01.01</t>
  </si>
  <si>
    <t xml:space="preserve"> ENCHIMENTO DE VALA COM PEDRA BRITADA 1 E 2  </t>
  </si>
  <si>
    <t>61</t>
  </si>
  <si>
    <t>4.17</t>
  </si>
  <si>
    <t>24.12.08</t>
  </si>
  <si>
    <t xml:space="preserve"> COMPACTAÇÃO MANUAL COM REATERRO SOLO LOCAL  </t>
  </si>
  <si>
    <t>62</t>
  </si>
  <si>
    <t>4.18</t>
  </si>
  <si>
    <t>24.16.04</t>
  </si>
  <si>
    <t xml:space="preserve"> TUBO DE CONCRETO D= 0,50m CLASSE PA-2  </t>
  </si>
  <si>
    <t>63</t>
  </si>
  <si>
    <t>4.19</t>
  </si>
  <si>
    <t>24.16.08</t>
  </si>
  <si>
    <t xml:space="preserve"> TUBO DE CONCRETO D= 0,60m CLASSE PA-2  </t>
  </si>
  <si>
    <t>64</t>
  </si>
  <si>
    <t>4.20</t>
  </si>
  <si>
    <t>24.16.12</t>
  </si>
  <si>
    <t xml:space="preserve"> TUBO DE CONCRETO D= 0,80m CLASSE PA-2  </t>
  </si>
  <si>
    <t>65</t>
  </si>
  <si>
    <t>4.21</t>
  </si>
  <si>
    <t>24.16.16</t>
  </si>
  <si>
    <t xml:space="preserve"> TUBO DE CONCRETO D= 1,00m CLASSE PA-2  </t>
  </si>
  <si>
    <t>66</t>
  </si>
  <si>
    <t>4.22</t>
  </si>
  <si>
    <t>24.16.20</t>
  </si>
  <si>
    <t xml:space="preserve"> TUBO DE CONCRETO D= 1,20m CLASSE PA-2 TUBO DE CONCRETO D 1,20m CLASSE PA 2  </t>
  </si>
  <si>
    <t>mm</t>
  </si>
  <si>
    <t>67</t>
  </si>
  <si>
    <t>4.23</t>
  </si>
  <si>
    <t>24.19.04.01</t>
  </si>
  <si>
    <t xml:space="preserve"> SARJETA DE CONCRETO fck 20 MPa  </t>
  </si>
  <si>
    <t>68</t>
  </si>
  <si>
    <t>4.24</t>
  </si>
  <si>
    <t>24.19.05.01</t>
  </si>
  <si>
    <t xml:space="preserve"> GUIA DE CONCRETO fck 20 MPa  </t>
  </si>
  <si>
    <t>69</t>
  </si>
  <si>
    <t>4.25</t>
  </si>
  <si>
    <t>24.19.06</t>
  </si>
  <si>
    <t xml:space="preserve"> TELAR E TAMPÃO DE FERRO FUNDIDO  </t>
  </si>
  <si>
    <t>unid</t>
  </si>
  <si>
    <t>70</t>
  </si>
  <si>
    <t>4.26</t>
  </si>
  <si>
    <t>24.88.03.05.01</t>
  </si>
  <si>
    <t xml:space="preserve"> BOMBA CENTRÍFUGA Hman = 25mca Q=2400 l/min  </t>
  </si>
  <si>
    <t>71</t>
  </si>
  <si>
    <t>4.27</t>
  </si>
  <si>
    <t>24.88.03.05.02</t>
  </si>
  <si>
    <t xml:space="preserve"> BOMBA CENTRÍFUGA Hman = 40mca Q=840 l/min  </t>
  </si>
  <si>
    <t>72</t>
  </si>
  <si>
    <t>4.28</t>
  </si>
  <si>
    <t>24.88.71.01</t>
  </si>
  <si>
    <t xml:space="preserve"> GRELHA METAL VEÍCULOS ATÉ 10 ton 13 x 50 cm  </t>
  </si>
  <si>
    <t>73</t>
  </si>
  <si>
    <t>4.29</t>
  </si>
  <si>
    <t>24.88.71.02</t>
  </si>
  <si>
    <t xml:space="preserve"> GRELHA METAL 13 x 50 cm  </t>
  </si>
  <si>
    <t>74</t>
  </si>
  <si>
    <t>4.30</t>
  </si>
  <si>
    <t>24.88.71.03</t>
  </si>
  <si>
    <t xml:space="preserve"> CALHA DRENAGEM 13 x 50 cm  </t>
  </si>
  <si>
    <t>75</t>
  </si>
  <si>
    <t>4.31</t>
  </si>
  <si>
    <t>24.88.72.01</t>
  </si>
  <si>
    <t xml:space="preserve"> TUBO DE AÇO CARBONO EXTREMIDADE CHANFRADA, PRETO, SEM COSTURA, PROTEGIDO COM FITA ANTI-CORROSIVA, ASTM A-106 GRB, SCH-40 -Ø150 mm  </t>
  </si>
  <si>
    <t>76</t>
  </si>
  <si>
    <t>4.32</t>
  </si>
  <si>
    <t>24.88.72.02</t>
  </si>
  <si>
    <t xml:space="preserve"> TUBO DE AÇO CARBONO EXTREMIDADE CHANFRADA, PRETO, SEM COSTURA, PROTEGIDO COM FITA ANTI-CORROSIVA, ASTM A-106 GRB, SCH-40 -Ø100 mm  </t>
  </si>
  <si>
    <t>77</t>
  </si>
  <si>
    <t>4.33</t>
  </si>
  <si>
    <t>24.88.72.03</t>
  </si>
  <si>
    <t xml:space="preserve"> CURVA 90º DE AÇO CARBONO ASTM A-106 GRB, SCH-40 -Ø100 mm  </t>
  </si>
  <si>
    <t>78</t>
  </si>
  <si>
    <t>4.34</t>
  </si>
  <si>
    <t>24.88.17.02.15</t>
  </si>
  <si>
    <t xml:space="preserve"> LAJOTA PRÉ MOLDADA DE CONCRETO E=7CM JUNTA DE GRAMA  </t>
  </si>
  <si>
    <t>79</t>
  </si>
  <si>
    <t xml:space="preserve"> OBRAS DE CONTENÇÃO GEOTÉCNICA  </t>
  </si>
  <si>
    <t>80</t>
  </si>
  <si>
    <t>5.1</t>
  </si>
  <si>
    <t>25.21.88.05.01</t>
  </si>
  <si>
    <t xml:space="preserve"> DEMOLIÇÃO DE GUIA EM CONCRETO ARMADO -PAREDE DIAFRAGMA  </t>
  </si>
  <si>
    <t>81</t>
  </si>
  <si>
    <t>5.2</t>
  </si>
  <si>
    <t>82</t>
  </si>
  <si>
    <t>5.3</t>
  </si>
  <si>
    <t>22.02.05</t>
  </si>
  <si>
    <t xml:space="preserve"> ESCAVAÇÃO E CARGA DE SOLO MOLE SOB LÂMINA D' ÁGUA  </t>
  </si>
  <si>
    <t>83</t>
  </si>
  <si>
    <t>5.4</t>
  </si>
  <si>
    <t>84</t>
  </si>
  <si>
    <t>5.5</t>
  </si>
  <si>
    <t>85</t>
  </si>
  <si>
    <t>5.6</t>
  </si>
  <si>
    <t>22.03.06</t>
  </si>
  <si>
    <t xml:space="preserve"> TRANSPORTE DE MATERIAL DE 1ª/2ª CATEGORIA ALÉM DE 15 km  </t>
  </si>
  <si>
    <t>86</t>
  </si>
  <si>
    <t>5.7</t>
  </si>
  <si>
    <t>22.03.10</t>
  </si>
  <si>
    <t xml:space="preserve"> TRANSPORTE DE SOLO MOLE ALÉM DE 2 km  </t>
  </si>
  <si>
    <t>87</t>
  </si>
  <si>
    <t>5.8</t>
  </si>
  <si>
    <t>88</t>
  </si>
  <si>
    <t>5.9</t>
  </si>
  <si>
    <t>22.06.04</t>
  </si>
  <si>
    <t xml:space="preserve"> FUNDAÇÃO DE ATERRO COM PEDRA RACHÃO  </t>
  </si>
  <si>
    <t>89</t>
  </si>
  <si>
    <t>5.10</t>
  </si>
  <si>
    <t>24.01.01</t>
  </si>
  <si>
    <t xml:space="preserve"> VOLUME DE ATERRO COMPACTADO  </t>
  </si>
  <si>
    <t>90</t>
  </si>
  <si>
    <t>5.11</t>
  </si>
  <si>
    <t>24.12.02</t>
  </si>
  <si>
    <t xml:space="preserve"> ENCHIMENTO DE VALA COM AREIA LAVADA  </t>
  </si>
  <si>
    <t>91</t>
  </si>
  <si>
    <t>5.12</t>
  </si>
  <si>
    <t>24.14.01.09</t>
  </si>
  <si>
    <t xml:space="preserve"> MANTA GEOTEXTIL NÃO TECIDA RESISTENCIA LONGITUDIANAL 31 kN/m  </t>
  </si>
  <si>
    <t>92</t>
  </si>
  <si>
    <t>5.13</t>
  </si>
  <si>
    <t>24.15.16</t>
  </si>
  <si>
    <t xml:space="preserve"> DUTO CORRUGADO PEAD 0,10m  </t>
  </si>
  <si>
    <t>93</t>
  </si>
  <si>
    <t>5.14</t>
  </si>
  <si>
    <t>24.88.29.06.13</t>
  </si>
  <si>
    <t xml:space="preserve"> PONTEIRA DRENANTE 4 LINHAS  </t>
  </si>
  <si>
    <t>94</t>
  </si>
  <si>
    <t>5.15</t>
  </si>
  <si>
    <t>24.88.70.01</t>
  </si>
  <si>
    <t xml:space="preserve"> FORNECIMENTO E INSTALAÇÃO DE TUBO GEOMECÂNICO DIÂMETRO DE 100mm  </t>
  </si>
  <si>
    <t>95</t>
  </si>
  <si>
    <t>5.16</t>
  </si>
  <si>
    <t>24.88.73.01</t>
  </si>
  <si>
    <t xml:space="preserve"> CONJUNTO MOTOR BOMBA DE 20 HP  </t>
  </si>
  <si>
    <t>96</t>
  </si>
  <si>
    <t>5.17</t>
  </si>
  <si>
    <t>24.88.73.02</t>
  </si>
  <si>
    <t xml:space="preserve"> DHP A VÁCUO  </t>
  </si>
  <si>
    <t>97</t>
  </si>
  <si>
    <t>5.18</t>
  </si>
  <si>
    <t>24.88.73.03</t>
  </si>
  <si>
    <t xml:space="preserve"> FORNECIMENTO E INSTALAÇÃO DE INCLINÔMETROS  </t>
  </si>
  <si>
    <t>98</t>
  </si>
  <si>
    <t>5.19</t>
  </si>
  <si>
    <t>25.02.02</t>
  </si>
  <si>
    <t>99</t>
  </si>
  <si>
    <t>5.20</t>
  </si>
  <si>
    <t>25.06.01</t>
  </si>
  <si>
    <t>100</t>
  </si>
  <si>
    <t>5.21</t>
  </si>
  <si>
    <t>25.07.02</t>
  </si>
  <si>
    <t>101</t>
  </si>
  <si>
    <t>5.22</t>
  </si>
  <si>
    <t>25.07.03</t>
  </si>
  <si>
    <t xml:space="preserve"> BARRA DE AÇO CA-60  </t>
  </si>
  <si>
    <t>102</t>
  </si>
  <si>
    <t>5.23</t>
  </si>
  <si>
    <t>25.07.05</t>
  </si>
  <si>
    <t xml:space="preserve"> FORNECIMENTO E INSTALAÇÃO DE TELA DE METAL PARA GUIA AÇO CA-60 (2,56 kg/m²)  </t>
  </si>
  <si>
    <t>103</t>
  </si>
  <si>
    <t>5.24</t>
  </si>
  <si>
    <t>25.09.02</t>
  </si>
  <si>
    <t>104</t>
  </si>
  <si>
    <t>5.25</t>
  </si>
  <si>
    <t>25.09.04</t>
  </si>
  <si>
    <t>105</t>
  </si>
  <si>
    <t>5.26</t>
  </si>
  <si>
    <t>25.88.04.06.01</t>
  </si>
  <si>
    <t xml:space="preserve"> FORNECIMENTO, INSTALAÇÃO E LANÇAMENTO DE TUBO METÁLICO EM AÇO CARBONO COM RESISTÊNCIA CARACTERISTICA SUPERIOR A 350 MPa, DIÂMETRO DE 1500 mm, ESPESSURA DE PAREDE &gt; 16 mm E COMPRIMENTO DE 50,0 m -EXECUÇÃO DE ESTRONCAS  </t>
  </si>
  <si>
    <t>106</t>
  </si>
  <si>
    <t>5.27</t>
  </si>
  <si>
    <t>25.88.04.06.02</t>
  </si>
  <si>
    <t xml:space="preserve"> FORNECIMENTO E CRAVAÇÃO DE  COMBINED WALL WITH TUBULAR PILES  COM COMPRIMENTO ATÉ 50,0 METROS, EM AÇO CARBONO COM RESISTÊNCIA CARACTERISTICA SUPERIOR A 350 Mpa, INCLUSIVE JUNTA SELANTE POLIMÉRICA ENTRE ELEMENTOS  </t>
  </si>
  <si>
    <t>107</t>
  </si>
  <si>
    <t>5.28</t>
  </si>
  <si>
    <t>25.88.04.06.07</t>
  </si>
  <si>
    <t xml:space="preserve"> PERFURAÇÃO EM ROCHA, ROLERBIT, DE DIÂMETRO 1,40M  </t>
  </si>
  <si>
    <t>108</t>
  </si>
  <si>
    <t>5.29</t>
  </si>
  <si>
    <t>25.88.17.01</t>
  </si>
  <si>
    <t xml:space="preserve"> EXECUÇÃO DE PAREDE DIAFRAGMA EM SOLO COM CLAMSHELL HIDRAULICO, ESPESSURA 0,80 METRO, INCLUINDO ESCAVAÇÃO E DEJEITO EM SOLO COM SPT &lt; 50, COLOCAÇÃO DE ARMADURA E CONCRETAGEM.  </t>
  </si>
  <si>
    <t>109</t>
  </si>
  <si>
    <t>5.30</t>
  </si>
  <si>
    <t>25.88.17.01.01</t>
  </si>
  <si>
    <t xml:space="preserve"> EXECUÇÃO DE PAREDE DIAFRAGMA EM ROCHA ALTERADA COM HIDROFRESA COM ESPESSURA 0,80 ALTERADA COM HIDROFRESA COM ESPESSURA 0,80 METRO, INCLUINDO ESCAVAÇÃO E DEJEITO EM SOLO COM SPT &gt; 50, COLOCAÇÃO DE ARMADURA E CONCRETAGEM.  </t>
  </si>
  <si>
    <t>110</t>
  </si>
  <si>
    <t>5.31</t>
  </si>
  <si>
    <t>25.88.17.03.01</t>
  </si>
  <si>
    <t xml:space="preserve"> EXECUÇÃO DE PAREDE DIAFRAGMA EM ROCHA ALTERADA COM HIDROFRESA COM ESPESSURA 0,60 METRO, INCLUINDO ESCAVAÇÃO E DEJEITO EM SOLO COM SPT &gt; 50, COLOCAÇÃO DE ARMADURA E CONCRETAGEM.  </t>
  </si>
  <si>
    <t>111</t>
  </si>
  <si>
    <t>5.32</t>
  </si>
  <si>
    <t>25.88.17.03.02</t>
  </si>
  <si>
    <t xml:space="preserve"> EXECUÇÃO DE PAREDE DIAFRAGMA EM SOLO COM CLAMSHELL HIDRAULICO, ESPESSURA 0,60 METRO, INCLUINDO ESCAVAÇÃO E DEJEITO EM SOLO COM SPT &lt; 50, COLOCAÇÃO DE ARMADURA E CONCRETAGEM.  </t>
  </si>
  <si>
    <t>112</t>
  </si>
  <si>
    <t>5.33</t>
  </si>
  <si>
    <t>25.88.18.02</t>
  </si>
  <si>
    <t xml:space="preserve"> PERFURAÇÃO DE COLUNA JET GROUTING EM SOLO, SEM INJEÇÃO  </t>
  </si>
  <si>
    <t>113</t>
  </si>
  <si>
    <t>5.34</t>
  </si>
  <si>
    <t>25.88.18.03</t>
  </si>
  <si>
    <t xml:space="preserve"> EXECUÇÃO DE COLUNA JET GROUTING COM DIÂMETRO DE 1,20M  </t>
  </si>
  <si>
    <t>114</t>
  </si>
  <si>
    <t>5.35</t>
  </si>
  <si>
    <t>29.88.07.08</t>
  </si>
  <si>
    <t xml:space="preserve"> FORNECIMENTO DE PERFIL METÁLICO CS-350 MASSA LINEAR DE 144 kg/m -EXECUÇÃO DE ESTRONCAS  </t>
  </si>
  <si>
    <t>115</t>
  </si>
  <si>
    <t xml:space="preserve"> OBRAS DE ARTE ESPECIAIS  </t>
  </si>
  <si>
    <t>116</t>
  </si>
  <si>
    <t>6.1</t>
  </si>
  <si>
    <t>117</t>
  </si>
  <si>
    <t>6.2</t>
  </si>
  <si>
    <t>118</t>
  </si>
  <si>
    <t>6.3</t>
  </si>
  <si>
    <t>25.20.01</t>
  </si>
  <si>
    <t xml:space="preserve"> SOLO REFORÇADO TIPO GREIDE COM ALTURA DE 0 A 6 METROS  </t>
  </si>
  <si>
    <t>119</t>
  </si>
  <si>
    <t>6.4</t>
  </si>
  <si>
    <t>120</t>
  </si>
  <si>
    <t>6.5</t>
  </si>
  <si>
    <t>26.01.01</t>
  </si>
  <si>
    <t xml:space="preserve"> ESCAVAÇÃO MANUAL PARA OBRAS SEM EXPLOSIVO  </t>
  </si>
  <si>
    <t>121</t>
  </si>
  <si>
    <t>6.6</t>
  </si>
  <si>
    <t>26.02.05</t>
  </si>
  <si>
    <t xml:space="preserve"> ESTACA CONCRETO PRÉ-MOLDADO -70/80 T  </t>
  </si>
  <si>
    <t>122</t>
  </si>
  <si>
    <t>6.7</t>
  </si>
  <si>
    <t>26.02.14</t>
  </si>
  <si>
    <t xml:space="preserve"> ESTACÃO EM SOLO D = 1,20M  </t>
  </si>
  <si>
    <t>123</t>
  </si>
  <si>
    <t>6.8</t>
  </si>
  <si>
    <t>26.02.15</t>
  </si>
  <si>
    <t xml:space="preserve"> ESTACÃO EM SOLO D = 1,40M  </t>
  </si>
  <si>
    <t>124</t>
  </si>
  <si>
    <t>6.9</t>
  </si>
  <si>
    <t>26.02.18</t>
  </si>
  <si>
    <t xml:space="preserve"> ESTACÃO EM SOLO D = 1,80M  </t>
  </si>
  <si>
    <t>125</t>
  </si>
  <si>
    <t>6.10</t>
  </si>
  <si>
    <t>26.04.04</t>
  </si>
  <si>
    <t xml:space="preserve"> CIMBRAMENTO METALICO PARA PONTES E VIADUTOS  </t>
  </si>
  <si>
    <t>126</t>
  </si>
  <si>
    <t>6.11</t>
  </si>
  <si>
    <t>26.04.06</t>
  </si>
  <si>
    <t xml:space="preserve"> ANDAIME TUBULAR  </t>
  </si>
  <si>
    <t>127</t>
  </si>
  <si>
    <t>6.12</t>
  </si>
  <si>
    <t>26.05.01</t>
  </si>
  <si>
    <t>128</t>
  </si>
  <si>
    <t>6.13</t>
  </si>
  <si>
    <t>26.05.02</t>
  </si>
  <si>
    <t xml:space="preserve"> FORMA PLANA PARA CONCRETO APARENTE  </t>
  </si>
  <si>
    <t>129</t>
  </si>
  <si>
    <t>6.14</t>
  </si>
  <si>
    <t>26.05.06</t>
  </si>
  <si>
    <t xml:space="preserve"> FORMA CURVA PARA CONCRETO APARENTE  </t>
  </si>
  <si>
    <t>130</t>
  </si>
  <si>
    <t>6.15</t>
  </si>
  <si>
    <t>26.06.01</t>
  </si>
  <si>
    <t xml:space="preserve"> BARRA DE AÇO CA-25  </t>
  </si>
  <si>
    <t>131</t>
  </si>
  <si>
    <t>6.16</t>
  </si>
  <si>
    <t>26.06.02</t>
  </si>
  <si>
    <t>132</t>
  </si>
  <si>
    <t>6.17</t>
  </si>
  <si>
    <t>26.06.03</t>
  </si>
  <si>
    <t>133</t>
  </si>
  <si>
    <t>6.18</t>
  </si>
  <si>
    <t>26.06.04</t>
  </si>
  <si>
    <t xml:space="preserve"> AÇO PARA CONCRETO PROTENDIDO  </t>
  </si>
  <si>
    <t>134</t>
  </si>
  <si>
    <t>6.19</t>
  </si>
  <si>
    <t>26.07.05</t>
  </si>
  <si>
    <t xml:space="preserve"> APARELHO DE ANCORAGEM PARA CABOS PROTENSÃO ATIVA 12 FIOS -12,7mm  </t>
  </si>
  <si>
    <t>135</t>
  </si>
  <si>
    <t>6.20</t>
  </si>
  <si>
    <t>26.08.01</t>
  </si>
  <si>
    <t xml:space="preserve"> APARELHO DE APOIO DE NEOPRENE FRETADO  </t>
  </si>
  <si>
    <t>dm³</t>
  </si>
  <si>
    <t>136</t>
  </si>
  <si>
    <t>6.21</t>
  </si>
  <si>
    <t>26.08.03</t>
  </si>
  <si>
    <t xml:space="preserve"> ARTICULAÇÃO DE CONCRETO TIPO FREYSSINET  </t>
  </si>
  <si>
    <t>dm²</t>
  </si>
  <si>
    <t>137</t>
  </si>
  <si>
    <t>6.22</t>
  </si>
  <si>
    <t>26.09.01</t>
  </si>
  <si>
    <t>138</t>
  </si>
  <si>
    <t>6.23</t>
  </si>
  <si>
    <t>26.09.05</t>
  </si>
  <si>
    <t>139</t>
  </si>
  <si>
    <t>6.24</t>
  </si>
  <si>
    <t>26.09.06</t>
  </si>
  <si>
    <t xml:space="preserve"> CONCRETO fck 30 MPa  </t>
  </si>
  <si>
    <t>140</t>
  </si>
  <si>
    <t>6.25</t>
  </si>
  <si>
    <t>26.09.09</t>
  </si>
  <si>
    <t xml:space="preserve"> BOMBEAMENTO PARA CONCRETO DE QUALQUER RESISTÊNCIA  </t>
  </si>
  <si>
    <t>141</t>
  </si>
  <si>
    <t>6.26</t>
  </si>
  <si>
    <t>26.09.12</t>
  </si>
  <si>
    <t xml:space="preserve"> CONCRETO fck 35 MPa  </t>
  </si>
  <si>
    <t>142</t>
  </si>
  <si>
    <t>6.27</t>
  </si>
  <si>
    <t>26.10.01</t>
  </si>
  <si>
    <t xml:space="preserve"> JUNTA/RETRAÇÃO COM LÁBIOS POLIMÉRICOS 15 ATÉ 40 mm  </t>
  </si>
  <si>
    <t>143</t>
  </si>
  <si>
    <t>6.28</t>
  </si>
  <si>
    <t>26.10.02</t>
  </si>
  <si>
    <t xml:space="preserve"> JUNTA/RETRAÇÃO COM LÁBIOS POLIMÉRICOS 20 ATÉ 50 mm  </t>
  </si>
  <si>
    <t>144</t>
  </si>
  <si>
    <t>6.29</t>
  </si>
  <si>
    <t>26.11.03.03</t>
  </si>
  <si>
    <t xml:space="preserve"> LANÇAMENTO DE PLACA VERTICAL  </t>
  </si>
  <si>
    <t>145</t>
  </si>
  <si>
    <t>6.30</t>
  </si>
  <si>
    <t>26.11.04</t>
  </si>
  <si>
    <t xml:space="preserve"> BARREIRA DE SEGURANÇA TIPO NEW JERSEY DES-5396  </t>
  </si>
  <si>
    <t>146</t>
  </si>
  <si>
    <t>6.31</t>
  </si>
  <si>
    <t>26.13.02</t>
  </si>
  <si>
    <t xml:space="preserve"> LANÇAMENTO DE VIGA 50&lt;P&lt;=80T, COM GUINDASTE  </t>
  </si>
  <si>
    <t>147</t>
  </si>
  <si>
    <t>6.32</t>
  </si>
  <si>
    <t>26.16.01</t>
  </si>
  <si>
    <t xml:space="preserve"> PROTEÇÃO DE TALUDE COM BLOCO PRE MOLDADO SEXTAVADO 30X30X5CM INTERTRAVADO  </t>
  </si>
  <si>
    <t>148</t>
  </si>
  <si>
    <t>6.33</t>
  </si>
  <si>
    <t>26.88.02.07.01</t>
  </si>
  <si>
    <t xml:space="preserve"> ESTACA METÁLICA, FORNECIMENTO E CRAVAÇÃO SOBRE FLUTUANTE  </t>
  </si>
  <si>
    <t>149</t>
  </si>
  <si>
    <t>6.34</t>
  </si>
  <si>
    <t>26.88.11.03.05</t>
  </si>
  <si>
    <t xml:space="preserve"> LANÇAMENTO HORIZONTAL (ENTRE VIGAS PRÉ MOLDADAS)  </t>
  </si>
  <si>
    <t>150</t>
  </si>
  <si>
    <t>6.35</t>
  </si>
  <si>
    <t>26.88.13.02</t>
  </si>
  <si>
    <t xml:space="preserve"> LANÇAMENTO DE VIGA COM TRELIÇA ATÉ 120TF  </t>
  </si>
  <si>
    <t>151</t>
  </si>
  <si>
    <t>6.36</t>
  </si>
  <si>
    <t>26.88.21.05.01</t>
  </si>
  <si>
    <t xml:space="preserve"> DEMOLIÇÃO DE CONCRETO ARMADO COM RECOLHIMENTO MARINHO DOS SEDIMENTOS  </t>
  </si>
  <si>
    <t>152</t>
  </si>
  <si>
    <t>6.37</t>
  </si>
  <si>
    <t>26.88.69.01</t>
  </si>
  <si>
    <t xml:space="preserve"> CORTE DE ESTACAS DE CONCRETO/AÇO COM DIÂMETRO 1,50 m -SUBMERSO 1,50 m SUBMERSO  </t>
  </si>
  <si>
    <t>153</t>
  </si>
  <si>
    <t>6.38</t>
  </si>
  <si>
    <t>26.88.69.02</t>
  </si>
  <si>
    <t xml:space="preserve"> CORTE E REMOÇÃO DE ESTACAS METÁLICAS SUBMERSO  </t>
  </si>
  <si>
    <t>154</t>
  </si>
  <si>
    <t>6.39</t>
  </si>
  <si>
    <t>29.88.23.02</t>
  </si>
  <si>
    <t xml:space="preserve"> MERGULHADORES DE INSPEÇÃO -EQUIPE COMPOSTA POR 4 MERGULHADORES, 2 SUBMERSOS E 2 EM TERRA  </t>
  </si>
  <si>
    <t>h</t>
  </si>
  <si>
    <t>155</t>
  </si>
  <si>
    <t xml:space="preserve"> SINALIZAÇÃO E ELEMENTOS DE SEGURANÇA  </t>
  </si>
  <si>
    <t>156</t>
  </si>
  <si>
    <t>7.1</t>
  </si>
  <si>
    <t>28.88.70.05</t>
  </si>
  <si>
    <t xml:space="preserve"> POSTE COMPOSTO PARA SINALIZAÇÃO  </t>
  </si>
  <si>
    <t>157</t>
  </si>
  <si>
    <t>7.2</t>
  </si>
  <si>
    <t>28.88.70.01</t>
  </si>
  <si>
    <t xml:space="preserve"> BPC -BRAÇO PROJETADO EM COLUNA (SINALIZAÇÃO VERTICAL) -PP DA CET-SP - A2-191-DSV3 -COLUNA E BRAÇO 5x5,25  </t>
  </si>
  <si>
    <t>158</t>
  </si>
  <si>
    <t>7.3</t>
  </si>
  <si>
    <t>28.88.70.03</t>
  </si>
  <si>
    <t xml:space="preserve"> BRAÇO PROJETADO (SINALIZAÇÃO SEMAFÓRICA) -PP'S DA CET - CET-21, CET-22, CET-28, CET-28 e CET-36 .  </t>
  </si>
  <si>
    <t>159</t>
  </si>
  <si>
    <t>7.4</t>
  </si>
  <si>
    <t>28.88.70.04</t>
  </si>
  <si>
    <t xml:space="preserve"> POSTE SIMPLES PARA SINALIZAÇÃO, DE ACORDO COM A CET-22  </t>
  </si>
  <si>
    <t>160</t>
  </si>
  <si>
    <t>7.5</t>
  </si>
  <si>
    <t>28.88.70.02</t>
  </si>
  <si>
    <t xml:space="preserve"> FOCO SEMAFÓRICO PP'S  GCR-1057-CONJUNTO 200 CONV. BP E GCR-1056-CONJUNTO 200 CONV. CS  </t>
  </si>
  <si>
    <t>161</t>
  </si>
  <si>
    <t>7.6</t>
  </si>
  <si>
    <t>28.06.30</t>
  </si>
  <si>
    <t xml:space="preserve"> SUPORTE DE PLACAS DE SOLO ECOLÓGICO E COLAPSIVEL 75X75 mm  </t>
  </si>
  <si>
    <t>162</t>
  </si>
  <si>
    <t>7.7</t>
  </si>
  <si>
    <t>28.02.04.01</t>
  </si>
  <si>
    <t xml:space="preserve"> FORNECIMENTO, TRANSPORTE E FIXAÇÃO DE SEMI-PÓRTICO TUBULAR EM BALANCO VÃO DE 5,10 m  </t>
  </si>
  <si>
    <t>163</t>
  </si>
  <si>
    <t>7.8</t>
  </si>
  <si>
    <t>28.02.01.01</t>
  </si>
  <si>
    <t xml:space="preserve"> FORNECIMENTO,TRANSPORTE E FIXAÇÃO DE PÓRTICO TUBULAR METÁLICO VÃO DE 15,20 m  </t>
  </si>
  <si>
    <t>164</t>
  </si>
  <si>
    <t>7.9</t>
  </si>
  <si>
    <t>28.01.05.01</t>
  </si>
  <si>
    <t xml:space="preserve"> FORNECIMENTO E TRANSPORTE DE PLACA DE AÇO GT+AI  </t>
  </si>
  <si>
    <t>165</t>
  </si>
  <si>
    <t>7.10</t>
  </si>
  <si>
    <t>28.01.04.01</t>
  </si>
  <si>
    <t xml:space="preserve"> FORNECIMENTO E TRANSPORTE DE PLACA DE AÇO GT+GT  </t>
  </si>
  <si>
    <t>166</t>
  </si>
  <si>
    <t>7.11</t>
  </si>
  <si>
    <t>28.01.24.01</t>
  </si>
  <si>
    <t xml:space="preserve"> COLOCAÇAO DE PLACA EM SUPÕRTE DE MADEIRA/METÁLICO -SOLO  </t>
  </si>
  <si>
    <t>167</t>
  </si>
  <si>
    <t>7.12</t>
  </si>
  <si>
    <t>28.06.12</t>
  </si>
  <si>
    <t xml:space="preserve"> SUPORTE TUBULAR GALVANIZADO 2 1/2   </t>
  </si>
  <si>
    <t>168</t>
  </si>
  <si>
    <t>7.13</t>
  </si>
  <si>
    <t>28.01.25.01</t>
  </si>
  <si>
    <t xml:space="preserve"> COLOCAÇÃO DE PLACA AÉREA EM PÓRTICOS OU SEMI-PÓRTICO  </t>
  </si>
  <si>
    <t>169</t>
  </si>
  <si>
    <t>7.14</t>
  </si>
  <si>
    <t>28.01.08.01</t>
  </si>
  <si>
    <t xml:space="preserve"> FORNECIMENTO E TRANSPORTE DE PLACA DE ALUMÍNIO GT+AI  </t>
  </si>
  <si>
    <t>170</t>
  </si>
  <si>
    <t>7.15</t>
  </si>
  <si>
    <t>28.03.05</t>
  </si>
  <si>
    <t xml:space="preserve"> SINALIZAÇÃO HORIZONTAL COM TERMOPLÁSTICO -EXTRUDADO  </t>
  </si>
  <si>
    <t>171</t>
  </si>
  <si>
    <t>7.16</t>
  </si>
  <si>
    <t>28.03.02</t>
  </si>
  <si>
    <t xml:space="preserve"> SINALIZAÇÃO HORIZONTAL COM RESINA VINÍLICA OU ACRÍLICA  </t>
  </si>
  <si>
    <t>172</t>
  </si>
  <si>
    <t>7.17</t>
  </si>
  <si>
    <t>28.03.03</t>
  </si>
  <si>
    <t xml:space="preserve"> SINALIZAÇÃO HORIZONTAL COM TERMOPLÁSTICO -HOT-SPRAY  </t>
  </si>
  <si>
    <t>173</t>
  </si>
  <si>
    <t>7.18</t>
  </si>
  <si>
    <t>28.03.13</t>
  </si>
  <si>
    <t xml:space="preserve"> TACHA MONODIRECIONAL COM REFLETIVO PLÁSTICO  </t>
  </si>
  <si>
    <t>174</t>
  </si>
  <si>
    <t xml:space="preserve"> SERVIÇOS DE PROTEÇÃO AO MEIO AMBIENTE E PAISAGISMO  </t>
  </si>
  <si>
    <t>175</t>
  </si>
  <si>
    <t>8.1</t>
  </si>
  <si>
    <t>30.01.01</t>
  </si>
  <si>
    <t xml:space="preserve"> GRAMA EM PLACA SEM ADUBO  </t>
  </si>
  <si>
    <t>176</t>
  </si>
  <si>
    <t>8.2</t>
  </si>
  <si>
    <t xml:space="preserve"> 18-01-01  </t>
  </si>
  <si>
    <t xml:space="preserve"> TUTOR E AMARILHO PARA ÁRVORES  </t>
  </si>
  <si>
    <t>177</t>
  </si>
  <si>
    <t>8.3</t>
  </si>
  <si>
    <t xml:space="preserve"> 18-01-03  </t>
  </si>
  <si>
    <t xml:space="preserve"> PROTETOR TIPO PARQUE PARA ÁRVORES  </t>
  </si>
  <si>
    <t>178</t>
  </si>
  <si>
    <t>8.4</t>
  </si>
  <si>
    <t xml:space="preserve"> 18-02-25  </t>
  </si>
  <si>
    <t xml:space="preserve"> IPÊ AMARELO (TABEBUIA CHRYSOTRICHA)  </t>
  </si>
  <si>
    <t>179</t>
  </si>
  <si>
    <t>8.5</t>
  </si>
  <si>
    <t xml:space="preserve"> 18-02-26  </t>
  </si>
  <si>
    <t xml:space="preserve"> IPÊ ROSA (TABEBUIA AVELLANEDAE)  </t>
  </si>
  <si>
    <t>180</t>
  </si>
  <si>
    <t>8.6</t>
  </si>
  <si>
    <t xml:space="preserve"> 18-02-50  </t>
  </si>
  <si>
    <t xml:space="preserve"> SIBIPIRUNA (CAESALPINIA PELTOPHOROIDES)  </t>
  </si>
  <si>
    <t>181</t>
  </si>
  <si>
    <t>8.7</t>
  </si>
  <si>
    <t xml:space="preserve"> 18-02-80  </t>
  </si>
  <si>
    <t xml:space="preserve"> PALMEIRA IMPERIAL (ROY STONEAOLERACEA)  </t>
  </si>
  <si>
    <t>182</t>
  </si>
  <si>
    <t>8.8</t>
  </si>
  <si>
    <t xml:space="preserve"> 18-02-91  </t>
  </si>
  <si>
    <t xml:space="preserve"> QUARESMEIRA (TIBOUCHINA GRANULOSA)  </t>
  </si>
  <si>
    <t>183</t>
  </si>
  <si>
    <t>8.9</t>
  </si>
  <si>
    <t xml:space="preserve"> 18-03-01  </t>
  </si>
  <si>
    <t xml:space="preserve"> GRAMA BATATAES EM PLACAS (PASPALUM NOTATUM)  </t>
  </si>
  <si>
    <t>184</t>
  </si>
  <si>
    <t>8.10</t>
  </si>
  <si>
    <t xml:space="preserve"> 18-03-03  </t>
  </si>
  <si>
    <t xml:space="preserve"> GRAMA SÃO CARLOS EM PLACAS (ANOXONOPUS OBTUSIFOLIUS)  </t>
  </si>
  <si>
    <t>185</t>
  </si>
  <si>
    <t>8.11</t>
  </si>
  <si>
    <t xml:space="preserve"> 18-10-50  </t>
  </si>
  <si>
    <t xml:space="preserve"> NR.10 -ORLA PARA ÁRVORE EM PARALELEPÍPEDO -1,20 X 1,20 m  </t>
  </si>
  <si>
    <t>186</t>
  </si>
  <si>
    <t>8.12</t>
  </si>
  <si>
    <t xml:space="preserve"> 18-10-56  </t>
  </si>
  <si>
    <t xml:space="preserve"> ORLA DE SEPARAÇÃO EM CONCRETO NC.26  </t>
  </si>
  <si>
    <t>187</t>
  </si>
  <si>
    <t>8.13</t>
  </si>
  <si>
    <t xml:space="preserve"> 18-80-30  </t>
  </si>
  <si>
    <t xml:space="preserve"> PREPARO DO SOLO PARA PLANTIO DE GRAMA BATATAES  </t>
  </si>
  <si>
    <t>188</t>
  </si>
  <si>
    <t xml:space="preserve"> EQUIPAMENTOS  </t>
  </si>
  <si>
    <t>189</t>
  </si>
  <si>
    <t>9.1</t>
  </si>
  <si>
    <t xml:space="preserve"> 72,26,88,72,75,01  </t>
  </si>
  <si>
    <t xml:space="preserve"> FLUTUANTE (CAPACIDADE PARA GUINDASTE DE 200 TON EMBARCADO)  </t>
  </si>
  <si>
    <t>mês</t>
  </si>
  <si>
    <t>190</t>
  </si>
  <si>
    <t>9.2</t>
  </si>
  <si>
    <t xml:space="preserve"> 72,88,99,01,01  </t>
  </si>
  <si>
    <t xml:space="preserve"> GUINDASTE DE TORRE TRELIÇADA P/ 200 TON  </t>
  </si>
  <si>
    <t>191</t>
  </si>
  <si>
    <t>9.3</t>
  </si>
  <si>
    <t xml:space="preserve"> 72,88,30,01,04  </t>
  </si>
  <si>
    <t xml:space="preserve"> GRUA 12M COM LANÇA DE 45 METROS COND. D  </t>
  </si>
  <si>
    <t>192</t>
  </si>
  <si>
    <t>9.4</t>
  </si>
  <si>
    <t xml:space="preserve"> 72,88,31,06,04  </t>
  </si>
  <si>
    <t xml:space="preserve"> GRUPO GERADOR PORTATIL 7KVA COND.D  </t>
  </si>
  <si>
    <t>193</t>
  </si>
  <si>
    <t>9.5</t>
  </si>
  <si>
    <t xml:space="preserve"> 72,88,33,02,04  </t>
  </si>
  <si>
    <t xml:space="preserve"> GUINDASTE HIDRÁULICO COM LANCA TELESCÓPICA SOBRE PNEU 27,2 ton  </t>
  </si>
  <si>
    <t>194</t>
  </si>
  <si>
    <t xml:space="preserve"> INSTALAÇÃO DE COMBATE A INCÊNDIO  </t>
  </si>
  <si>
    <t>195</t>
  </si>
  <si>
    <t>10.1</t>
  </si>
  <si>
    <t xml:space="preserve"> 10-08-85  </t>
  </si>
  <si>
    <t xml:space="preserve"> EXTINTOR DE INCÊNDIO COM CARGA DE ÁGUA PRESSURIZADA – 10L  </t>
  </si>
  <si>
    <t>196</t>
  </si>
  <si>
    <t>10.2</t>
  </si>
  <si>
    <t xml:space="preserve"> 10-08-93  </t>
  </si>
  <si>
    <t xml:space="preserve"> EXTINTOR PORTÁTIL DE PÓ QUÍMICO -BC-20B  </t>
  </si>
  <si>
    <t>197</t>
  </si>
  <si>
    <t>10.3</t>
  </si>
  <si>
    <t xml:space="preserve"> TUBO DE AÇO CARBONO EXTREMIDADE CHANFRADA, PRETO, SEM COSTURA,ASTM -120, SCH-40 -Ø75MM  </t>
  </si>
  <si>
    <t>198</t>
  </si>
  <si>
    <t>10.4</t>
  </si>
  <si>
    <t xml:space="preserve"> TUBO DE AÇO CARBONO EXTREMIDADE CHANFRADA, PRETO, SEM COSTURA, ASTM -120, SCH-40 -Ø100MM  </t>
  </si>
  <si>
    <t>199</t>
  </si>
  <si>
    <t>10.5</t>
  </si>
  <si>
    <t xml:space="preserve"> 29,88,50,03  </t>
  </si>
  <si>
    <t xml:space="preserve"> LUVA DE REDUÇÃO DE AÇO CARBONO Ø100X75MM  </t>
  </si>
  <si>
    <t>200</t>
  </si>
  <si>
    <t>10.6</t>
  </si>
  <si>
    <t xml:space="preserve"> 29,88,50,04  </t>
  </si>
  <si>
    <t xml:space="preserve"> LUVA DE REDUÇÃO DE AÇO CARBONO Ø75X65MM  </t>
  </si>
  <si>
    <t>201</t>
  </si>
  <si>
    <t>10.7</t>
  </si>
  <si>
    <t xml:space="preserve"> 29,88,50,05  </t>
  </si>
  <si>
    <t xml:space="preserve"> VÁLVULA DE RETENÇÃO EM BRONZE OU LATÃO, CLASSE 200LBS, MONTAGEM NA HORIZONTAL -Ø65MM  </t>
  </si>
  <si>
    <t>202</t>
  </si>
  <si>
    <t>10.8</t>
  </si>
  <si>
    <t xml:space="preserve"> 29,88,50,06  </t>
  </si>
  <si>
    <t xml:space="preserve"> VÁLVULA DE GLOBO ANGULAR 45º EM BRONZE, CLASSE 200 LBS, VEDAÇÃO EM BORRACHA ETILENO-PROPILENO, VOLANTE METÁLICO E HASTE ASCENDENTE -Ø2½   </t>
  </si>
  <si>
    <t>203</t>
  </si>
  <si>
    <t>10.9</t>
  </si>
  <si>
    <t xml:space="preserve"> 29,88,50,07  </t>
  </si>
  <si>
    <t xml:space="preserve"> TÊ DE AÇO CARBONO FORJADO ASTM A-234 PARA 200LBS -Ø100MM  </t>
  </si>
  <si>
    <t>204</t>
  </si>
  <si>
    <t>10.10</t>
  </si>
  <si>
    <t xml:space="preserve"> 29,88,50,08  </t>
  </si>
  <si>
    <t xml:space="preserve"> CURVA 90º DE AÇO CARBONO FORJADO, ASTM A -234 PARA 200LBS -Ø75MM  </t>
  </si>
  <si>
    <t>205</t>
  </si>
  <si>
    <t>10.11</t>
  </si>
  <si>
    <t xml:space="preserve"> 29,88,50,09  </t>
  </si>
  <si>
    <t xml:space="preserve"> TAMPÃO DE FERRO FUNDIDO COM INSCRIÇÃO INCÊNDIO 40X60CM  </t>
  </si>
  <si>
    <t>206</t>
  </si>
  <si>
    <t>10.12</t>
  </si>
  <si>
    <t xml:space="preserve"> 29,88,50,10  </t>
  </si>
  <si>
    <t xml:space="preserve"> TAMPÃO DE LATÃO STORZ -Ø 2 1/2   </t>
  </si>
  <si>
    <t>207</t>
  </si>
  <si>
    <t>10.13</t>
  </si>
  <si>
    <t xml:space="preserve"> 29,88,50,11  </t>
  </si>
  <si>
    <t xml:space="preserve"> SUPORTE DE FIXAÇÃO PARA TUBO DE AÇO CARBONO -Ø100MM  </t>
  </si>
  <si>
    <t>208</t>
  </si>
  <si>
    <t>10.14</t>
  </si>
  <si>
    <t xml:space="preserve"> 29,88,50,12  </t>
  </si>
  <si>
    <t xml:space="preserve"> SUPORTE DE FIXAÇÃO PARA TUBO DE AÇO CARBONO -Ø75MM  </t>
  </si>
  <si>
    <t>209</t>
  </si>
  <si>
    <t>10.15</t>
  </si>
  <si>
    <t xml:space="preserve"> 29,88,50,13  </t>
  </si>
  <si>
    <t xml:space="preserve"> ADAPTADOR DE LATÃO STORZ -Ø2 1/2   </t>
  </si>
  <si>
    <t>210</t>
  </si>
  <si>
    <t>10.16</t>
  </si>
  <si>
    <t xml:space="preserve"> 29,88,50,14  </t>
  </si>
  <si>
    <t xml:space="preserve"> MANGUEIRA DE FIBRA SINTÉTICA COM REVESTIMENTO INTERNO DE BORRACHA, COM UNIÃO STORZ NAS DUAS EXTREMINDADES -Ø2 1/2  COM COMPRIMENTO DE 30 METROS  </t>
  </si>
  <si>
    <t>211</t>
  </si>
  <si>
    <t>10.17</t>
  </si>
  <si>
    <t xml:space="preserve"> 29,88,50,15  </t>
  </si>
  <si>
    <t xml:space="preserve"> ESGUICHO TIPO JATO SÓLIDO X NEBLINA -Ø2 1/2   </t>
  </si>
  <si>
    <t>212</t>
  </si>
  <si>
    <t>10.18</t>
  </si>
  <si>
    <t xml:space="preserve"> 29,88,50,16  </t>
  </si>
  <si>
    <t xml:space="preserve"> TAMPA METÁLICA COM DIMENSÕES 1,0X1,0M COM VISOR DE VIDRO E SUPORTE METÁLICO PARA FIXAÇÃO NO ABRIGO DE CONCRETO  </t>
  </si>
  <si>
    <t>213</t>
  </si>
  <si>
    <t>10.19</t>
  </si>
  <si>
    <t xml:space="preserve"> 29,88,50,17  </t>
  </si>
  <si>
    <t xml:space="preserve"> SUPORTE PARA MANGUEIRAS DO TIPO CESTA EM MEIA LUA (2X15M)  </t>
  </si>
  <si>
    <t>214</t>
  </si>
  <si>
    <t>10.20</t>
  </si>
  <si>
    <t xml:space="preserve"> 29,88,50,20  </t>
  </si>
  <si>
    <t xml:space="preserve"> MANÔMETRO INDUSTRIAL EM INOX, SAÍDA INFERIOR, MOSTRADOR Ø 100MM, ROSCA 1/2  NPT, ESCALA 0 A 20 KGF/CM², EXATIDÃO DE 1,5%, COM PREENCHIMENTO DE GLICERINA.  </t>
  </si>
  <si>
    <t>215</t>
  </si>
  <si>
    <t>10.21</t>
  </si>
  <si>
    <t xml:space="preserve"> 29,88,50,21  </t>
  </si>
  <si>
    <t xml:space="preserve"> VÁLVULA GAVETA EM AÇO CARBONO FLANGEADA, PARA 200LBS, Ø4”  </t>
  </si>
  <si>
    <t>216</t>
  </si>
  <si>
    <t>10.22</t>
  </si>
  <si>
    <t xml:space="preserve"> 29,88,50,22  </t>
  </si>
  <si>
    <t xml:space="preserve"> BOMBA CENTRIFUGA Hman = 40 mca Q=600l/min  </t>
  </si>
  <si>
    <t>217</t>
  </si>
  <si>
    <t>10.23</t>
  </si>
  <si>
    <t xml:space="preserve"> 29,88,50,23  </t>
  </si>
  <si>
    <t xml:space="preserve"> BOMBA  JOCKEY  CENTRIFUGA Hman = 45 mca Q=20l/min  </t>
  </si>
  <si>
    <t>218</t>
  </si>
  <si>
    <t>10.24</t>
  </si>
  <si>
    <t xml:space="preserve"> 29,88,50,24  </t>
  </si>
  <si>
    <t xml:space="preserve"> PINTURA TUBULAÇÃO AÇO GALVANIZADO Ø 75 mm -VERMELHO SEGURANÇA  </t>
  </si>
  <si>
    <t>219</t>
  </si>
  <si>
    <t>10.25</t>
  </si>
  <si>
    <t xml:space="preserve"> 29,88,50,25  </t>
  </si>
  <si>
    <t xml:space="preserve"> PINTURA TUBULAÇÃO AÇO GALVANIZADO Ø 100 mm -VERMELHO SEGURANÇA  </t>
  </si>
  <si>
    <t>220</t>
  </si>
  <si>
    <t>10.26</t>
  </si>
  <si>
    <t xml:space="preserve"> 29,88,50,28  </t>
  </si>
  <si>
    <t xml:space="preserve"> CURVA 22º30' DE AÇO CARBONO FORJADO, ASTM A -234 PARA 200LBS -Ø100MM  </t>
  </si>
  <si>
    <t>221</t>
  </si>
  <si>
    <t>10.27</t>
  </si>
  <si>
    <t xml:space="preserve"> 29,88,50,29  </t>
  </si>
  <si>
    <t xml:space="preserve"> CURVA 11º15' DE AÇO CARBONO FORJADO, ASTM A -234 PARA 200LBS -Ø100MM  </t>
  </si>
  <si>
    <t>222</t>
  </si>
  <si>
    <t>10.28</t>
  </si>
  <si>
    <t xml:space="preserve"> 29,88,50,30  </t>
  </si>
  <si>
    <t xml:space="preserve"> PRESSOSTATO INDUSTRIAL , CONECTOR EM AÇO CARBONO, ROCAS 1/2” NPT, ESCALA 0 A 20 KGF/CM².  </t>
  </si>
  <si>
    <t>223</t>
  </si>
  <si>
    <t>10.29</t>
  </si>
  <si>
    <t xml:space="preserve"> 29,88,50,31  </t>
  </si>
  <si>
    <t xml:space="preserve"> AMORTECEDOR DE VIBRAÇÃO COM FOLE EM AÇO INOXIDÁVEL Ø150MM, PRESSÃO DE TRABALHO 20 KGF/CM².  </t>
  </si>
  <si>
    <t>224</t>
  </si>
  <si>
    <t xml:space="preserve"> EDIFICAÇÃO  </t>
  </si>
  <si>
    <t>225</t>
  </si>
  <si>
    <t>11.1</t>
  </si>
  <si>
    <t xml:space="preserve"> 04-01-25  </t>
  </si>
  <si>
    <t xml:space="preserve"> TIJOLOS DE VIDRO -CANELADO, 19X19 cm  </t>
  </si>
  <si>
    <t>226</t>
  </si>
  <si>
    <t>11.2</t>
  </si>
  <si>
    <t xml:space="preserve"> 04-01-26  </t>
  </si>
  <si>
    <t xml:space="preserve"> TIJOLOS DE VIDRO -TIJOLINHO, 19X19 cm  </t>
  </si>
  <si>
    <t>227</t>
  </si>
  <si>
    <t>11.3</t>
  </si>
  <si>
    <t xml:space="preserve"> 04-01-41  </t>
  </si>
  <si>
    <t xml:space="preserve"> BLOCOS VAZADOS DE CONCRETO -14 cm  </t>
  </si>
  <si>
    <t>228</t>
  </si>
  <si>
    <t>11.4</t>
  </si>
  <si>
    <t xml:space="preserve"> 04-01-42  </t>
  </si>
  <si>
    <t xml:space="preserve"> BLOCOS VAZADOS DE CONCRETO -19 cm  </t>
  </si>
  <si>
    <t>229</t>
  </si>
  <si>
    <t>11.5</t>
  </si>
  <si>
    <t xml:space="preserve"> 04-01-51  </t>
  </si>
  <si>
    <t xml:space="preserve"> BLOCOS VAZADOS DE CONCRETO APARENTE -14 cm  </t>
  </si>
  <si>
    <t>230</t>
  </si>
  <si>
    <t>11.6</t>
  </si>
  <si>
    <t xml:space="preserve"> 04-01-52  </t>
  </si>
  <si>
    <t xml:space="preserve"> BLOCOS VAZADOS DE CONCRETO APARENTE -19 cm  </t>
  </si>
  <si>
    <t>231</t>
  </si>
  <si>
    <t>11.7</t>
  </si>
  <si>
    <t xml:space="preserve"> 04-02-15  </t>
  </si>
  <si>
    <t xml:space="preserve"> ELEMENTO VAZADO DE CONCRETO -TIPO NEO-REX N.19C OU SIMILAR  </t>
  </si>
  <si>
    <t>232</t>
  </si>
  <si>
    <t>11.8</t>
  </si>
  <si>
    <t xml:space="preserve"> 04-02-18  </t>
  </si>
  <si>
    <t xml:space="preserve"> ELEMENTO VAZADO DE CONCRETO -TIPO NEO-REX N.23A OU SIMILAR  </t>
  </si>
  <si>
    <t>233</t>
  </si>
  <si>
    <t>11.9</t>
  </si>
  <si>
    <t xml:space="preserve"> 04-02-35  </t>
  </si>
  <si>
    <t xml:space="preserve"> ELEMENTO VAZADO DE CONCRETO -TIPO NEO-REX N.78A OU SIMILAR  </t>
  </si>
  <si>
    <t>234</t>
  </si>
  <si>
    <t>11.10</t>
  </si>
  <si>
    <t xml:space="preserve"> 04-03-32  </t>
  </si>
  <si>
    <t xml:space="preserve"> PLACAS DE GRANILITE -50 mm DE ESPESSURA  </t>
  </si>
  <si>
    <t>235</t>
  </si>
  <si>
    <t>11.11</t>
  </si>
  <si>
    <t xml:space="preserve"> 05-01-01  </t>
  </si>
  <si>
    <t xml:space="preserve"> ARGAMASSA IMPERMEABILIZANTE DE CIMENTO E AREIA (REBOCO IMPERMEÁVEL) -TRAÇO 1:3, ESPESSURA DE 20 mm  </t>
  </si>
  <si>
    <t>236</t>
  </si>
  <si>
    <t>11.12</t>
  </si>
  <si>
    <t xml:space="preserve"> 05-01-30  </t>
  </si>
  <si>
    <t xml:space="preserve"> CIMENTO IMPERMEABILIZANTE DE CRISTALIZAÇÃO -ESTRUTUTURA ENTERRADA  </t>
  </si>
  <si>
    <t>237</t>
  </si>
  <si>
    <t>11.13</t>
  </si>
  <si>
    <t xml:space="preserve"> 05-03-09  </t>
  </si>
  <si>
    <t xml:space="preserve"> MANTA ASFÁLTICA ESPESSURA DE 4 mm COM VÉU DE POLIÉSTER COLADA A MAÇARICO  </t>
  </si>
  <si>
    <t>238</t>
  </si>
  <si>
    <t>11.14</t>
  </si>
  <si>
    <t xml:space="preserve"> 05-03-12  </t>
  </si>
  <si>
    <t xml:space="preserve"> IMPERMEABILIZAÇÃO PARA INTERIOR DE RESERVATÓRIO COM TINTA ASFALTICA IMPERMEABILIZANTE DE GRANDE ADERÊNCIA E DE ALTE RESISTENCIA QUÍMICA (BASE SOLVENTE) (PA-06)  </t>
  </si>
  <si>
    <t>239</t>
  </si>
  <si>
    <t>11.15</t>
  </si>
  <si>
    <t xml:space="preserve"> 05-03-40  </t>
  </si>
  <si>
    <t xml:space="preserve"> REGULARIZAÇÃO COM ARGAMASSA DE CIMENTO E AREIA -TRAÇO 1:3, ESPESSURA MÉDIA 30 mm  </t>
  </si>
  <si>
    <t>240</t>
  </si>
  <si>
    <t>11.16</t>
  </si>
  <si>
    <t xml:space="preserve"> 05-03-43  </t>
  </si>
  <si>
    <t xml:space="preserve"> PINTURA PROTETORA COM TINTA BETUMINOSA (PARA ARGAMASSA IMPERMEÁVEL) -2 DEMÃOS  </t>
  </si>
  <si>
    <t>241</t>
  </si>
  <si>
    <t>11.17</t>
  </si>
  <si>
    <t xml:space="preserve"> 05-03-47  </t>
  </si>
  <si>
    <t xml:space="preserve"> PROTEÇÃO MECÂNICA COM ARGAMASSA DE CIMENTO E AREIA -TRAÇO 1:7, ESPESSURA MÉDIA 30 mm  </t>
  </si>
  <si>
    <t>242</t>
  </si>
  <si>
    <t>11.18</t>
  </si>
  <si>
    <t xml:space="preserve"> 06-01-30  </t>
  </si>
  <si>
    <t xml:space="preserve"> FORNECIMENTO DE ESTRUTURA METÁLICA PARA COBERTURA  </t>
  </si>
  <si>
    <t>243</t>
  </si>
  <si>
    <t>11.19</t>
  </si>
  <si>
    <t xml:space="preserve"> 06-01-31  </t>
  </si>
  <si>
    <t xml:space="preserve"> MONTAGEM DE ESTRUTURA METÁLICA PARA COBERTURA  </t>
  </si>
  <si>
    <t>244</t>
  </si>
  <si>
    <t>11.20</t>
  </si>
  <si>
    <t xml:space="preserve"> 06-02-42  </t>
  </si>
  <si>
    <t xml:space="preserve"> TELHAS DE ALUMÍNIO PERFIL TRAPEZOIDAL -ESPESSURA 0,8 mm  </t>
  </si>
  <si>
    <t>245</t>
  </si>
  <si>
    <t>11.21</t>
  </si>
  <si>
    <t xml:space="preserve"> 06-02-43  </t>
  </si>
  <si>
    <t xml:space="preserve"> TELHA TRAPEZOIDAL DUPLA EM AÇO GALVANIZADO -E= 0,8 mm, REVESTIMENTO B, H=40 mm -PINTADA 1 FACE -MIOLO EM POLIURETANO E=30 mm  </t>
  </si>
  <si>
    <t>246</t>
  </si>
  <si>
    <t>11.22</t>
  </si>
  <si>
    <t xml:space="preserve"> 06-03-98  </t>
  </si>
  <si>
    <t xml:space="preserve"> DOMO ACRÍLICO PARA ILUMINAÇÃO E VENTILAÇÃO  </t>
  </si>
  <si>
    <t>247</t>
  </si>
  <si>
    <t>11.23</t>
  </si>
  <si>
    <t xml:space="preserve"> 07-01-02  </t>
  </si>
  <si>
    <t xml:space="preserve"> PM.02 -PORTA LISA COMUM/ ENCABEÇADA, REVESTIDA COM LAMINADO MELAMÍNICO (PARA INSTALAÇÃO SANITÁRIA) -62X165 cm  </t>
  </si>
  <si>
    <t>248</t>
  </si>
  <si>
    <t>11.24</t>
  </si>
  <si>
    <t xml:space="preserve"> 07-01-03  </t>
  </si>
  <si>
    <t xml:space="preserve"> PM.03 -PORTA LISA ESPECIAL/ SÓLIDA PARA BOX, PARA PORTADORES DE DEFICIÊNCIA FÍSICA -82X170 cm  </t>
  </si>
  <si>
    <t>249</t>
  </si>
  <si>
    <t>11.25</t>
  </si>
  <si>
    <t xml:space="preserve"> 07-01-04  </t>
  </si>
  <si>
    <t xml:space="preserve"> PM.04 -PORTA LISA ESPECIAL/ SÓLIDA PARA PORTADORES DE DEFICIÊNCIA FÍSICA -82X210 cm  </t>
  </si>
  <si>
    <t>250</t>
  </si>
  <si>
    <t>11.26</t>
  </si>
  <si>
    <t xml:space="preserve"> 07-01-07  </t>
  </si>
  <si>
    <t xml:space="preserve"> PM.07 -PORTA LISA ESPECIAL/ SÓLIDA -82X210 cm  </t>
  </si>
  <si>
    <t>251</t>
  </si>
  <si>
    <t>11.27</t>
  </si>
  <si>
    <t xml:space="preserve"> 07-01-08  </t>
  </si>
  <si>
    <t xml:space="preserve"> PM.08 -PORTA LISA ESPECIAL/ SÓLIDA -92X210 cm  </t>
  </si>
  <si>
    <t>252</t>
  </si>
  <si>
    <t>11.28</t>
  </si>
  <si>
    <t xml:space="preserve"> 08-01-01  </t>
  </si>
  <si>
    <t xml:space="preserve"> PP.01 -PORTA EM FERRO PERFILADO, DUPLA ALMOFADADA -ABRIR, 1 FOLHA  </t>
  </si>
  <si>
    <t>253</t>
  </si>
  <si>
    <t>11.29</t>
  </si>
  <si>
    <t xml:space="preserve"> 08-01-02  </t>
  </si>
  <si>
    <t xml:space="preserve"> PP.02 -PORTA EM FERRO PERFILADO, DUPLA ALMOFADADA -ABRIR, 2 FOLHA  </t>
  </si>
  <si>
    <t>254</t>
  </si>
  <si>
    <t>11.30</t>
  </si>
  <si>
    <t xml:space="preserve"> 08-01-25  </t>
  </si>
  <si>
    <t xml:space="preserve"> PF-23 -PORTA EM PERFIL DE CHAPA DOBRADA, VENEZIANA, ABRIR 1 FOLHA  </t>
  </si>
  <si>
    <t>255</t>
  </si>
  <si>
    <t>11.31</t>
  </si>
  <si>
    <t xml:space="preserve"> 08-01-26  </t>
  </si>
  <si>
    <t xml:space="preserve"> PF-28 -PORTA EM PERFIL DE CHAPA DOBRADA, VENEZIANA, ABRIR 2 FOLHAS  </t>
  </si>
  <si>
    <t>256</t>
  </si>
  <si>
    <t>11.32</t>
  </si>
  <si>
    <t xml:space="preserve"> 08-01-39  </t>
  </si>
  <si>
    <t xml:space="preserve"> PA.10 -PORTA EM ALUMÍNIO ANODIZADO, MEIO VIDRO -ABRIR, 1 FOLHA  </t>
  </si>
  <si>
    <t>257</t>
  </si>
  <si>
    <t>11.33</t>
  </si>
  <si>
    <t xml:space="preserve"> 08-01-40  </t>
  </si>
  <si>
    <t xml:space="preserve"> PA.11 -PORTA EM ALUMÍNIO ANODIZADO, MEIO VIDRO, DE ABRIR, 2 FOLHAS  </t>
  </si>
  <si>
    <t>258</t>
  </si>
  <si>
    <t>11.34</t>
  </si>
  <si>
    <t xml:space="preserve"> 08-01-45  </t>
  </si>
  <si>
    <t xml:space="preserve"> PA.16 -PORTA EM ALUMÍNIO ANODIZADO, VENEZIANA -ABRIR, 1 FOLHA  </t>
  </si>
  <si>
    <t>259</t>
  </si>
  <si>
    <t>11.35</t>
  </si>
  <si>
    <t xml:space="preserve"> 08-01-50  </t>
  </si>
  <si>
    <t xml:space="preserve"> PORTA DE ENROLAR, EM CHAPA ONDULADA N.22  </t>
  </si>
  <si>
    <t>260</t>
  </si>
  <si>
    <t>11.36</t>
  </si>
  <si>
    <t xml:space="preserve"> 08-02-01  </t>
  </si>
  <si>
    <t xml:space="preserve"> CP.01 -CAIXILHO EM FERRO PERFILADO -FIXO, SEM VENTILAÇÃO PERMANENTE  </t>
  </si>
  <si>
    <t>261</t>
  </si>
  <si>
    <t>11.37</t>
  </si>
  <si>
    <t xml:space="preserve"> 08-02-03  </t>
  </si>
  <si>
    <t xml:space="preserve"> CP.03/20/21 -CAIXILHO EM FERRO PERFILADO -FIXO, COM VENTILAÇÃO PERMANENTE  </t>
  </si>
  <si>
    <t>262</t>
  </si>
  <si>
    <t>11.38</t>
  </si>
  <si>
    <t xml:space="preserve"> 08-02-51  </t>
  </si>
  <si>
    <t xml:space="preserve"> CAIXILHO VENEZIANA METÁLICA FIXA  </t>
  </si>
  <si>
    <t>263</t>
  </si>
  <si>
    <t>11.39</t>
  </si>
  <si>
    <t xml:space="preserve"> 08-02-53  </t>
  </si>
  <si>
    <t xml:space="preserve"> PORTA/CAIXILHO VENEZIANA METÁLICA FIXA COM TELA METÁLICA MALHA 13 mm EXTERNA (TIPO CHICANA)  </t>
  </si>
  <si>
    <t>264</t>
  </si>
  <si>
    <t>11.40</t>
  </si>
  <si>
    <t xml:space="preserve"> 08-02-58  </t>
  </si>
  <si>
    <t xml:space="preserve"> CA.09 -CAIXILHO EM ALUMÍNIO ANODIZADO -MAXIMAR  </t>
  </si>
  <si>
    <t>265</t>
  </si>
  <si>
    <t>11.41</t>
  </si>
  <si>
    <t xml:space="preserve"> 08-02-66  </t>
  </si>
  <si>
    <t xml:space="preserve"> CA.17 -CAIXILHO EM ALUMÍNIO ANODIZADO -DE CORRER  </t>
  </si>
  <si>
    <t>266</t>
  </si>
  <si>
    <t>11.42</t>
  </si>
  <si>
    <t xml:space="preserve"> 08-02-74  </t>
  </si>
  <si>
    <t xml:space="preserve"> EP.06 -GRADE DE PROTEÇÃO EM FERRO REDONDO  </t>
  </si>
  <si>
    <t>267</t>
  </si>
  <si>
    <t>11.43</t>
  </si>
  <si>
    <t xml:space="preserve"> 08-02-76  </t>
  </si>
  <si>
    <t xml:space="preserve"> GRADE DE PROTEÇÃO EM FERRO GALVANIZADO ELETROFUNDIDO -BARRA 25X2 mm, MALHA 65X132 mm  </t>
  </si>
  <si>
    <t>268</t>
  </si>
  <si>
    <t>11.44</t>
  </si>
  <si>
    <t xml:space="preserve"> 10-12-26  </t>
  </si>
  <si>
    <t xml:space="preserve"> GRELHA HEMISFÉRICA DN 75 mm  </t>
  </si>
  <si>
    <t>269</t>
  </si>
  <si>
    <t>11.45</t>
  </si>
  <si>
    <t xml:space="preserve"> 10-13-01  </t>
  </si>
  <si>
    <t xml:space="preserve"> BACIA SANITÁRIA SIFONADA, DE LOUÇA BRANCA  </t>
  </si>
  <si>
    <t>270</t>
  </si>
  <si>
    <t>11.46</t>
  </si>
  <si>
    <t xml:space="preserve"> 10-13-03  </t>
  </si>
  <si>
    <t xml:space="preserve"> BACIA SANITÁRIA COM CAIXA ACOPLADA DE LOUÇA BRANCA  </t>
  </si>
  <si>
    <t>271</t>
  </si>
  <si>
    <t>11.47</t>
  </si>
  <si>
    <t xml:space="preserve"> 10-13-05  </t>
  </si>
  <si>
    <t xml:space="preserve"> BACIA SANITÁRIA ALTEADA PARA PORTADORES DE DEFICIÊNCIA FÍSICA DEFICIÊNCIA FÍSICA  </t>
  </si>
  <si>
    <t>272</t>
  </si>
  <si>
    <t>11.48</t>
  </si>
  <si>
    <t xml:space="preserve"> 10-13-08  </t>
  </si>
  <si>
    <t xml:space="preserve"> LAVATÓRIO DE LOUÇA BRANCA, SEM COLUNA, CAPACIDADE MÍNIMA 5L, EXCLUSIVE TORNEIRA  </t>
  </si>
  <si>
    <t>273</t>
  </si>
  <si>
    <t>11.49</t>
  </si>
  <si>
    <t xml:space="preserve"> 10-13-14  </t>
  </si>
  <si>
    <t xml:space="preserve"> LAVATÓRIO DE LOUÇA INDIVIDUAL PARA PORTADORES DE DEFICIÊNCIA FÍSICA  </t>
  </si>
  <si>
    <t>274</t>
  </si>
  <si>
    <t>11.50</t>
  </si>
  <si>
    <t xml:space="preserve"> 10-13-16  </t>
  </si>
  <si>
    <t xml:space="preserve"> LAVATÓRIO OVAL DE EMBUTIR, LOUÇA BRANCA -EXCLUSIVE TORNEIRA  </t>
  </si>
  <si>
    <t>275</t>
  </si>
  <si>
    <t>11.51</t>
  </si>
  <si>
    <t xml:space="preserve"> 10-13-25  </t>
  </si>
  <si>
    <t xml:space="preserve"> MICTÓRIO INDIVIDUAL DE LOUÇA BRANCA, TIPO BACIA -DE CENTRO  </t>
  </si>
  <si>
    <t>276</t>
  </si>
  <si>
    <t>11.52</t>
  </si>
  <si>
    <t xml:space="preserve"> 10-13-42  </t>
  </si>
  <si>
    <t xml:space="preserve"> TANQUE DE LOUÇA BRANCA, COM COLUNA, CAPACIDADE MÍNIMA 35L -EXCLUSIVE TORNEIRA  </t>
  </si>
  <si>
    <t>277</t>
  </si>
  <si>
    <t>11.53</t>
  </si>
  <si>
    <t xml:space="preserve"> 10-13-50  </t>
  </si>
  <si>
    <t xml:space="preserve"> CUBA SIMPLES DE AÇO INOXIDÁVEL CHAPA 20 -500X400X200 mm  </t>
  </si>
  <si>
    <t>278</t>
  </si>
  <si>
    <t>11.54</t>
  </si>
  <si>
    <t xml:space="preserve"> 10-13-55  </t>
  </si>
  <si>
    <t xml:space="preserve"> CUBA DUPLA DE AÇO INOXIDÁVEL CHAPA 20 -700X400X150 mm  </t>
  </si>
  <si>
    <t>279</t>
  </si>
  <si>
    <t>11.55</t>
  </si>
  <si>
    <t xml:space="preserve"> 10-13-71  </t>
  </si>
  <si>
    <t xml:space="preserve"> BEBEDOURO ELÉTRICO COM SISTEMA DE REFRIGERAÇÃO E DUAS SAÍDAS -80L  </t>
  </si>
  <si>
    <t>280</t>
  </si>
  <si>
    <t>11.56</t>
  </si>
  <si>
    <t xml:space="preserve"> 10-14-40  </t>
  </si>
  <si>
    <t xml:space="preserve"> CHUVEIRO ELÉTRICO AUTOMÁTICO, CORPO EM PVC CROMADO -220V-2800/4400W  </t>
  </si>
  <si>
    <t>281</t>
  </si>
  <si>
    <t>11.57</t>
  </si>
  <si>
    <t xml:space="preserve"> 10-14-50  </t>
  </si>
  <si>
    <t xml:space="preserve"> SABONETEIRA DE LOUÇA BRANCA -7,5X15 cm  </t>
  </si>
  <si>
    <t>282</t>
  </si>
  <si>
    <t>11.58</t>
  </si>
  <si>
    <t xml:space="preserve"> 10-14-51  </t>
  </si>
  <si>
    <t xml:space="preserve"> SABONETEIRA DE LOUÇA BRANCA -15X15 cm  </t>
  </si>
  <si>
    <t>283</t>
  </si>
  <si>
    <t>11.59</t>
  </si>
  <si>
    <t xml:space="preserve"> 10-14-65  </t>
  </si>
  <si>
    <t xml:space="preserve"> PAPELEIRA DE LOUÇA BRANCA -15X15 cm  </t>
  </si>
  <si>
    <t>284</t>
  </si>
  <si>
    <t>11.60</t>
  </si>
  <si>
    <t xml:space="preserve"> 10-14-66  </t>
  </si>
  <si>
    <t xml:space="preserve"> DISPENSER PAPEL TOALHA, DE PAREDE, MANUAL, PARA SANITÁRIOS -ABS -ALTO IMPACTO -AUTO CORTE  </t>
  </si>
  <si>
    <t>285</t>
  </si>
  <si>
    <t>11.61</t>
  </si>
  <si>
    <t xml:space="preserve"> 10-14-70  </t>
  </si>
  <si>
    <t xml:space="preserve"> CABIDE DE LOUÇA BRANCA, COM UM OU DOIS GANCHOS  </t>
  </si>
  <si>
    <t>286</t>
  </si>
  <si>
    <t>11.62</t>
  </si>
  <si>
    <t xml:space="preserve"> 10-14-74  </t>
  </si>
  <si>
    <t xml:space="preserve"> FRONTÃO OU TESTEIRA DE GRANITO CINZA MAUA -ALTURA ATÉ 10 cm  </t>
  </si>
  <si>
    <t>287</t>
  </si>
  <si>
    <t>11.63</t>
  </si>
  <si>
    <t xml:space="preserve"> 10-14-76  </t>
  </si>
  <si>
    <t xml:space="preserve"> TAMPO PARA BANCADA ÚMIDA -GRANITO CINZA MAUA POLIDO -ESPESSURA 2 cm  </t>
  </si>
  <si>
    <t>288</t>
  </si>
  <si>
    <t>11.64</t>
  </si>
  <si>
    <t xml:space="preserve"> 11-01-01  </t>
  </si>
  <si>
    <t xml:space="preserve"> CHAPISCO COMUM -ARGAMASSA DE CIMENTO E AREIA 1:3 -(REVESTIMENTO TETO)  </t>
  </si>
  <si>
    <t>289</t>
  </si>
  <si>
    <t>11.65</t>
  </si>
  <si>
    <t xml:space="preserve"> 11-01-08  </t>
  </si>
  <si>
    <t xml:space="preserve"> EMBOÇO -ARGAMASSA MISTA DE CIMENTO, CAL E AREIA 1:4/12  </t>
  </si>
  <si>
    <t>290</t>
  </si>
  <si>
    <t>11.66</t>
  </si>
  <si>
    <t xml:space="preserve"> 11-01-09  </t>
  </si>
  <si>
    <t xml:space="preserve"> EMBOÇO DESEMPENADO PARA PINTURA -ARGAMASSA MISTA CIMENTO, CAL E AREIA 1:3/12  </t>
  </si>
  <si>
    <t>291</t>
  </si>
  <si>
    <t>11.67</t>
  </si>
  <si>
    <t xml:space="preserve"> 11-02-01  </t>
  </si>
  <si>
    <t xml:space="preserve"> CHAPISCO COMUM -ARGAMASSA DE CIMENTO E AREIA 1:3 -(REVESTIMENTO PAREDE INTERNA)  </t>
  </si>
  <si>
    <t>292</t>
  </si>
  <si>
    <t>11.68</t>
  </si>
  <si>
    <t xml:space="preserve"> 11-02-08  </t>
  </si>
  <si>
    <t xml:space="preserve"> EMBOÇO INTERNO -ARGAMASSA MISTA DE CIMENTO, CAL E AREIA 1:4/12  </t>
  </si>
  <si>
    <t>293</t>
  </si>
  <si>
    <t>11.69</t>
  </si>
  <si>
    <t xml:space="preserve"> 11-02-09  </t>
  </si>
  <si>
    <t xml:space="preserve"> EMBOÇO INTERNO DESEMPENADO PARA PINTURA -ARGAMASSA MISTA DE CIMENTO, CAL E AREIA 1:3/12  </t>
  </si>
  <si>
    <t>294</t>
  </si>
  <si>
    <t>11.70</t>
  </si>
  <si>
    <t xml:space="preserve"> 11-02-29  </t>
  </si>
  <si>
    <t xml:space="preserve"> AZULEJOS, JUNTA AMARRAÇÃO OU A PRUMO -ASSENTES COM ARGAMASSA COLANTE  </t>
  </si>
  <si>
    <t>295</t>
  </si>
  <si>
    <t>11.71</t>
  </si>
  <si>
    <t xml:space="preserve"> 11-03-01  </t>
  </si>
  <si>
    <t xml:space="preserve"> CHAPISCO COMUM -ARGAMASSA DE CIMENTO E AREIA 1:3 -(REVESTIMENTO PAREDE EXTERNA)  </t>
  </si>
  <si>
    <t>296</t>
  </si>
  <si>
    <t>11.72</t>
  </si>
  <si>
    <t xml:space="preserve"> 11-03-10  </t>
  </si>
  <si>
    <t xml:space="preserve"> EMBOÇO EXTERNO -ARGAMASSA DE CIMENTO E AREIA 1:3  </t>
  </si>
  <si>
    <t>297</t>
  </si>
  <si>
    <t>11.73</t>
  </si>
  <si>
    <t xml:space="preserve"> 11-03-16  </t>
  </si>
  <si>
    <t xml:space="preserve"> REVESTIMENTO COM GRAFIATTO  </t>
  </si>
  <si>
    <t>298</t>
  </si>
  <si>
    <t>11.74</t>
  </si>
  <si>
    <t xml:space="preserve"> 11-03-41  </t>
  </si>
  <si>
    <t xml:space="preserve"> PASTILHAS DE PORCELANA FOSCA, 3/4  -FAIXAS DE ATÉ 20 cm  </t>
  </si>
  <si>
    <t>299</t>
  </si>
  <si>
    <t>11.75</t>
  </si>
  <si>
    <t>11-03-46</t>
  </si>
  <si>
    <t>REVESTIMENTO CERÂMICO ANTI-PICHAÇÃO, JUNTAS AMARRAÇÃO OU PRUMO - ASSENTADOS COM ARGAMASSA COLANTE</t>
  </si>
  <si>
    <t>300</t>
  </si>
  <si>
    <t>11.76</t>
  </si>
  <si>
    <t>12-01-30</t>
  </si>
  <si>
    <t>FORRO FIBRA MINERAL MODELADO ÚMIDA -
ACABAMENTO SUPERFÍCIE PINTURA VINÍLICA A BASE DE LÁTEX BRANCA - ESPESSURA 13 mm, NRC=0,50, CAC=MÍNIMO 35</t>
  </si>
  <si>
    <t>301</t>
  </si>
  <si>
    <t>11.77</t>
  </si>
  <si>
    <t>12-01-40</t>
  </si>
  <si>
    <t>FORRO DE GESSO COMUM - PLACA CONVENCIONAL (FORNECIMENTO E INSTALAÇÃO)</t>
  </si>
  <si>
    <t>302</t>
  </si>
  <si>
    <t>11.78</t>
  </si>
  <si>
    <t>12-01-45</t>
  </si>
  <si>
    <t>FORRO EM RÉGUA DE PVC 200 mm - INCLUSIVE PERFIS DE FIXAÇÃO E ACABAMENTO</t>
  </si>
  <si>
    <t>303</t>
  </si>
  <si>
    <t>11.79</t>
  </si>
  <si>
    <t>13-02-01</t>
  </si>
  <si>
    <t>CIMENTADO COMUM, DESEMPENADO - ESPESSURA 20 mm</t>
  </si>
  <si>
    <t>304</t>
  </si>
  <si>
    <t>11.80</t>
  </si>
  <si>
    <t>13-02-02</t>
  </si>
  <si>
    <t>CIMENTADO COMUM, DESEMPENADO E ALISADO - ESPESSURA 20 mm</t>
  </si>
  <si>
    <t>305</t>
  </si>
  <si>
    <t>11.81</t>
  </si>
  <si>
    <t>13-02-08</t>
  </si>
  <si>
    <t>ARGAMASSA DE ALTA RESISTÊNCIA, TIPO MÉDIO - ESPESSURA 12 mm</t>
  </si>
  <si>
    <t>306</t>
  </si>
  <si>
    <t>11.82</t>
  </si>
  <si>
    <t>13-02-11</t>
  </si>
  <si>
    <t>PISO ESTRUTURAL EM CONCRETO ARMADO - 7 cm</t>
  </si>
  <si>
    <t>307</t>
  </si>
  <si>
    <t>11.83</t>
  </si>
  <si>
    <t>13-02-42</t>
  </si>
  <si>
    <t>PISO CERÂMICO ESMALTADO (PEI-5) - ASSENTADO COM ARGAMASSA COLANTE</t>
  </si>
  <si>
    <t>308</t>
  </si>
  <si>
    <t>11.84</t>
  </si>
  <si>
    <t>13-02-43</t>
  </si>
  <si>
    <t>PISO PODOTÁTIL, ALERTA OU DIRECIONAL, EM BORRACHA SINTÉTICA ASSENTES COM COLA</t>
  </si>
  <si>
    <t>309</t>
  </si>
  <si>
    <t>11.85</t>
  </si>
  <si>
    <t>13-02-44</t>
  </si>
  <si>
    <t>PISO PODOTÁTIL, ALERTA OU DIRECIONAL, EM BORRACHA SINTÉTICA ASSENTES COM ARGAMASSA</t>
  </si>
  <si>
    <t>310</t>
  </si>
  <si>
    <t>11.86</t>
  </si>
  <si>
    <t>13-02-58</t>
  </si>
  <si>
    <t>PISO EM GRANITO CINZA MAUA, PLACAS - ESPESSURA 2 cm</t>
  </si>
  <si>
    <t>311</t>
  </si>
  <si>
    <t>11.87</t>
  </si>
  <si>
    <t>13-02-88</t>
  </si>
  <si>
    <t>PISO VINÍLICO CROMA OU SIMILAR - E=3,2 mm, EXCLUSIVE ARGAMASSA REGULARIZAÇÃO DA BASE</t>
  </si>
  <si>
    <t>312</t>
  </si>
  <si>
    <t>11.88</t>
  </si>
  <si>
    <t>13-02-96</t>
  </si>
  <si>
    <t>PISO CIMENTÍCIO VIBRO-PRENSADO À 240 TON - ALTA RESISTÊNCIA - ESPESSURA 2 OU 3 cm - LISO, POLIDO E ENCERADO</t>
  </si>
  <si>
    <t>313</t>
  </si>
  <si>
    <t>11.89</t>
  </si>
  <si>
    <t>13-02-97</t>
  </si>
  <si>
    <t>PISO CIMENTÍCIO VIBRO-PRENSADO À 240TON - ALTA RESISTÊNCIA - ANTIDERRAPANTE (LAVAGGIO) - SELADO</t>
  </si>
  <si>
    <t>314</t>
  </si>
  <si>
    <t>11.90</t>
  </si>
  <si>
    <t>13-03-96</t>
  </si>
  <si>
    <t>ACABAMENTO PARA DEGRAU EM PISO CIMENTÍCIO, VIBRO-PRENSADO A 240 TON - ALTA RESISTÊNCIA - ESPESSURA 2 cm - LISO E ENCERADO</t>
  </si>
  <si>
    <t>315</t>
  </si>
  <si>
    <t>11.91</t>
  </si>
  <si>
    <t>13-03-97</t>
  </si>
  <si>
    <t>ACABAMENTO PARA DEGRAU DE ESCADA EM PISO CIMENTÍCIO, VIBROPRENSADO A 240 TON - ALTA RESISTÊNCIA - ESPESSURA 2 cm - ANTIDERRAPANTE - LAVAGGIO - SELADO</t>
  </si>
  <si>
    <t>316</t>
  </si>
  <si>
    <t>11.92</t>
  </si>
  <si>
    <t>14-01-05</t>
  </si>
  <si>
    <t>VIDRO LISO COMUM, TRANSPARENTE INCOLOR - ESPESSURA 6 mm</t>
  </si>
  <si>
    <t>317</t>
  </si>
  <si>
    <t>11.93</t>
  </si>
  <si>
    <t>14-01-52</t>
  </si>
  <si>
    <t>VIDRO LISO DE SEGURANÇA, TEMPERADO INCOLOR - ESPESSURA 10 mm</t>
  </si>
  <si>
    <t>318</t>
  </si>
  <si>
    <t>11.94</t>
  </si>
  <si>
    <t>14-25-04</t>
  </si>
  <si>
    <t>ALVENARIA EM BLOCO DE VIDRO COM ARMAÇÃO</t>
  </si>
  <si>
    <t>319</t>
  </si>
  <si>
    <t>11.95</t>
  </si>
  <si>
    <t>15-01-16</t>
  </si>
  <si>
    <t>TINTA PVA (LÁTEX) - REBOCO COM MASSA CORRIDA</t>
  </si>
  <si>
    <t>320</t>
  </si>
  <si>
    <t>11.96</t>
  </si>
  <si>
    <t>15-01-15</t>
  </si>
  <si>
    <t>TINTA ACRÍLICA - CONCRETO OU REBOCO SEM MASSA CORRIDA</t>
  </si>
  <si>
    <t>321</t>
  </si>
  <si>
    <t>11.97</t>
  </si>
  <si>
    <t>TINTA ACRÍLICA - REBOCO COM MASSA CORRIDA</t>
  </si>
  <si>
    <t>322</t>
  </si>
  <si>
    <t>11.98</t>
  </si>
  <si>
    <t>15-01-19</t>
  </si>
  <si>
    <t>TINTA ACRÍLICA TEXTURADA</t>
  </si>
  <si>
    <t>323</t>
  </si>
  <si>
    <t>11.99</t>
  </si>
  <si>
    <t>15-01-25</t>
  </si>
  <si>
    <t>APLICAÇÃO DE TINTA ANTI-PICHAÇÃO - BASE SOLVENTE -
2 DEMÃOS (REMOÇÃO DA PICHAÇÃO SOMENTE A SECO
OU COM ÁGUA E SABÃO)</t>
  </si>
  <si>
    <t>324</t>
  </si>
  <si>
    <t>11.100</t>
  </si>
  <si>
    <t>17-01-76</t>
  </si>
  <si>
    <t>VERNIZ ACRÍLICO - CONCRETO APARENTE/ ALVENARIA</t>
  </si>
  <si>
    <t>325</t>
  </si>
  <si>
    <t>11.101</t>
  </si>
  <si>
    <t>15-01-77</t>
  </si>
  <si>
    <t>APLICAÇÃO DE VERNIZ ANTI-PICHAÇÃO - BASE SOLVENTE - 2 DEMÃOS (REMOÇÃO DA PICHAÇÃO SOMENTE A SECO OU COM ÁGUA E SABÃO)</t>
  </si>
  <si>
    <t>326</t>
  </si>
  <si>
    <t>11.102</t>
  </si>
  <si>
    <t>15-01-78</t>
  </si>
  <si>
    <t>APLICAÇÃO DE VERNIZ ANTI-PICHAÇÃO - BASE ÁGUA - 2 DEMÃOS</t>
  </si>
  <si>
    <t>327</t>
  </si>
  <si>
    <t>11.103</t>
  </si>
  <si>
    <t>15-02-11</t>
  </si>
  <si>
    <t>ESMALTE SINTÉTICO - ESQUADRIAS E PEÇAS DE MARCENARIA, COM EMASSAMENTO</t>
  </si>
  <si>
    <t>328</t>
  </si>
  <si>
    <t>11.104</t>
  </si>
  <si>
    <t>15-03-03</t>
  </si>
  <si>
    <t>AÇO ASTM A36</t>
  </si>
  <si>
    <t>329</t>
  </si>
  <si>
    <t>11.105</t>
  </si>
  <si>
    <t>15-03-10</t>
  </si>
  <si>
    <t>ESMALTE SINTÉTICO - ESQUADRIAS E PEÇAS DE SERRALHERIA</t>
  </si>
  <si>
    <t>330</t>
  </si>
  <si>
    <t>11.106</t>
  </si>
  <si>
    <t>17-01-31</t>
  </si>
  <si>
    <t>FP.01 - GRADIL DE FERRO PERFILADO, TIPO PARQUE SEM MURETA - GP-5/DEPAVE</t>
  </si>
  <si>
    <t>331</t>
  </si>
  <si>
    <t>11.107</t>
  </si>
  <si>
    <t>17-01-32</t>
  </si>
  <si>
    <t>FP.02 - GRADIL DE FERRO PERFILADO, TIPO PARQUE COM MURETA - GPM-1/DEPAVE</t>
  </si>
  <si>
    <t>332</t>
  </si>
  <si>
    <t>11.108</t>
  </si>
  <si>
    <t>17-01-33</t>
  </si>
  <si>
    <t>FP.06 - GRADIL/PEITORIL DE FERRO PERFILADO H=1,00 m</t>
  </si>
  <si>
    <t>333</t>
  </si>
  <si>
    <t>11.109</t>
  </si>
  <si>
    <t>17-01-34</t>
  </si>
  <si>
    <t>PP.38 - PORTÃO DE FERRO PERFILADO, TIPO PARQUE (GP.5/GPM1) 2,00 m, 1 FOLHA</t>
  </si>
  <si>
    <t>334</t>
  </si>
  <si>
    <t>11.110</t>
  </si>
  <si>
    <t>17-01-36</t>
  </si>
  <si>
    <t>PP.39/PP.40 - PORTÃO DE FERRO PERFILADO TIPO PARQUE (GP.5/GPM1) 3,0 m, 1 OU 2 FOLHAS</t>
  </si>
  <si>
    <t>335</t>
  </si>
  <si>
    <t>11.111</t>
  </si>
  <si>
    <t xml:space="preserve"> 17-01-90  </t>
  </si>
  <si>
    <t xml:space="preserve"> GRADIL DE FERRO GALVANIZADO ELETROFUNDIDO -BARRA 25X2 mm -MALHA 65X132 mm -MONTANTE COM DISTÂNCIA DE 1650 mm -SEM PINTURA  </t>
  </si>
  <si>
    <t>336</t>
  </si>
  <si>
    <t>11.112</t>
  </si>
  <si>
    <t xml:space="preserve"> 17-02-02  </t>
  </si>
  <si>
    <t xml:space="preserve"> CONCRETO DESEMPENADO E RIPADO (PMSP-DL.1009/47), 335 kg CIM/m³ -7 cm  </t>
  </si>
  <si>
    <t>337</t>
  </si>
  <si>
    <t>11.113</t>
  </si>
  <si>
    <t xml:space="preserve"> 17-02-07  </t>
  </si>
  <si>
    <t xml:space="preserve"> LADRILHO HIDRÁULICO SULCADO, BRANCO OU PRETO  </t>
  </si>
  <si>
    <t>338</t>
  </si>
  <si>
    <t>11.114</t>
  </si>
  <si>
    <t xml:space="preserve"> 17-02-10  </t>
  </si>
  <si>
    <t xml:space="preserve"> PISO INTERTRAVADO DE CONCRETO 10X20X6 PARA TRÁFEGO LEVE ASSENTADO EM ESPINHA DE PEIXE  </t>
  </si>
  <si>
    <t>339</t>
  </si>
  <si>
    <t>11.115</t>
  </si>
  <si>
    <t xml:space="preserve"> 17-02-11  </t>
  </si>
  <si>
    <t xml:space="preserve"> PISO DE CONCRETO INTERTRAVADO, ESPESSURA 8 cm  </t>
  </si>
  <si>
    <t>340</t>
  </si>
  <si>
    <t>11.116</t>
  </si>
  <si>
    <t xml:space="preserve"> 17-02-12  </t>
  </si>
  <si>
    <t xml:space="preserve"> PISO DE CONCRETO INTERTRAVADO, ESPESSURA 10 cm  </t>
  </si>
  <si>
    <t>341</t>
  </si>
  <si>
    <t>11.117</t>
  </si>
  <si>
    <t xml:space="preserve"> 17-02-15  </t>
  </si>
  <si>
    <t xml:space="preserve"> LAJOTA PRÉ-MOLDADA DE CONCRETO E=7 cm -JUNTA DE GRAMA  </t>
  </si>
  <si>
    <t>342</t>
  </si>
  <si>
    <t>11.118</t>
  </si>
  <si>
    <t xml:space="preserve"> 17-02-25  </t>
  </si>
  <si>
    <t xml:space="preserve"> MOSAICO PORTUGUÊS, UMA OU DUAS CORES, SOBRE BASE DE AREIA  </t>
  </si>
  <si>
    <t>343</t>
  </si>
  <si>
    <t>11.119</t>
  </si>
  <si>
    <t xml:space="preserve"> 17-02-54  </t>
  </si>
  <si>
    <t xml:space="preserve"> REBAIXAMENTO DE GUIA  </t>
  </si>
  <si>
    <t>344</t>
  </si>
  <si>
    <t>11.120</t>
  </si>
  <si>
    <t xml:space="preserve"> 17-05-19  </t>
  </si>
  <si>
    <t xml:space="preserve"> BARRA DE APOIO PARA LAVATÓRIO -EM  U  (BARRAS COM DIÂMETRO ENTRE 3,0 E 4,5 cm)  </t>
  </si>
  <si>
    <t>345</t>
  </si>
  <si>
    <t>11.121</t>
  </si>
  <si>
    <t xml:space="preserve"> 17-05-20  </t>
  </si>
  <si>
    <t xml:space="preserve"> BARRA DE APOIO PARA DEFICIENTES L=45 cm (BARRAS COM DIÂMETRO ENTRE 3,0 E 4,5 cm)  </t>
  </si>
  <si>
    <t>346</t>
  </si>
  <si>
    <t>11.122</t>
  </si>
  <si>
    <t xml:space="preserve"> 17-05-21  </t>
  </si>
  <si>
    <t xml:space="preserve"> BARRA DE APOIO PARA DEFICIENTES L=80 cm (BARRAS COM DIÂMETRO ENTRE 3,0 E 4,5 cm)  </t>
  </si>
  <si>
    <t>347</t>
  </si>
  <si>
    <t>11.123</t>
  </si>
  <si>
    <t xml:space="preserve"> 17-05-22  </t>
  </si>
  <si>
    <t xml:space="preserve"> BARRA DE APOIO PARA DEFICIENTES L=90 cm (BARRAS COM DIÂMETRO ENTRE 3,0 E 4,5 cm) COM DIÂMETRO ENTRE 3,0 E 4,5 cm)  </t>
  </si>
  <si>
    <t>348</t>
  </si>
  <si>
    <t>11.124</t>
  </si>
  <si>
    <t xml:space="preserve"> 17-05-24  </t>
  </si>
  <si>
    <t xml:space="preserve"> DP.04 -CORRIMÃO EM TUBO GALVANIZADO  </t>
  </si>
  <si>
    <t>349</t>
  </si>
  <si>
    <t>11.125</t>
  </si>
  <si>
    <t xml:space="preserve"> 17-05-25  </t>
  </si>
  <si>
    <t xml:space="preserve"> DP.05 -CORRIMÃO EM TUBO GALVANIZADO COM GUARDA CORPO  </t>
  </si>
  <si>
    <t>350</t>
  </si>
  <si>
    <t>11.126</t>
  </si>
  <si>
    <t xml:space="preserve"> 17-05-27  </t>
  </si>
  <si>
    <t xml:space="preserve"> BARRA DE APOIO PARA LAVATÓRIO EM  L  -PPDF  </t>
  </si>
  <si>
    <t>351</t>
  </si>
  <si>
    <t>11.127</t>
  </si>
  <si>
    <t xml:space="preserve"> 17-10-02  </t>
  </si>
  <si>
    <t xml:space="preserve"> ELEVADOR ELÉTRICO SEM CASA DE MÁQUINAS -3 PARADAS  </t>
  </si>
  <si>
    <t>352</t>
  </si>
  <si>
    <t>11.128</t>
  </si>
  <si>
    <t xml:space="preserve"> FORRO EM ALUMÍNIO  </t>
  </si>
  <si>
    <t>353</t>
  </si>
  <si>
    <t>11.129</t>
  </si>
  <si>
    <t xml:space="preserve"> PORTÃO METÁLICO DE 2 FOLHAS DE ABRIR  </t>
  </si>
  <si>
    <t>354</t>
  </si>
  <si>
    <t>11.130</t>
  </si>
  <si>
    <t xml:space="preserve"> ESCADA TIPO MARINHEIRO DE FERRO GALVANIZADO COM GUARDA CORPO  </t>
  </si>
  <si>
    <t>355</t>
  </si>
  <si>
    <t>11.131</t>
  </si>
  <si>
    <t xml:space="preserve"> ALÇAPÃO DE FERRO PERFILADO COM CHAPA  </t>
  </si>
  <si>
    <t>356</t>
  </si>
  <si>
    <t>11.132</t>
  </si>
  <si>
    <t xml:space="preserve"> IMPERMEABILIZAÇÃO DE LAJE DE COBERTURA COM ARGAMASSA RÍGIDA ADITIVADA COM IMPERMEABILIZANTE DE PEGA NORMAL, PARA ARGAMASSA OU CONCRETO E RESPECTIVA PROTEÇÃO MECÂNICA (TE-04)  </t>
  </si>
  <si>
    <t>357</t>
  </si>
  <si>
    <t>11.133</t>
  </si>
  <si>
    <t xml:space="preserve"> TUBO DE PVC RIGIDO SÉRIE R DN100 mm, INCLUSIVE CONEXÕES  </t>
  </si>
  <si>
    <t>358</t>
  </si>
  <si>
    <t>11.134</t>
  </si>
  <si>
    <t xml:space="preserve"> LADRILHOS VINÍLICOS SEMIFLEXÍVEIS PARA PISOS, PLACAS DE 30X30cm, ESPESSURA 2 mm, COLADAS (PI-02)  </t>
  </si>
  <si>
    <t>359</t>
  </si>
  <si>
    <t>11.135</t>
  </si>
  <si>
    <t xml:space="preserve"> 688-02-42  </t>
  </si>
  <si>
    <t xml:space="preserve"> COBERTURA TIPO SANDUÍCHE COMPOSTA POR TELHAS TRAPEZOIDAIS DE ALUMÍNIO, ESPESSURA 0,43mm, PRÉ-PINTADA, COM MIOLO DE POLIURETANO, ESPESSURA 2,5cm. (TE-02)  </t>
  </si>
  <si>
    <t>360</t>
  </si>
  <si>
    <t>11.136</t>
  </si>
  <si>
    <t xml:space="preserve"> 1388-10-01  </t>
  </si>
  <si>
    <t xml:space="preserve"> PISO ELEVADO COM ACABAMENTO VINÍLICO  </t>
  </si>
  <si>
    <t>361</t>
  </si>
  <si>
    <t>11.137</t>
  </si>
  <si>
    <t xml:space="preserve"> 1588-01-15  </t>
  </si>
  <si>
    <t xml:space="preserve"> PINTURA ACRÍLICA SOBRE CONCRETO E/OU BLOCO DE CONCRETO  </t>
  </si>
  <si>
    <t>362</t>
  </si>
  <si>
    <t>11.138</t>
  </si>
  <si>
    <t xml:space="preserve"> 1788-05-91  </t>
  </si>
  <si>
    <t xml:space="preserve"> PORTA CORTA-FOGO P90 -4,30 X 4,50 m, COM DOBRADIÇAS E SEM FERRAGEM  </t>
  </si>
  <si>
    <t>363</t>
  </si>
  <si>
    <t>11.139</t>
  </si>
  <si>
    <t xml:space="preserve"> 1788-09-10  </t>
  </si>
  <si>
    <t xml:space="preserve"> ESCADA ROLANTE, LARGURA DOS DEGRAUS DE 1,0 METRO, COM DESNÍVEL DE 7,0 METROS, VELOCIDADE DE 0,5 m/s E CAPACIDADE DE 9,000 PESSOAS/HORA  </t>
  </si>
  <si>
    <t>364</t>
  </si>
  <si>
    <t>11.140</t>
  </si>
  <si>
    <t xml:space="preserve"> 08,12,079  </t>
  </si>
  <si>
    <t xml:space="preserve"> CAIXA DE AREIA PLUVIAL SEM GRELHA CA-60x60cm  </t>
  </si>
  <si>
    <t>pç</t>
  </si>
  <si>
    <t>365</t>
  </si>
  <si>
    <t>11.141</t>
  </si>
  <si>
    <t xml:space="preserve"> 17-01-91 001  </t>
  </si>
  <si>
    <t xml:space="preserve"> GRADIL COM CONCERTINA  </t>
  </si>
  <si>
    <t>366</t>
  </si>
  <si>
    <t>11.142</t>
  </si>
  <si>
    <t xml:space="preserve"> 22,88,07,01,01  </t>
  </si>
  <si>
    <t xml:space="preserve"> REGULARIZAÇÃO E APIOLAMENTO  </t>
  </si>
  <si>
    <t>367</t>
  </si>
  <si>
    <t>11.143</t>
  </si>
  <si>
    <t xml:space="preserve"> 24,02,02  </t>
  </si>
  <si>
    <t>368</t>
  </si>
  <si>
    <t>11.144</t>
  </si>
  <si>
    <t xml:space="preserve"> 24,05,01  </t>
  </si>
  <si>
    <t>369</t>
  </si>
  <si>
    <t>11.145</t>
  </si>
  <si>
    <t xml:space="preserve"> 24,06,02  </t>
  </si>
  <si>
    <t>370</t>
  </si>
  <si>
    <t>11.146</t>
  </si>
  <si>
    <t xml:space="preserve"> 24,07,01  </t>
  </si>
  <si>
    <t>371</t>
  </si>
  <si>
    <t>11.147</t>
  </si>
  <si>
    <t xml:space="preserve"> 24,07,07  </t>
  </si>
  <si>
    <t>372</t>
  </si>
  <si>
    <t>11.148</t>
  </si>
  <si>
    <t xml:space="preserve"> 24,07,12  </t>
  </si>
  <si>
    <t>373</t>
  </si>
  <si>
    <t>11.149</t>
  </si>
  <si>
    <t xml:space="preserve"> 24,11,07  </t>
  </si>
  <si>
    <t>374</t>
  </si>
  <si>
    <t>11.150</t>
  </si>
  <si>
    <t xml:space="preserve"> 24,12,08  </t>
  </si>
  <si>
    <t>375</t>
  </si>
  <si>
    <t>11.151</t>
  </si>
  <si>
    <t xml:space="preserve"> 24,88,11,05  </t>
  </si>
  <si>
    <t xml:space="preserve"> BLOCO DE CONCRETO 19X19X39cm (PA-03)  </t>
  </si>
  <si>
    <t>376</t>
  </si>
  <si>
    <t>11.152</t>
  </si>
  <si>
    <t xml:space="preserve"> 24,88,11,07,01  </t>
  </si>
  <si>
    <t xml:space="preserve"> ARGAMASSA ACÚSTICA À BASE DE FIBRAS VEGETAIS E PRODUTOS MINERAIS, APLICADA POR MEIO DE JATEAMENTO, COM ESPESSURA APROXIMADA DE 25mm A 30mm, DENSIDADE ABSOLUTA 56 kg/m³. DENSIDADE SUPERFICIAL 1,6 kg/m³  </t>
  </si>
  <si>
    <t>377</t>
  </si>
  <si>
    <t>11.153</t>
  </si>
  <si>
    <t xml:space="preserve"> 25,04,01  </t>
  </si>
  <si>
    <t xml:space="preserve"> ESTACA CONCRETO PRÉ-MOLDADO -20/25 T  </t>
  </si>
  <si>
    <t>378</t>
  </si>
  <si>
    <t>11.154</t>
  </si>
  <si>
    <t xml:space="preserve"> 25,04,06  </t>
  </si>
  <si>
    <t xml:space="preserve"> ESTACA METÁLICA, FORNECIMENTO E CRAVAÇÃO  </t>
  </si>
  <si>
    <t>379</t>
  </si>
  <si>
    <t>11.155</t>
  </si>
  <si>
    <t xml:space="preserve"> 25,88,17,04  </t>
  </si>
  <si>
    <t xml:space="preserve"> EXECUÇÃO DE PAREDE DIAFRAGMA COM ESPESSURA 1,20 METROS, INLCUINDO ESCAVAÇÃO E DEJEITO EM SOLO COM SPT &gt; 50, COLOCAÇÃO DE ARMADURA E CONCRETAGEM  </t>
  </si>
  <si>
    <t>380</t>
  </si>
  <si>
    <t>11.156</t>
  </si>
  <si>
    <t xml:space="preserve"> 25,88,18,02  </t>
  </si>
  <si>
    <t>381</t>
  </si>
  <si>
    <t>11.157</t>
  </si>
  <si>
    <t xml:space="preserve"> 25,88,18,03  </t>
  </si>
  <si>
    <t>382</t>
  </si>
  <si>
    <t>11.158</t>
  </si>
  <si>
    <t xml:space="preserve"> 25,88,26,02,07  </t>
  </si>
  <si>
    <t xml:space="preserve"> CRAVAÇÃO DE PERFIL METÁLICO DE ATÉ 2I-18  OU H-400  </t>
  </si>
  <si>
    <t>383</t>
  </si>
  <si>
    <t>11.159</t>
  </si>
  <si>
    <t xml:space="preserve"> 25,88,72,02  </t>
  </si>
  <si>
    <t xml:space="preserve"> RETIRADA DE PERFIL METÁLICO DE ATÉ 2I-18  OU H-400  </t>
  </si>
  <si>
    <t>384</t>
  </si>
  <si>
    <t>11.160</t>
  </si>
  <si>
    <t xml:space="preserve"> 29,88,29,01  </t>
  </si>
  <si>
    <t xml:space="preserve"> PLACA DE GRFC  </t>
  </si>
  <si>
    <t>385</t>
  </si>
  <si>
    <t>11.161</t>
  </si>
  <si>
    <t xml:space="preserve"> ESTRUTURA METÁLICA PARA INSTALAÇÃO DE BANDEJA DE CABOS DO SISTEMA DE ILUMINAÇÃO, MONITORAMENTO, ENERGIA PARA OS TURBOVENTILADORES E FIXAÇÃO DAS LUMINÁRIAS COM FECHAMENTO EM PLACAS METÁLICAS FECHAMENTO EM PLACAS METÁLICAS  </t>
  </si>
  <si>
    <t>386</t>
  </si>
  <si>
    <t>11.162</t>
  </si>
  <si>
    <t xml:space="preserve"> 80,88,05,01  </t>
  </si>
  <si>
    <t xml:space="preserve"> TUBO DE AÇO INOX PARA SUPORTE DE BICICLETAS D= 2,50   </t>
  </si>
  <si>
    <t>387</t>
  </si>
  <si>
    <t xml:space="preserve"> ELÉTRICA / ILUMINAÇÃO (INFRA-ESTRUTURA)  </t>
  </si>
  <si>
    <t>388</t>
  </si>
  <si>
    <t>12.1</t>
  </si>
  <si>
    <t>BANCO AUTOMÁTICO DE CAPACITORES PARA CORREÇÃO DE FATOR DE POTÊNCIA "CT-01", 380V, TRIFÁSICO, 100KVAR, MONTADO EM ARMÁRIOS METÁLICOS APROPRIADOS, COMPLETO CONF. ESPECIFICAÇÃO TECNICA E DIAGRAMA ELÉTRICO.</t>
  </si>
  <si>
    <t>389</t>
  </si>
  <si>
    <t>12.2</t>
  </si>
  <si>
    <t xml:space="preserve"> 09-11-94  </t>
  </si>
  <si>
    <t xml:space="preserve"> BARRA CHATA DE ALUMÍNIO TIPO FITA 1/4  X 3/4   </t>
  </si>
  <si>
    <t>390</t>
  </si>
  <si>
    <t>12.3</t>
  </si>
  <si>
    <t xml:space="preserve"> 09-11-40  </t>
  </si>
  <si>
    <t xml:space="preserve"> BARRA DE AÇO CA-25, DIÂMETRO 1/2  PARA SER EMBUTIDA DENTRO DA ARMADURA DA COLUNA OU PAREDE DE CONCRETO  </t>
  </si>
  <si>
    <t>391</t>
  </si>
  <si>
    <t>12.4</t>
  </si>
  <si>
    <t xml:space="preserve"> BARRA DE TERRA DE EQUALIZAÇÃO DE COBRE ESTANHADA, DIMENSÃO 1 1/2”X1/4”X300 MM COMPLETA COM PARAFUSOS, PORCAS E ARRUELAS DE LATÃO  </t>
  </si>
  <si>
    <t>392</t>
  </si>
  <si>
    <t>12.5</t>
  </si>
  <si>
    <t xml:space="preserve"> 09-03-08  </t>
  </si>
  <si>
    <t xml:space="preserve"> CABO 10MM² -ISOLAMENTO PARA 0,7KV -CLASSE 4 FLEXÍVEL  </t>
  </si>
  <si>
    <t>393</t>
  </si>
  <si>
    <t>12.6</t>
  </si>
  <si>
    <t xml:space="preserve"> 09-03-15  </t>
  </si>
  <si>
    <t xml:space="preserve"> CABO 120MM² -ISOLAMENTO PARA 0,7KV -CLASSE 4 FLEXÍVEL  </t>
  </si>
  <si>
    <t>394</t>
  </si>
  <si>
    <t>12.7</t>
  </si>
  <si>
    <t xml:space="preserve"> 09-03-09  </t>
  </si>
  <si>
    <t xml:space="preserve"> CABO 16MM² -ISOLAMENTO PARA 0,7KV -CLASSE 4 FLEXÍVEL  </t>
  </si>
  <si>
    <t>395</t>
  </si>
  <si>
    <t>12.8</t>
  </si>
  <si>
    <t xml:space="preserve"> 09-03-10  </t>
  </si>
  <si>
    <t xml:space="preserve"> CABO 25MM² -ISOLAMENTO PARA 0,7KV -CLASSE 4 FLEXÍVEL  </t>
  </si>
  <si>
    <t>396</t>
  </si>
  <si>
    <t>12.9</t>
  </si>
  <si>
    <t xml:space="preserve"> 09-03-12  </t>
  </si>
  <si>
    <t xml:space="preserve"> CABO 50MM² -ISOLAMENTO PARA 0,7KV -CLASSE 4 FLEXÍVEL, CAPA VERDE  </t>
  </si>
  <si>
    <t>397</t>
  </si>
  <si>
    <t>12.10</t>
  </si>
  <si>
    <t xml:space="preserve"> 09-03-13  </t>
  </si>
  <si>
    <t xml:space="preserve"> CABO 70MM² -ISOLAMENTO PARA 0,7KV -CLASSE 4 FLEXÍVEL  </t>
  </si>
  <si>
    <t>398</t>
  </si>
  <si>
    <t>12.11</t>
  </si>
  <si>
    <t xml:space="preserve"> 09-03-32  </t>
  </si>
  <si>
    <t xml:space="preserve"> CABO DE COBRE 10 MM² -ISOLAMENTO PARA 1 KV  </t>
  </si>
  <si>
    <t>399</t>
  </si>
  <si>
    <t>12.12</t>
  </si>
  <si>
    <t xml:space="preserve"> 09-03-39  </t>
  </si>
  <si>
    <t xml:space="preserve"> CABO DE COBRE 120 MM² -ISOLAMENTO PARA 1 KV  </t>
  </si>
  <si>
    <t>400</t>
  </si>
  <si>
    <t>12.13</t>
  </si>
  <si>
    <t xml:space="preserve"> 09-03-33  </t>
  </si>
  <si>
    <t xml:space="preserve"> CABO DE COBRE 16 MM² -ISOLAMENTO PARA 1 KV  </t>
  </si>
  <si>
    <t>401</t>
  </si>
  <si>
    <t>12.14</t>
  </si>
  <si>
    <t xml:space="preserve"> 09-03-18  </t>
  </si>
  <si>
    <t xml:space="preserve"> CABO DE COBRE 240 MM² -ISOLAMENTO PARA 0,7 KV  </t>
  </si>
  <si>
    <t>402</t>
  </si>
  <si>
    <t>12.15</t>
  </si>
  <si>
    <t xml:space="preserve"> 09-03-42  </t>
  </si>
  <si>
    <t xml:space="preserve"> CABO DE COBRE 240 MM² -ISOLAMENTO PARA 1 KV  </t>
  </si>
  <si>
    <t>403</t>
  </si>
  <si>
    <t>12.16</t>
  </si>
  <si>
    <t xml:space="preserve"> 09-03-34  </t>
  </si>
  <si>
    <t xml:space="preserve"> CABO DE COBRE 25 MM² -ISOLAMENTO PARA 1 KV  </t>
  </si>
  <si>
    <t>404</t>
  </si>
  <si>
    <t>12.17</t>
  </si>
  <si>
    <t xml:space="preserve"> 09-03-11  </t>
  </si>
  <si>
    <t xml:space="preserve"> CABO DE COBRE 35 MM² -ISOLAMENTO PARA 0,7 KV  </t>
  </si>
  <si>
    <t>405</t>
  </si>
  <si>
    <t>12.18</t>
  </si>
  <si>
    <t xml:space="preserve"> 09-03-35  </t>
  </si>
  <si>
    <t xml:space="preserve"> CABO DE COBRE 35 MM² -ISOLAMENTO PARA 1 KV  </t>
  </si>
  <si>
    <t>406</t>
  </si>
  <si>
    <t>12.19</t>
  </si>
  <si>
    <t xml:space="preserve"> 09-03-36  </t>
  </si>
  <si>
    <t xml:space="preserve"> CABO DE COBRE 50 MM² -ISOLAMENTO PARA 1 KV  </t>
  </si>
  <si>
    <t>407</t>
  </si>
  <si>
    <t>12.20</t>
  </si>
  <si>
    <t xml:space="preserve"> 09-03-38  </t>
  </si>
  <si>
    <t xml:space="preserve"> CABO DE COBRE 95 MM² -ISOLAMENTO PARA 1 KV  </t>
  </si>
  <si>
    <t>408</t>
  </si>
  <si>
    <t>12.21</t>
  </si>
  <si>
    <t xml:space="preserve"> 09-03-30  </t>
  </si>
  <si>
    <t xml:space="preserve"> CABO DE COBRE CLASSE DE TENSÃO 0,6/1KV PARA ILUMINAÇÃO EXTERNA, BITOLA Ø 4 MM²  </t>
  </si>
  <si>
    <t>409</t>
  </si>
  <si>
    <t>12.22</t>
  </si>
  <si>
    <t xml:space="preserve"> 09-03-31  </t>
  </si>
  <si>
    <t xml:space="preserve"> CABO DE COBRE CLASSE DE TENSÃO 0,6/1kV PARA ILUMINAÇÃO EXTERNA, BITOLA Ø 6 mm²  </t>
  </si>
  <si>
    <t>410</t>
  </si>
  <si>
    <t>12.23</t>
  </si>
  <si>
    <t xml:space="preserve"> 09-06-92  </t>
  </si>
  <si>
    <t xml:space="preserve"> CABO DE COBRE NÚ, 16 MM²  </t>
  </si>
  <si>
    <t>411</t>
  </si>
  <si>
    <t>12.24</t>
  </si>
  <si>
    <t xml:space="preserve"> 09-06-95  </t>
  </si>
  <si>
    <t xml:space="preserve"> CABO DE COBRE NÚ, 50MM².  </t>
  </si>
  <si>
    <t>412</t>
  </si>
  <si>
    <t>12.25</t>
  </si>
  <si>
    <t xml:space="preserve"> CABO DE COBRE SINGELO, TÊMPERA MOLE, ENCORDOAMENTO CLASSE 2, CLASSE DE TENSÃO 8,7/15KVV, COM ISOLAÇÃO EM BORRACHA ETILENO-PROPILENO EPR (90°C), CAPA EXTERNA EM PVC (70°C), SEÇÃO: Ø35MM²  </t>
  </si>
  <si>
    <t>413</t>
  </si>
  <si>
    <t>12.26</t>
  </si>
  <si>
    <t xml:space="preserve"> 09-03-21  </t>
  </si>
  <si>
    <t xml:space="preserve"> CABO DE COBRE SINGELO, TÊMPERA MOLE, ENCORDOAMENTO CLASSE 5, CLASSE DE TENSÃO 0,6/1 KV, NÃO HALOGENADO, ANTICHAMA, BITOLA Ø 2,5 MM²  </t>
  </si>
  <si>
    <t>414</t>
  </si>
  <si>
    <t>12.27</t>
  </si>
  <si>
    <t xml:space="preserve"> 988-03-05  </t>
  </si>
  <si>
    <t xml:space="preserve"> CABO DE COBRE SINGELO, TÊMPERA MOLE, ENCORDOAMENTO CLASSE 5, CLASSE DE TENSÃO 450/750 V, COM ISOLAÇÃO EM PVC (70°C), CAPA EXTERNA EM PVC, TIPO BWF, BITOLA Ø 2,5 mm²  </t>
  </si>
  <si>
    <t>415</t>
  </si>
  <si>
    <t>12.28</t>
  </si>
  <si>
    <t xml:space="preserve"> 09-03-07  </t>
  </si>
  <si>
    <t xml:space="preserve"> CABO DE COBRE SINGELO, TÊMPERA MOLE, ENCORDOAMENTO CLASSE 5, CLASSE DE TENSÃO 450/750 V, COM ISOLAÇÃO EM PVC (70°C), CAPA EXTERNA EM PVC, TIPO BWF, BITOLA Ø 6 mm²  </t>
  </si>
  <si>
    <t>416</t>
  </si>
  <si>
    <t>12.29</t>
  </si>
  <si>
    <t xml:space="preserve"> 09-03-05  </t>
  </si>
  <si>
    <t xml:space="preserve"> CABO DE COBRE SINGELO, TÊMPERA MOLE, ENCORDOAMENTO CLASSE 5, CLASSE DE TENSÃO 450/750 V, NÃO HALOGENADO, ANTICHAMA, BITOLA Ø 2,5 MM²  </t>
  </si>
  <si>
    <t>417</t>
  </si>
  <si>
    <t>12.30</t>
  </si>
  <si>
    <t xml:space="preserve"> 09-03-76  </t>
  </si>
  <si>
    <t xml:space="preserve"> CABO DE ENERGIA MULTIPOLAR, CLASSE DE TENSÃO 0,6/1KV, COM CONDUTORES DE COBRE, TÊMPERA MOLE, ISOLAÇÃO E COBERTURA EM PVC (70°C), NA SEGUINTE FORMAÇÃO: 1X3/C Ø2,5 MM²  </t>
  </si>
  <si>
    <t>418</t>
  </si>
  <si>
    <t>12.31</t>
  </si>
  <si>
    <t xml:space="preserve"> CABO DE ENERGIA SINGELO, CLASSE 0,6/1KV, COM CONDUTORES DE COBRE, TÊMPERA MOLE, ISOLAÇÃO E COBERTURA EM PVC (70°C), NA SEÇÃO Ø16 MM²  </t>
  </si>
  <si>
    <t>419</t>
  </si>
  <si>
    <t>12.32</t>
  </si>
  <si>
    <t xml:space="preserve"> CABO FLEXÍVEL ISOLAMENTO DE PVC 1kV, BAIXA EMISSÃO DE GASES TÓXICOS, SEÇÃO: 12/CØ1,5mm² EMISSÃO DE GASES TÓXICOS, SEÇÃO: 12/CØ1,5mm  </t>
  </si>
  <si>
    <t>420</t>
  </si>
  <si>
    <t>12.33</t>
  </si>
  <si>
    <t xml:space="preserve"> CABO FLEXÍVEL ISOLAMENTO DE PVC 1kV, BAIXA EMISSÃO DE GASES TÓXICOS, SEÇÃO: 6/CØ1,5mm²  </t>
  </si>
  <si>
    <t>421</t>
  </si>
  <si>
    <t>12.34</t>
  </si>
  <si>
    <t xml:space="preserve"> CAIXA DE LIGAÇÃO EM CONCRETO TIPO 4 (400X550X700MM)  </t>
  </si>
  <si>
    <t>422</t>
  </si>
  <si>
    <t>12.35</t>
  </si>
  <si>
    <t xml:space="preserve"> CAIXA DE PASSAGEM TIPO F COM TAMPA DE CONCRETO  </t>
  </si>
  <si>
    <t>423</t>
  </si>
  <si>
    <t>12.36</t>
  </si>
  <si>
    <t xml:space="preserve"> CAIXA DE PASSAGEM TIPO I COM TAMPA DE CONCRETO  </t>
  </si>
  <si>
    <t>424</t>
  </si>
  <si>
    <t>12.37</t>
  </si>
  <si>
    <t xml:space="preserve"> 09-17-26  </t>
  </si>
  <si>
    <t xml:space="preserve"> CARTUCHO PARA CONEXÃO DE SOLDA EXOTÉRMICA COMPLETA COM MOLDE, ACENDEDOR E CARTUCHOS CABO/CABO  </t>
  </si>
  <si>
    <t>cj</t>
  </si>
  <si>
    <t>425</t>
  </si>
  <si>
    <t>12.38</t>
  </si>
  <si>
    <t xml:space="preserve"> 09-02-52  </t>
  </si>
  <si>
    <t xml:space="preserve"> CONDUITE SEMI-FLEXIVEL CORRUGADO, FABRICADO EM POLIETILENO DE ALTA DENSIDADE (PEAD), Ø4”.  </t>
  </si>
  <si>
    <t>426</t>
  </si>
  <si>
    <t>12.39</t>
  </si>
  <si>
    <t xml:space="preserve"> CONDULETE EM ALUMÍNIO INJETADO FUNDIDO, A PROVA DE T.P.G.V., SEM ROSCA, FIXAÇÃO DE ELETRODUTOS TIPO RÁPIDA, ATRAVÉS DE PARAFUSOS E TAMPA APARAFUSADA COM JUNTA DE VEDAÇÃO EQUIPADO COM 03 INTERRUPTOERES SIMPLES BIPOLAR-10A/250 v, BITOLA TIPO “E” -Ø 3/4”  </t>
  </si>
  <si>
    <t>427</t>
  </si>
  <si>
    <t>12.40</t>
  </si>
  <si>
    <t xml:space="preserve"> CONDULETE EM ALUMÍNIO INJETADO FUNDIDO, A PROVA DE T.P.G.V., SEM ROSCA, FIXAÇÃO DE ELETRODUTOS TIPO RÁPIDA, ATRAVÉS DE PARAFUSOS E TAMPA APARAFUSADA COM JUNTA DE VEDAÇÃO EQUIPADO COM TOMADA 2P+T -10A/250 V, BITOLA: TIPO “E” -Ø3/4”  </t>
  </si>
  <si>
    <t>428</t>
  </si>
  <si>
    <t>12.41</t>
  </si>
  <si>
    <t xml:space="preserve"> CONDULETE FABRICADO EM ALUMÍNIO INJETADO FUNDIDO, À PROVA DE T.P.G.V., SEM ROSCA, FIXAÇÃO DE ELETRODUTOS, TIPO RÁPIDA, ATRAVÉS DE PARAFUSOS E TAMPA APARAFUSADA COM JUNTA DE VEDAÇÃO, BITOLA: TIPO “C” Ø3/4”  </t>
  </si>
  <si>
    <t>429</t>
  </si>
  <si>
    <t>12.42</t>
  </si>
  <si>
    <t xml:space="preserve"> CONDULETE FABRICADO EM ALUMÍNIO INJETADO FUNDIDO, À PROVA DE T.P.G.V., SEM ROSCA, FIXAÇÃO DE ELETRODUTOS, TIPO RÁPIDA, ATRAVÉS DE PARAFUSOS E TAMPA APARAFUSADA COM JUNTA DE VEDAÇÃO, BITOLA: TIPO “E” Ø3/4”  </t>
  </si>
  <si>
    <t>430</t>
  </si>
  <si>
    <t>12.43</t>
  </si>
  <si>
    <t xml:space="preserve"> CONDULETE FABRICADO EM ALUMÍNIO INJETADO FUNDIDO, À PROVA DE T.P.G.V., SEM ROSCA, FIXAÇÃO DE ELETRODUTOS, TIPO RÁPIDA, ATRAVÉS DE PARAFUSOS E TAMPA APARAFUSADA COM JUNTA DE VEDAÇÃO, BITOLA: TIPO “T” Ø3/4”  </t>
  </si>
  <si>
    <t>431</t>
  </si>
  <si>
    <t>12.44</t>
  </si>
  <si>
    <t xml:space="preserve"> CONDULETE FABRICADO EM ALUMÍNIO INJETADO FUNDIDO, À PROVA DE T.P.G.V., SEM ROSCA, FIXAÇÃO DE ELETRODUTOS, TIPO RÁPIDA, ATRAVÉS DE PARAFUSOS E TAMPA APARAFUSADA COM JUNTA DE VEDAÇÃO, BITOLA: TIPO “X” Ø3/4”  </t>
  </si>
  <si>
    <t>432</t>
  </si>
  <si>
    <t>12.45</t>
  </si>
  <si>
    <t xml:space="preserve"> CONDULETE FABRICADO EM ALUMÍNIO INJETADO FUNDIDO, À PROVA DE T.P.G.V., SEM ROSCA, FIXAÇÃO DE ELETRODUTOS, TIPO RÁPIDA, ATRAVÉS DE PARAFUSOS E TAMPA APARAFUSADA COM JUNTA DE VEDAÇÃO, EQUIPADO COM 02 TOMADAS 2P+T -10A/250V, BITOLA: TIPO “C” -Ø 3/4”  </t>
  </si>
  <si>
    <t>433</t>
  </si>
  <si>
    <t>12.46</t>
  </si>
  <si>
    <t xml:space="preserve"> CONDULETE FABRICADO EM ALUMÍNIO INJETADO FUNDIDO, À PROVA DE T.P.G.V., SEM ROSCA, FIXAÇÃO DE ELETRODUTOS, TIPO RÁPIDA, ATRAVÉS DE PARAFUSOS E TAMPA APARAFUSADA COM JUNTA DE VEDAÇÃO, EQUIPADO COM TOMADA 2P+T-10A/250A, BITOLA: TIPO “C” -Ø 3/4”  </t>
  </si>
  <si>
    <t>434</t>
  </si>
  <si>
    <t>12.47</t>
  </si>
  <si>
    <t xml:space="preserve"> CONDULETE FABRICADO EM ALUMÍNIO INJETADO FUNDIDO, À PROVA DET.P.G.V., SEM ROSCA, FIXAÇÃO DE ELETRODUTOS, TIPO RÁPIDA, ATRAVÉS DE PARAFUSOS E TAMPA APARAFUSADA COM JUNTA DE VEDAÇÃO, EQUIPADO COM 02 TOMADAS 2P+T-10A/250V, BITOLA: TIPO “E” -Ø 3/4”  </t>
  </si>
  <si>
    <t>435</t>
  </si>
  <si>
    <t>12.48</t>
  </si>
  <si>
    <t xml:space="preserve"> CONDULETE TIPO “E” Ø3/4” EQUIPADO COM 02 INTERRUPTORES SIMPLES BIPOLAR-10A -250 V  </t>
  </si>
  <si>
    <t>436</t>
  </si>
  <si>
    <t>12.49</t>
  </si>
  <si>
    <t xml:space="preserve"> CONDUTORES DE COBRE, ISOLAÇÃO 760V, BAIXA EMISSÃO DE GASES TÓXICOS QUANDO QUEIMAR, SEÇÃO 16mm2  </t>
  </si>
  <si>
    <t>437</t>
  </si>
  <si>
    <t>12.50</t>
  </si>
  <si>
    <t xml:space="preserve"> CONDUTORES DE COBRE, ISOLAÇÃO 760V, BAIXA EMISSÃO DE GASES TÓXICOS QUANDO QUEIMAR, SEÇÃO 25mm2  </t>
  </si>
  <si>
    <t>438</t>
  </si>
  <si>
    <t>12.51</t>
  </si>
  <si>
    <t xml:space="preserve"> CONDUTORES DE COBRE, ISOLAÇÃO 760V, BAIXA EMISSÃO DE GASES TÓXICOS QUANDO QUEIMAR, SEÇÃO 35mm2  </t>
  </si>
  <si>
    <t>439</t>
  </si>
  <si>
    <t>12.52</t>
  </si>
  <si>
    <t xml:space="preserve"> 392609 392609  </t>
  </si>
  <si>
    <t xml:space="preserve"> CONDUTORES DE COBRE, ISOLAÇÃO 760V, BAIXA EMISSÃO DE GASES TÓXICOS QUANDO QUEIMAR, SEÇÃO EMISSÃO DE GASES TÓXICOS QUANDO QUEIMAR, SEÇÃO 50mm2  </t>
  </si>
  <si>
    <t>440</t>
  </si>
  <si>
    <t>12.53</t>
  </si>
  <si>
    <t xml:space="preserve"> CONDUTORES DE COBRE, ISOLAÇÃO 760V, BAIXA EMISSÃO DE GASES TÓXICOS QUANDO QUEIMAR, SEÇÃO 95MM2  </t>
  </si>
  <si>
    <t>441</t>
  </si>
  <si>
    <t>12.54</t>
  </si>
  <si>
    <t xml:space="preserve"> CONJUNTO DE 4 CHUMBADORES AÇO ZINCADO 7/8  X 500MM COM PA SP-176/8/21  </t>
  </si>
  <si>
    <t>442</t>
  </si>
  <si>
    <t>12.55</t>
  </si>
  <si>
    <t xml:space="preserve"> CONJUNTO DE SEGURANÇA DIAZED COMPOSTO DE BASE, PARAFUSOS DE AJUSTE, FUSÍVEL 4A RÁPIDO, ANEL DE PROTEÇÃO E TAMPA PARA TENSÕES DE 500V.  </t>
  </si>
  <si>
    <t>443</t>
  </si>
  <si>
    <t>12.56</t>
  </si>
  <si>
    <t xml:space="preserve"> CUBÍCULO DE MÉDIA TENSÃO “CM 1-2-3”, TIPO METAL CLAD, COM SECCIONADORA, MEDIÇÃO E DISJUNTOR A VÁCUO OU SF6 EXTRAÍVEL, MEDIÇÃO E RELÉS DE PROTEÇÃO COM MÓDULO DE SAÍDA, CLASSE 15 kv, CONFORME ESPECIFICAÇÃO TÉCNICA – EQUIPAMENTO ELÉTRICO E DIAGRAMA UNIFILAR ELÉTRICO  </t>
  </si>
  <si>
    <t>444</t>
  </si>
  <si>
    <t>12.57</t>
  </si>
  <si>
    <t xml:space="preserve"> CUBÍCULO DE MÉDIA TENSÃO “CM 4-5-6”, TIPO METALCLAD, COM SECCIONADORA, MEDIÇÃO E DISJUNTOR A VÁCUO OU SF6 EXTRAÍVEL, MEDIÇÃO E RELÉS DE PROTEÇÃO COM MÓDULO DE SAÍDA, CLASSE 15 KV, CONFORME ESPECIFICAÇÃO TÉCNICA – EQUIPAMENTO ELÉTRICO E DIAGRAMA UNIFILAR ELÉTRICO  </t>
  </si>
  <si>
    <t>445</t>
  </si>
  <si>
    <t>12.58</t>
  </si>
  <si>
    <t xml:space="preserve"> CURVA DE 90° EM AÇO GALVANIZADO A FOGO, PARA ELETRODUTOS, ROSCA BSP, NAS SEGUINTES BITOLAS: Ø 2   </t>
  </si>
  <si>
    <t>446</t>
  </si>
  <si>
    <t>12.59</t>
  </si>
  <si>
    <t xml:space="preserve"> CURVA DE 90° EM AÇO GALVANIZADO A FOGO, PARA ELETRODUTOS, ROSCA BSP, NAS SEGUINTES BITOLAS: Ø 4   </t>
  </si>
  <si>
    <t>447</t>
  </si>
  <si>
    <t>12.60</t>
  </si>
  <si>
    <t xml:space="preserve"> CURVA DE 90° EM AÇO GALVANIZADO A FOGO, PARA ELETRODUTOS, ROSCA BSP, NAS SEGUINTES BITOLAS: Ø1,1/4   </t>
  </si>
  <si>
    <t>448</t>
  </si>
  <si>
    <t>12.61</t>
  </si>
  <si>
    <t xml:space="preserve"> CURVA VERTICAL ARTICULADA PARA INSTALAÇÃO EM CRUZAMENTOS DE LEITOS  </t>
  </si>
  <si>
    <t>449</t>
  </si>
  <si>
    <t>12.62</t>
  </si>
  <si>
    <t xml:space="preserve"> 09-13-50  </t>
  </si>
  <si>
    <t xml:space="preserve"> ELETROCALHA PARA CABOS, COM TAMPA EM CHAPA DE AÇO GALVANIZADO A FOGO, TIPO PESADO, COMPRIMENTO DE 3000 MM, 400 X 100 (ILUMINAÇÃO)  </t>
  </si>
  <si>
    <t>450</t>
  </si>
  <si>
    <t>12.63</t>
  </si>
  <si>
    <t xml:space="preserve"> 988-13-50  </t>
  </si>
  <si>
    <t xml:space="preserve"> ELETROCALHA PARA CABOS, COM TAMPA EM CHAPA DE AÇO GALVANIZADO A FOGO, TIPO PESADO, COMPRIMENTO DE 3000 MM, 400 X 100 COM 3 DIVISÓRIAS (AUTOMAÇÃO)  </t>
  </si>
  <si>
    <t>451</t>
  </si>
  <si>
    <t>12.64</t>
  </si>
  <si>
    <t xml:space="preserve"> 09-13-47  </t>
  </si>
  <si>
    <t xml:space="preserve"> ELETROCALHA PERFURADA GALVANIZADA ELETROLITICO CHAPA Ø14 -200X100MM C/ TAMPA E INSTALAÇÃO  </t>
  </si>
  <si>
    <t>452</t>
  </si>
  <si>
    <t>12.65</t>
  </si>
  <si>
    <t xml:space="preserve"> ELETRODUTO DE AÇO GALVANIZADO A FOGO, ROSCA BSP, TIPO PESADO, CONFORME NBR-5598, COM LUVA EM UMA DAS EXTREMIDADES, FORNECIDO EM BARRAS DE 3,000MM DE COMPRIMENTO, INCLUSIVE CONEXÕES E CAIXAS, Ø1,1/4   </t>
  </si>
  <si>
    <t>453</t>
  </si>
  <si>
    <t>12.66</t>
  </si>
  <si>
    <t xml:space="preserve"> ELETRODUTO DE AÇO GALVANIZADO A FOGO, ROSCA BSP, TIPO PESADO, CONFORME NBR-5598, COM LUVA EM UMA DAS EXTREMIDADES, FORNECIDO EM BARRAS DE 3,000MM DE COMPRIMENTO, INCLUSIVE CONEXÕES E CAIXAS, Ø2   </t>
  </si>
  <si>
    <t>454</t>
  </si>
  <si>
    <t>12.67</t>
  </si>
  <si>
    <t xml:space="preserve"> ELETRODUTO DE AÇO GALVANIZADO A FOGO, ROSCA BSP, TIPO PESADO, CONFORME NBR-5598, COM LUVA EM UMA DAS EXTREMIDADES, FORNECIDO EM BARRAS DE 3,000MM DE COMPRIMENTO, INCLUSIVE CONEXÕES E CAIXAS, Ø3/4   </t>
  </si>
  <si>
    <t>455</t>
  </si>
  <si>
    <t>12.68</t>
  </si>
  <si>
    <t xml:space="preserve"> ELETRODUTO DE AÇO GALVANIZADO A FOGO, ROSCA BSP, TIPO PESADO, CONFORME NBR-5598, COM LUVA EM UMA DAS EXTREMIDADES, FORNECIDO EM BARRAS DE 3,000MM DE COMPRIMENTO, INCLUSIVE CONEXÕES E CAIXAS, Ø4   </t>
  </si>
  <si>
    <t>456</t>
  </si>
  <si>
    <t>12.69</t>
  </si>
  <si>
    <t xml:space="preserve"> ELETRODUTO DE AÇO GALVANIZADO A FOGO, ROSCA BSP, TIPO PESADO, CONFORME NBR-5598, COM LUVA EM UMA DAS EXTREMIDADES, FORNECIDO EM BARRAS DE 3000 MM DE COMPRIMENTO, BITOLA Ø1”  </t>
  </si>
  <si>
    <t>457</t>
  </si>
  <si>
    <t>12.70</t>
  </si>
  <si>
    <t xml:space="preserve"> 09-02-25  </t>
  </si>
  <si>
    <t xml:space="preserve"> ELETRODUTO DE AÇO GALVANIZADO A FOGO, TIPO SEMI-PESADO/ MÉDIO -2  X 3M  </t>
  </si>
  <si>
    <t>458</t>
  </si>
  <si>
    <t>12.71</t>
  </si>
  <si>
    <t xml:space="preserve"> 09-02-21  </t>
  </si>
  <si>
    <t xml:space="preserve"> ELETRODUTO DE AÇO GALVANIZADO A FOGO, TIPO SEMI-PESADO/ MÉDIO -3/4   </t>
  </si>
  <si>
    <t>459</t>
  </si>
  <si>
    <t>12.72</t>
  </si>
  <si>
    <t xml:space="preserve"> 09-02-29  </t>
  </si>
  <si>
    <t xml:space="preserve"> ELETRODUTO DE AÇO GALVANIZADO A FOGO, TIPO SEMI-PESADO/ MÉDIO -4  x 3m PESADO/ MÉDIO 4 x 3m  </t>
  </si>
  <si>
    <t>460</t>
  </si>
  <si>
    <t>12.73</t>
  </si>
  <si>
    <t xml:space="preserve"> ELETRODUTO FLEXÍVEL DE AÇO GALVANIZADO COM CAPA DE PVC COM CONECTORES MACHO E FÊMEA, TIPO SELATUBO, NAS SEÇÕES: Ø2” x 1500mm  </t>
  </si>
  <si>
    <t>461</t>
  </si>
  <si>
    <t>12.74</t>
  </si>
  <si>
    <t xml:space="preserve"> ELETRODUTO FLEXÍVEL DE AÇO GALVANIZADO COM CAPA DE PVC COM CONECTORES MACHO E FÊMEA, TIPO SELATUBO, NAS SEÇÕES: Ø3/4” x 1500mm  </t>
  </si>
  <si>
    <t>462</t>
  </si>
  <si>
    <t>12.75</t>
  </si>
  <si>
    <t xml:space="preserve"> 09-02-09  </t>
  </si>
  <si>
    <t xml:space="preserve"> ELETRODUTO RÍGIDO DE PVC EM BARRAS DE 3M, COM ROSCA, CONFORME NORMA NBR-6150 CLASSE B, BITOLA: Ø4   </t>
  </si>
  <si>
    <t>463</t>
  </si>
  <si>
    <t>12.76</t>
  </si>
  <si>
    <t xml:space="preserve"> 09-02-53  </t>
  </si>
  <si>
    <t xml:space="preserve"> ELETRODUTO SEMI FLEXÍVEL CORRUGADO COM TAMPÕES E CONEXÕES, FABRICADO EM POLIETILENO DE ALTA DENSIDADE BITOLA Ø2   </t>
  </si>
  <si>
    <t>464</t>
  </si>
  <si>
    <t>12.77</t>
  </si>
  <si>
    <t xml:space="preserve"> 09-02-51  </t>
  </si>
  <si>
    <t xml:space="preserve"> ELETRODUTO SEMI FLEXÍVEL CORRUGADO COM TAMPÕES E CONEXÕES, FABRICADO EM POLIETILENO DE ALTA DENSIDADE BITOLA Ø3   </t>
  </si>
  <si>
    <t>465</t>
  </si>
  <si>
    <t>12.78</t>
  </si>
  <si>
    <t xml:space="preserve"> ELETRODUTOS DE AÇO GALVANIZADO A FOGO, ROSCA BSP, TIPO PESADO, CONFORME NBR-5624, COM LUVA EM UMA DAS EXTREMIDADES, FORNECIDO EM BARRAS DE 3,000MM DE COMPRIMENTO , SEÇÕES: Ø 4   </t>
  </si>
  <si>
    <t>466</t>
  </si>
  <si>
    <t>12.79</t>
  </si>
  <si>
    <t xml:space="preserve"> EXECUÇÃO DE BASE DE POSTE DE AÇO FLANGEADO ATÉ 12M DE ALTURA  </t>
  </si>
  <si>
    <t>467</t>
  </si>
  <si>
    <t>12.80</t>
  </si>
  <si>
    <t>GRUPO MOTOR GERADOR DIESEL-TRIFÁSICO (GG-01), DE 1000/920KVA, 380/220V, TRIFÁSICO COM NEUTRO, COMPLETO COM PAINEL "USCA" E PAINÉIS "QTA E QTM", FORNECIDO COM AMORTECEDORES DE VIBRAÇÃO ALTA PERFORMANCE PARA LOCAIS SUJEITO A ABALO SÍSMICOS E CONJUNTO ATENUADOR DE RUÍDO PARA MÁXIMO 75DB. CONF. ESPECIFICAÇÃO TÉCNICA E DIAGRAMA ELÉTRICO.</t>
  </si>
  <si>
    <t>468</t>
  </si>
  <si>
    <t>12.81</t>
  </si>
  <si>
    <t xml:space="preserve"> GRUPO MOTOR GERADOR DIESEL-TRIFÁSICO (GG-01), DE 1000/920KVA, 460/265V, TRIFÁSICO COM NEUTRO, COMPLETO COM PAINEL  USCA  E PAINÉIS  QTA E QTM FORNECIDO COM AMORTECEDORES DE VIBRAÇÃO ALTA PERFORMANCE PARA LOCAIS SUJEITO A ABALO SÍSMICOS E CONJUNTO ATENUADOR DE RUÍDO PARA MÁXIMO 75DB. CONF. ESPECIFICAÇÃO TÉCNICA E DIAGRAMA ELÉTRICO.  </t>
  </si>
  <si>
    <t>469</t>
  </si>
  <si>
    <t>12.82</t>
  </si>
  <si>
    <t xml:space="preserve"> GRUPO MOTOR GERADOR DIESEL-TRIFÁSICO (GG-01), DE 570/625kVA, 380/220V, TRIFÁSICO COM NEUTRO, COMPLETO COM PAINEL  USCA  E PAINÉIS  QTA e QTM  FORNECIDO COM AMORTECEDORES DE VIBRAÇÃO ALTA PERFORMANCE PARA LOCAIS SUJEITO A ABALO SÍSMICOS E CONJUNTO ATENUADOR DE RUÍDO PARA MÁXIMO 85dB. CONF. ESPECIFICAÇÃO TÉCNICA E DIAGRAMA ELÉTRICO. </t>
  </si>
  <si>
    <t>470</t>
  </si>
  <si>
    <t>12.83</t>
  </si>
  <si>
    <t xml:space="preserve"> 09-83-90  </t>
  </si>
  <si>
    <t xml:space="preserve"> HASTE PARA TERRA FABRICADA EM NÚCLEO DE AÇO COBERTURA DE COBRE COMPLETAMENTE SOLDADO A MESMA DIMENSÃO Ø5/8” X 3000 MM  </t>
  </si>
  <si>
    <t>471</t>
  </si>
  <si>
    <t>12.84</t>
  </si>
  <si>
    <t xml:space="preserve"> 09-83-97  </t>
  </si>
  <si>
    <t xml:space="preserve"> HASTES DE TERRA NUCLEO DE AÇO COPPERWELD 3/4 X2,40M  </t>
  </si>
  <si>
    <t>472</t>
  </si>
  <si>
    <t>12.85</t>
  </si>
  <si>
    <t xml:space="preserve"> 09-09-41  </t>
  </si>
  <si>
    <t xml:space="preserve"> LD.61-ARANDELA BLINDADA EM ALUMÍNIO FUNDIDO PARA 1 LÂMPADA ATÉ 200 W  </t>
  </si>
  <si>
    <t>473</t>
  </si>
  <si>
    <t>12.86</t>
  </si>
  <si>
    <t xml:space="preserve"> LEITO PARA CABOS, PERFILADO DE AÇO GALVANIZADO TIPO LEVE,COMPRIMENTO 3000 MM, ABA DE 100 mm, LARGURA DE 300 mm  </t>
  </si>
  <si>
    <t>474</t>
  </si>
  <si>
    <t>12.87</t>
  </si>
  <si>
    <t xml:space="preserve"> LEITO PARA CABOS, PERFILADO DE AÇO GALVANIZADO TIPO LEVE,COMPRIMENTO 3000 MM, ABA DE 100 MM, LARGURA DE 400 MM  </t>
  </si>
  <si>
    <t>475</t>
  </si>
  <si>
    <t>12.88</t>
  </si>
  <si>
    <t xml:space="preserve"> LEITO PARA CABOS, PERFILADO DE AÇO GALVANIZADO TIPO LEVE,COMPRIMENTO 3000 MM, ABA DE 100 MM, LARGURA DE 900 MM  </t>
  </si>
  <si>
    <t>476</t>
  </si>
  <si>
    <t>12.89</t>
  </si>
  <si>
    <t xml:space="preserve"> 09-10-23  </t>
  </si>
  <si>
    <t xml:space="preserve"> LUMINARIA DE EMERGENCIA COM UMA LÂMPADA ELETRÔNICA DE 15W-220V, À PROVA DE TEMPO, GASES, VAPORES E PÓ, COM PROTEÇÃO E GRADE DE ALUMÍNIO FUNDIDO E VIDRO TRANSPARENTE, CUSTOMIZADA ANTI VANDALISMO  </t>
  </si>
  <si>
    <t>477</t>
  </si>
  <si>
    <t>12.90</t>
  </si>
  <si>
    <t xml:space="preserve"> 988-10-23  </t>
  </si>
  <si>
    <t xml:space="preserve"> LUMINARIA DE EMERGENCIA COM UMA LÂMPADA ELETRÔNICA DE 34W-220V, À PROVA DE TEMPO, GASES, VAPORES E PÓ, COM PROTEÇÃO E GRADE DE ALUMÍNIO FUNDIDO E VIDRO TRANSPARENTE, CUSTOMIZADA ANTI VANDALISMO  </t>
  </si>
  <si>
    <t>478</t>
  </si>
  <si>
    <t>12.91</t>
  </si>
  <si>
    <t xml:space="preserve"> LUMINÁRIA EXTERNA TIPO PÚBLICA A LED 100W EM POSTE METÁLICO H=7,5M.  </t>
  </si>
  <si>
    <t>479</t>
  </si>
  <si>
    <t>12.92</t>
  </si>
  <si>
    <t xml:space="preserve"> LUMINÁRIA PÚBLICA LE114, DE LED (POTÊNCIA DE 138 A 152W) -150W 152W) 150W  </t>
  </si>
  <si>
    <t>480</t>
  </si>
  <si>
    <t>12.93</t>
  </si>
  <si>
    <t xml:space="preserve"> LUMINÁRIA PÚBLICA LE120, DE LED (POTÊNCIA DE 190 A 210W) -200W  </t>
  </si>
  <si>
    <t>481</t>
  </si>
  <si>
    <t>12.94</t>
  </si>
  <si>
    <t xml:space="preserve"> 09-09-88  </t>
  </si>
  <si>
    <t xml:space="preserve"> LUMINÁRIA TIPO SOBREPOR COM REFLETOR EM CHAPA DE AÇO TRATADA E PINTURA ELETROSTÁTICA BRANCA, CORPO EM POLIÉSTER REFORÇADO COM FIBRA DE VIDRO, DIFUSOR EM ACRÍLICO DE ALTO IMPACTO, PARA DUAS LÂMPADAS FLUORESCENTES TUBULARES DE 32 W, COM REATOR ALOJADO NO CORPO.  </t>
  </si>
  <si>
    <t>482</t>
  </si>
  <si>
    <t>12.95</t>
  </si>
  <si>
    <t xml:space="preserve"> MANTA ENVOLTÓRIA ENDOTÉRMICA PARA PROTEÇÃO DOS CABOS INSTALADOS EM ELETROCALHA DENTRO DO TÚNEL RESISTENTE ATÉ 2 HORAS DE FOGO  </t>
  </si>
  <si>
    <t>483</t>
  </si>
  <si>
    <t>12.96</t>
  </si>
  <si>
    <t xml:space="preserve"> PLACA DE ATERRAMENTO COM PINO EM LIGA DE COBRE FUNDIDO E SUPERFÍCIE ESTANHADA, COM PARAFUSOS PARA INTERLIGAÇÕES DE AÇO INOX A SER EMBUTIDA NA ESTRUTURA DE CONCRETO E PINO SOLDADO A BARRA DE AÇO  </t>
  </si>
  <si>
    <t>484</t>
  </si>
  <si>
    <t>12.97</t>
  </si>
  <si>
    <t xml:space="preserve"> 09-11-14  </t>
  </si>
  <si>
    <t xml:space="preserve"> POÇO DE INSPEÇÃO DO ATERRAMENTO, DIMENSÃO (Ø250X250) MM COM TAMPA DE FERRO FUNDIDO, GALVANIZADO A FOGO  </t>
  </si>
  <si>
    <t>485</t>
  </si>
  <si>
    <t>12.98</t>
  </si>
  <si>
    <t xml:space="preserve"> POSTE DE AÇO RETO SIMPLES, DE SEÇÃO CIRCULAR, SP-21, COM SUPORTE PARA MONTAGEM DE 1 LUMINÁRIA, PARA FIXAÇÃO COM CHUMBADORES, JANELA DE INSPEÇÃO, DIÂMETRO NA EXTREMIDADE DE 60 MM, COM 12,0 METROS DE ALTURA.  </t>
  </si>
  <si>
    <t>486</t>
  </si>
  <si>
    <t>12.99</t>
  </si>
  <si>
    <t xml:space="preserve"> 09-83-74  </t>
  </si>
  <si>
    <t xml:space="preserve"> POSTE DE AÇO RETO SIMPLES, DE SEÇÃO CIRCULAR, SP-6/8, COM SUPORTE PARA MONTAGEM DE 1 LUMINÁRIA, PARA FIXAÇÃO COM CHUMBADORES, JANELA DE INSPEÇÃO, DIÂMETRO NA EXTREMIDADE DE 60 MM, COM 10 METROS DE ALTURA.  </t>
  </si>
  <si>
    <t>487</t>
  </si>
  <si>
    <t>12.100</t>
  </si>
  <si>
    <t xml:space="preserve"> PROJETOR DE LED: EON-L – EJ12 SUPERFÍCIE (CW 780) -57X35CM – 780 LEDS – 163W -5000°K– FACHO: “GENERAL”  </t>
  </si>
  <si>
    <t>488</t>
  </si>
  <si>
    <t>12.101</t>
  </si>
  <si>
    <t xml:space="preserve"> QUADRO DE DISTRIBUIÇÃO DE FORÇA  QFBD-01 E 02  460V, COMPLETA COM DISJUNTORES, BOMBA DE DRENAGEM – EQUIPAMENTO ELÉTRICO E DIAGRAMA UNIFILAR  </t>
  </si>
  <si>
    <t>489</t>
  </si>
  <si>
    <t>12.102</t>
  </si>
  <si>
    <t xml:space="preserve"> QUADRO DE DISTRIBUIÇÃO DE FORÇA  QFBD-01  380/220V, COMPLETA COM DISJUNTORES, BOMBA DE DRENAGEM – EQUIPAMENTO ELÉTRICO E DIAGRAMA UNIFILAR  </t>
  </si>
  <si>
    <t>490</t>
  </si>
  <si>
    <t>12.103</t>
  </si>
  <si>
    <t xml:space="preserve"> QUADRO DE DISTRIBUIÇÃO DE FORÇA  QFBI-01 380/220V, COMPLETA COM DISJUNTORES, BOMBA DE INCÊNDIO – EQUIPAMENTO ELÉTRICO E DIAGRAMA UNIFILAR  </t>
  </si>
  <si>
    <t>491</t>
  </si>
  <si>
    <t>12.104</t>
  </si>
  <si>
    <t xml:space="preserve"> QUADRO DE DISTRIBUIÇÃO DE FORÇA  QFBI-01  460V, COMPLETA COM DISJUNTORES, BOMBA DE INCÊNDIO – EQUIPAMENTO ELÉTRICO E DIAGRAMA UNIFILAR  </t>
  </si>
  <si>
    <t>492</t>
  </si>
  <si>
    <t>12.105</t>
  </si>
  <si>
    <t xml:space="preserve"> QUADRO DE DISTRIBUIÇÃO DE FORÇA  QGBT  380/220V, COMPLETA COM DISJUNTORES, CONFORME DOC. ESPECIFICAÇÃO TÉCNICA – EQUIPAMENTO ELÉTRICO E DIAGRAMA UNIFILAR </t>
  </si>
  <si>
    <t>493</t>
  </si>
  <si>
    <t>12.106</t>
  </si>
  <si>
    <t xml:space="preserve"> QUADRO DE DISTRIBUIÇÃO DE FORÇA  QGBT-01  380/220V, COMPLETA COM DISJUNTORES, CONFORME DOC. ESPECIFICAÇÃO TÉCNICA – EQUIPAMENTO ELÉTRICO E DIAGRAMA UNIFILAR  </t>
  </si>
  <si>
    <t>494</t>
  </si>
  <si>
    <t>12.107</t>
  </si>
  <si>
    <t xml:space="preserve"> QUADRO DE DISTRIBUIÇÃO DE FORÇA  QGBT-01, 02 E 03  460V, COMPLETA COM DISJUNTORES, CONFORME DOC. ESPECIFICAÇÃO TÉCNICA – EQUIPAMENTO ELÉTRICO E DIAGRAMA UNIFILAR  </t>
  </si>
  <si>
    <t>495</t>
  </si>
  <si>
    <t>12.108</t>
  </si>
  <si>
    <t xml:space="preserve"> QUADRO DE DISTRIBUIÇÃO DE FORÇA  QGBT-02, 03 E 04  220/127V, COMPLETO COM DISJUNTORES, CONFORME DOC. ESPECIFICAÇÃO TÉCNICA – EQUIPAMENTO ELÉTRICO E DIAGRAMA UNIFILAR.  </t>
  </si>
  <si>
    <t>496</t>
  </si>
  <si>
    <t>12.109</t>
  </si>
  <si>
    <t xml:space="preserve"> QUADRO DE DISTRIBUIÇÃO DE TENSÃO ESTABILIZADA  QDE  220/127V, COMPLETO COM DISJUNTORES, CONFORME ESPECIFICAÇÃO TÉCNICA – EQUIPAMENTO ELÉTRICO E DIAGRAMA UNIFILAR.  </t>
  </si>
  <si>
    <t>497</t>
  </si>
  <si>
    <t>12.110</t>
  </si>
  <si>
    <t xml:space="preserve"> QUADRO DE DISTRIBUIÇÃO DE TENSÃO ESTABILIZADA  QDE  220V, COMPLETO COM DISJUNTORES, CONFORME ESPECIFICAÇÃO TÉCNICA – EQUIPAMENTO ELÉTRICO E DIAGRAMA UNIFILAR.  </t>
  </si>
  <si>
    <t>498</t>
  </si>
  <si>
    <t>12.111</t>
  </si>
  <si>
    <t xml:space="preserve"> QUADRO DE DISTRIBUIÇÃO PARCIAL DE TENSÃO ESTABILIZADA  QDE-1, 2 e 3  220V, COMPLETO COM DISJUNTORES, CONFORME DOC. ESPECIFICAÇÃO TÉCNICA – EQUIPAMENTO ELÉTRICO E DIAGRAMA UNIFILAR. UNIFILAR.</t>
  </si>
  <si>
    <t>499</t>
  </si>
  <si>
    <t>12.112</t>
  </si>
  <si>
    <t xml:space="preserve"> QUADRO DE DISTRIBUIÇÃO PARCIAL DE TENSÃO ESTABILIZADA DE AUTOMAÇÃO QDE-3  220V, COMPLETO COM DISJUNTORES, CONFORME DOC. ESPECIFICAÇÃO TÉCNICA – EQUIPAMENTO ELÉTRICO E DIAGRAMA UNIFILAR.  </t>
  </si>
  <si>
    <t>500</t>
  </si>
  <si>
    <t>12.113</t>
  </si>
  <si>
    <t xml:space="preserve"> QUADRO DE DISTRIBUIÇÃO PARCIAL DE TENSÃO ESTABILIZADA DE EMERGÊNCIA  QDE  220/127V, COMPLETO COM DISJUNTORES, CONFORME DOC. ESPECIFICAÇÃO TÉCNICA – EQUIPAMENTO ELÉTRICO E DIAGRAMA UNIFILAR.  </t>
  </si>
  <si>
    <t>501</t>
  </si>
  <si>
    <t>12.114</t>
  </si>
  <si>
    <t xml:space="preserve"> QUADRO DE DISTRIBUIÇÃO PARCIAL DE TENSÃO ESTABILIZADA DE EMERGÊNCIA  QDE-1, QDE-2  220V, COMPLETO COM DISJUNTORES, CONFORME DOC. ESPECIFICAÇÃO TÉCNICA – EQUIPAMENTO ELÉTRICO E DIAGRAMA UNIFILAR.  </t>
  </si>
  <si>
    <t>502</t>
  </si>
  <si>
    <t>12.115</t>
  </si>
  <si>
    <t xml:space="preserve"> QUADRO DE DISTRIBUIÇÃO PARCIAL DE TENSÃO ESTABILIZADA PARA COMANDO  QDE-3  220V, COMPLETO COM DISJUNTORES, CONFORME DOC. ESPECIFICAÇÃO TÉCNICA – EQUIPAMENTO ELÉTRICO E DIAGRAMA UNIFILAR.  </t>
  </si>
  <si>
    <t>503</t>
  </si>
  <si>
    <t>12.116</t>
  </si>
  <si>
    <t xml:space="preserve"> QUADRO DE FORÇA SERVIÇOS AUXILIARES, QF-SA1, COMPLETO COM DISJUNTORES CONFORME DOC. ESPECIFICAÇÃO TÉCNICA – EQUIPAMENTO ELÉTRICO E DIAGRAMA UNIFILAR  </t>
  </si>
  <si>
    <t>504</t>
  </si>
  <si>
    <t>12.117</t>
  </si>
  <si>
    <t xml:space="preserve"> QUADRO PARA MEDIDOR PADRÃO CPFL  </t>
  </si>
  <si>
    <t>505</t>
  </si>
  <si>
    <t>12.118</t>
  </si>
  <si>
    <t xml:space="preserve"> QUADRO PARA VENTILADORES  QV  380 V, COMPLETA COM DISJUNTORES, CHAVES SECCIONADORAS, FUSÍVEIS, CONTATORES, INVERSORES DE FREQUÊNCIA, FILTRO DE HARMÔNICOS, CONFORME ESPECIFICAÇÃO TÉCNICA – EQUIPAMENTO ELÉTRICO E DIAGRAMA UNIFILAR  </t>
  </si>
  <si>
    <t>506</t>
  </si>
  <si>
    <t>12.119</t>
  </si>
  <si>
    <t xml:space="preserve"> QUADROS DE LUZ ACESSO QL-AC1 AO QL-AC10, COMPLETA COM DISJUNTORES, CONFORME DOC. ESPECIFICAÇÃO TÉCNICA – EQUIPAMENTO ELÉTRICO E DIAGRAMA UNIFILAR.  </t>
  </si>
  <si>
    <t>507</t>
  </si>
  <si>
    <t>12.120</t>
  </si>
  <si>
    <t xml:space="preserve"> QUADROS DE LUZ ACESSO QL-SA4, QL-SA5 E QL-SA6, COMPLETA COM DISJUNTORES, CONFORME DOC. ESPECIFICAÇÃO TÉCNICA – EQUIPAMENTO ELÉTRICO E DIAGRAMA UNIFILAR.  </t>
  </si>
  <si>
    <t>508</t>
  </si>
  <si>
    <t>12.121</t>
  </si>
  <si>
    <t xml:space="preserve"> QUADROS DE LUZ E TOMADAS QL-SA, COMPLETA COM DISJUNTORES, CONFORME DOC. ESPECIFICAÇÃO TÉCNICA – EQUIPAMENTO ELÉTRICO E DIAGRAMA UNIFILAR.  </t>
  </si>
  <si>
    <t>509</t>
  </si>
  <si>
    <t>12.122</t>
  </si>
  <si>
    <t xml:space="preserve"> QUADROS DE LUZ GALERIA, QL-SA7, COMPLETA COM DISJUNTORES, CONFORME DOC. ESPECIFICAÇÃO TÉCNICA – EQUIPAMENTO ELÉTRICO E DIAGRAMA UNIFILAR.  </t>
  </si>
  <si>
    <t>510</t>
  </si>
  <si>
    <t>12.123</t>
  </si>
  <si>
    <t xml:space="preserve"> QUADROS DE LUZ SEE, QL-SA3, COMPLETA COM DISJUNTORES, CONFORME DOC. ESPECIFICAÇÃO TÉCNICA – EQUIPAMENTO ELÉTRICO E DIAGRAMA UNIFILAR.  </t>
  </si>
  <si>
    <t>511</t>
  </si>
  <si>
    <t>12.124</t>
  </si>
  <si>
    <t xml:space="preserve"> QUADROS DE LUZ TUNEL QL-SA1 E QL-SA2, COMPLETA COM DISJUNTORES, CONFORME DOC. ESPECIFICAÇÃO TÉCNICA – EQUIPAMENTO ELÉTRICO E DIAGRAMA UNIFILAR.  </t>
  </si>
  <si>
    <t>512</t>
  </si>
  <si>
    <t>12.125</t>
  </si>
  <si>
    <t xml:space="preserve"> SUBESTAÇÃO POSTO SIMPLIFICADO COM TRANSFORMADOR EM POSTE 225 KVA, 13,8KV-220/127V MEDIÇÃO EM BAIXA TENSÃO PARA ILUMINAÇÃO DO TÚNEL  </t>
  </si>
  <si>
    <t>513</t>
  </si>
  <si>
    <t>12.126</t>
  </si>
  <si>
    <t xml:space="preserve"> TANQUE DE OLEO DIESEL EXTERNO PARA 1,000 LITROS  </t>
  </si>
  <si>
    <t>514</t>
  </si>
  <si>
    <t>12.127</t>
  </si>
  <si>
    <t xml:space="preserve"> 09-82-14  </t>
  </si>
  <si>
    <t xml:space="preserve"> TOMADA 3P+T 32A -600/690V TIPO INDUSTRIAL  </t>
  </si>
  <si>
    <t>515</t>
  </si>
  <si>
    <t>12.128</t>
  </si>
  <si>
    <t xml:space="preserve"> TRANSFORMADOR DE FORÇA TIPO SECO MÉDIA TENSÃO (TF-01), MONTADO EM CUBÍCULO, FECHADO, POTÊNCIA NOMINAL 500 kVA, TRIFÁSICO, RELAÇÃO 13800-380/220V, FORNECIDO CONFORME ESPECIFICAÇÃO TÉCNICA – EQUIPAMENTO ELÉTRICO E DIAGRAMA UNIFILAR ELÉTRICO  </t>
  </si>
  <si>
    <t>516</t>
  </si>
  <si>
    <t>12.129</t>
  </si>
  <si>
    <t xml:space="preserve"> TRANSFORMADOR DE FORÇA TIPO SECO MÉDIA TENSÃO TF-01), MONTADO EM CUBÍCULO, FECHADO, POTÊNCIA NOMINAL 1000 KVA, TRIFÁSICO, RELAÇÃO 13800-380/220V, FORNECIDO CONFORME ESPECIFICAÇÃO TÉCNICA – EQUIPAMENTO ELÉTRICO E DIAGRAMA UNIFILAR ELÉTRICO  </t>
  </si>
  <si>
    <t>517</t>
  </si>
  <si>
    <t>12.130</t>
  </si>
  <si>
    <t xml:space="preserve"> TRANSFORMADOR DE FORÇA TIPO SECO, BAIXA TENSÃO (TF-02), BLINDADO, POTÊNCIA NOMINAL 15 kVA, 380-(TF 02), BLINDADO, POTÊNCIA NOMINAL 15 kVA, 380 220/127V, TRIFÁSICO, FORNECIDO CONFORME DOC. ESPECIFICAÇÃO TÉCNICA -EQUIPAMENTO ELÉTRICO E DIAGRAMAS UNIFILARES  </t>
  </si>
  <si>
    <t>518</t>
  </si>
  <si>
    <t>12.131</t>
  </si>
  <si>
    <t xml:space="preserve"> TRANSFORMADOR DE FORÇA TIPO SECO, BAIXA TENSÃO (TF-02), BLINDADO, POTÊNCIA NOMINAL 150 KVA, 440-220/127V, TRIFÁSICO, FORNECIDO CONFORME DOC. ESPECIFICAÇÃO TÉCNICA -EQUIPAMENTO ELÉTRICO E DIAGRAMAS UNIFILARES  </t>
  </si>
  <si>
    <t>519</t>
  </si>
  <si>
    <t>12.132</t>
  </si>
  <si>
    <t xml:space="preserve"> TRANSFORMADOR DE FORÇA TIPO SECO, BAIXA TENSÃO (TF-02), BLINDADO, POTÊNCIA NOMINAL 50 KVA, 380-220/127V, TRIFÁSICO, FORNECIDO CONFORME DOC. ESPECIFICAÇÃO TÉCNICA -EQUIPAMENTO ELÉTRICO E DIAGRAMAS UNIFILARES  </t>
  </si>
  <si>
    <t>520</t>
  </si>
  <si>
    <t>12.133</t>
  </si>
  <si>
    <t xml:space="preserve"> UNIDADE DE ENERGIA ININTERRUPTA  NOBREAK   20 kVA COMPLETA COM BATERIAS SELADAS, 160 Ah, ENTRADA MONOFÁSICA 220 v, SAÍDA MONOFÁSICA 220/127 v, CONFORME DOC. ESPECIFICAÇÃO TÉCNICA – EQUIPAMENTO ELÉTRICO E DIAGRAMA UNIFILAR  </t>
  </si>
  <si>
    <t>521</t>
  </si>
  <si>
    <t>12.134</t>
  </si>
  <si>
    <t xml:space="preserve"> UNIDADE DE ENERGIA ININTERRUPTA  NOBREAK 20 KVA COMPLETA COM BATERIAS SELADAS, 160 AH, ENTRADA MONOFÁSICA 220 V, SAÍDA MONOFÁSICA 380/220V, CONFORME DOC. ESPECIFICAÇÃO TÉCNICA – EQUIPAMENTO ELÉTRICO E DIAGRAMA UNIFILAR  </t>
  </si>
  <si>
    <t>522</t>
  </si>
  <si>
    <t xml:space="preserve"> SISTEMA DE SUPERVISÃO E MONITORAMENTO  </t>
  </si>
  <si>
    <t>523</t>
  </si>
  <si>
    <t>13.1</t>
  </si>
  <si>
    <t xml:space="preserve"> APOIO DE FIXAÇÃO DA CÂMERA FIXA EXTERNO EM PAREDE  </t>
  </si>
  <si>
    <t>524</t>
  </si>
  <si>
    <t>13.2</t>
  </si>
  <si>
    <t xml:space="preserve"> APOIO DE FIXAÇÃO DA CÂMERA FIXA EXTERNO EM POSTE C/ PÁRA-RAIO  </t>
  </si>
  <si>
    <t>525</t>
  </si>
  <si>
    <t>13.3</t>
  </si>
  <si>
    <t xml:space="preserve"> APOIO DE FIXAÇÃO DA CÂMERA FIXA INTERNO EM PAREDE  </t>
  </si>
  <si>
    <t>526</t>
  </si>
  <si>
    <t>13.4</t>
  </si>
  <si>
    <t xml:space="preserve"> APOIO DE FIXAÇÃO DA CÂMERA FIXA INTERNO EM TÚNEL  </t>
  </si>
  <si>
    <t>527</t>
  </si>
  <si>
    <t>13.5</t>
  </si>
  <si>
    <t xml:space="preserve"> APOIO DE FIXAÇÃO DA CÂMERA MÓVEL EXTERNO  </t>
  </si>
  <si>
    <t>528</t>
  </si>
  <si>
    <t>13.6</t>
  </si>
  <si>
    <t xml:space="preserve"> APOIO DE FIXAÇÃO DA CÂMERA MÓVEL INTERNO  </t>
  </si>
  <si>
    <t>529</t>
  </si>
  <si>
    <t>13.7</t>
  </si>
  <si>
    <t xml:space="preserve"> APOIO DE FIXAÇÃO DA CÂMERA MÓVEL INTERNO EM TÚNEL  </t>
  </si>
  <si>
    <t>530</t>
  </si>
  <si>
    <t>13.8</t>
  </si>
  <si>
    <t xml:space="preserve"> APOIO PARA FIXAÇÃO DO CONJUNTO DE BALIZADORES (CONJUNTO COM 3 BALIZADORES)  </t>
  </si>
  <si>
    <t>531</t>
  </si>
  <si>
    <t>13.9</t>
  </si>
  <si>
    <t xml:space="preserve"> BALIZADORES DE FAIXAS – SETA/ XIS  </t>
  </si>
  <si>
    <t>532</t>
  </si>
  <si>
    <t>13.10</t>
  </si>
  <si>
    <t xml:space="preserve"> CABO AFT POLARIZADO 1P X 14AWG BLINDADO -LAÇO DE COMUNICAÇÃO  </t>
  </si>
  <si>
    <t>533</t>
  </si>
  <si>
    <t>13.11</t>
  </si>
  <si>
    <t xml:space="preserve"> CABO DE SINAL AFT – 1P X 12AWG BLINDADO -LAÇO DE INCÊNDIO -CLASSE A  </t>
  </si>
  <si>
    <t>534</t>
  </si>
  <si>
    <t>13.12</t>
  </si>
  <si>
    <t xml:space="preserve"> CABO FLEXÍVEL -ISOLAÇÃO EM PVC 90°C -CLASSE 4 OU 5 -450/750V -1C X 0,50mm² BLINDADO  </t>
  </si>
  <si>
    <t>535</t>
  </si>
  <si>
    <t>13.13</t>
  </si>
  <si>
    <t xml:space="preserve"> 988-03-32  </t>
  </si>
  <si>
    <t xml:space="preserve"> CABO FLEXÍVEL -ISOLAÇÃO EM PVC-90°C -CLASSE 4 OU 5 -0,6/1kV -3Cx10,0mm²  </t>
  </si>
  <si>
    <t>536</t>
  </si>
  <si>
    <t>13.14</t>
  </si>
  <si>
    <t xml:space="preserve"> 988-03-29  </t>
  </si>
  <si>
    <t xml:space="preserve"> CABO FLEXÍVEL -ISOLAÇÃO EM PVC-90°C -CLASSE 4 OU 5 -0,6/1kV -3Cx2,5mm²  </t>
  </si>
  <si>
    <t>537</t>
  </si>
  <si>
    <t>13.15</t>
  </si>
  <si>
    <t xml:space="preserve"> 988-03-31  </t>
  </si>
  <si>
    <t xml:space="preserve"> CABO FLEXÍVEL -ISOLAÇÃO EM PVC-90°C -CLASSE 4 OU 5 -0,6/1kV -3Cx6,0mm²  </t>
  </si>
  <si>
    <t>538</t>
  </si>
  <si>
    <t>13.16</t>
  </si>
  <si>
    <t xml:space="preserve"> CABO ÓPTICO MONOMODO -OUTDOOR/ INDOOR 2FO PRÉ-CONECTORIZADO (SCE)  </t>
  </si>
  <si>
    <t>539</t>
  </si>
  <si>
    <t>13.17</t>
  </si>
  <si>
    <t xml:space="preserve"> CABO ÓPTICO MONOMODO -OUTDOOR/ INDOOR 4FO PRÉ-CONECTORIZADO (PMV / BACKBONE / DEMAIS SISTEMAS)  </t>
  </si>
  <si>
    <t>540</t>
  </si>
  <si>
    <t>13.18</t>
  </si>
  <si>
    <t xml:space="preserve"> CABO STP – CAT6A – 4P x 24AWG  </t>
  </si>
  <si>
    <t>541</t>
  </si>
  <si>
    <t>13.19</t>
  </si>
  <si>
    <t xml:space="preserve"> CABO VM 0,6/1KV(PT/VM) -1X 2C X2,5 MM² -ALIMENTAÇÃO 24VCC  </t>
  </si>
  <si>
    <t>542</t>
  </si>
  <si>
    <t>13.20</t>
  </si>
  <si>
    <t xml:space="preserve"> CAIXAS DE PASSAGEM -TIPO PI (700X700X1000MM)  </t>
  </si>
  <si>
    <t>543</t>
  </si>
  <si>
    <t>13.21</t>
  </si>
  <si>
    <t xml:space="preserve"> CENTRAL DE ATENDIMENTO AO USUÁRIO, COMPOSTA DE ESTAÇÃO DE CHAMADA DE MESA E MICROFONE PRIORITÁRIO (CENTRAL DE ATENDIMENTO AO USUÁRIO)  </t>
  </si>
  <si>
    <t>544</t>
  </si>
  <si>
    <t>13.22</t>
  </si>
  <si>
    <t xml:space="preserve"> CENTRAL DE COMUNICAÇÃO DE BOMBEIROS  </t>
  </si>
  <si>
    <t>545</t>
  </si>
  <si>
    <t>13.23</t>
  </si>
  <si>
    <t xml:space="preserve"> CENTRAL DE TELEFONIA -PABX IP  </t>
  </si>
  <si>
    <t>546</t>
  </si>
  <si>
    <t>13.24</t>
  </si>
  <si>
    <t xml:space="preserve"> CERTIFICAÇÃO DE REDE LÓGICA -ATÉ 50 PONTOS  </t>
  </si>
  <si>
    <t>gb</t>
  </si>
  <si>
    <t>547</t>
  </si>
  <si>
    <t>13.25</t>
  </si>
  <si>
    <t xml:space="preserve"> CONJUNTO ANEMÔMETRO COMPLETO E INSTALADO COM CABO DE INTERLIGAÇÃO  </t>
  </si>
  <si>
    <t>548</t>
  </si>
  <si>
    <t>13.26</t>
  </si>
  <si>
    <t xml:space="preserve"> CONJUNTO CAIXA TÉCNICA (QUADRO + FONTE 5VCC + PLACA CONTROLADORA + RÉGUA E ACESSÓRIOS)  </t>
  </si>
  <si>
    <t>549</t>
  </si>
  <si>
    <t>13.27</t>
  </si>
  <si>
    <t xml:space="preserve"> CONJUNTO CAIXA TÉCNICA P/ CALLBOX (QUADRO + TRANSFORMADOR + RÉGUA E ACESSÓRIOS)  </t>
  </si>
  <si>
    <t>550</t>
  </si>
  <si>
    <t>13.28</t>
  </si>
  <si>
    <t xml:space="preserve"> CONJUNTO CAIXA TÉCNICA P/ CÂMERA FIXA (QUADRO +CONJUNTO CAIXA TÉCNICA P/ CÂMERA FIXA (QUADRO + TRANSFORMADOR + RÉGUA E ACESSÓRIOS)  </t>
  </si>
  <si>
    <t>551</t>
  </si>
  <si>
    <t>13.29</t>
  </si>
  <si>
    <t xml:space="preserve"> CONJUNTO CAIXA TÉCNICA P/ CÂMERA MÓVEL (QUADRO + TRANSFORMADOR + RÉGUA E ACESSÓRIOS)  </t>
  </si>
  <si>
    <t>552</t>
  </si>
  <si>
    <t>13.30</t>
  </si>
  <si>
    <t xml:space="preserve"> CONJUNTO CAIXA TÉCNICA P/ DETECÇÃO DE ALTURA (QUADRO + TRANSFORMADOR + CARTÃO CONTROLADOR + RÉGUA E ACESSÓRIO)  </t>
  </si>
  <si>
    <t>553</t>
  </si>
  <si>
    <t>13.31</t>
  </si>
  <si>
    <t xml:space="preserve"> CONJUNTO CAIXA TÉCNICA P/ PMV (QUADRO + TRANSFORMADOR + RÉGUA E ACESSÓRIOS)  </t>
  </si>
  <si>
    <t>554</t>
  </si>
  <si>
    <t>13.32</t>
  </si>
  <si>
    <t xml:space="preserve"> CONJUNTO CAIXA TÉCNICA PARA ANEMÔMETRO (QUADRO + FONTE DE ALIMENTAÇÃO 5 VCC + RÉGUA E ACESSÓRIOS)  </t>
  </si>
  <si>
    <t>555</t>
  </si>
  <si>
    <t>13.33</t>
  </si>
  <si>
    <t xml:space="preserve"> CONJUNTO CAIXA TÉCNICA PARA CONJUNTO SENSOR CO, NOX E OPACÍMETRO (QUADRO + FONTE DE ALIMENTAÇÃO + RÉGUA E ACESSÓRIOS)  </t>
  </si>
  <si>
    <t>556</t>
  </si>
  <si>
    <t>13.34</t>
  </si>
  <si>
    <t xml:space="preserve"> CONJUNTO CÂMERA FIXA DIGITAL + LENTE 8mm + CAIXA DE PROTEÇÃO E ACESSÓRIOS  </t>
  </si>
  <si>
    <t>557</t>
  </si>
  <si>
    <t>13.35</t>
  </si>
  <si>
    <t xml:space="preserve"> CONJUNTO CÂMERA FIXA DIGITAL IP + DAI + LENTE 12mm + CAIXA DE PROTEÇÃO E ACESSÓRIOS  </t>
  </si>
  <si>
    <t>558</t>
  </si>
  <si>
    <t>13.36</t>
  </si>
  <si>
    <t xml:space="preserve"> CONJUNTO CÂMERA FIXA DIGITAL IP + LENTE 12mm + CAIXA DE PROTEÇÃO E ACESSÓRIOS  </t>
  </si>
  <si>
    <t>559</t>
  </si>
  <si>
    <t>13.37</t>
  </si>
  <si>
    <t xml:space="preserve"> CONJUNTO CÂMERA FIXA DIGITAL IP + LENTE 8mm + CAIXA DE PROTEÇÃO E ACESSÓRIOS  </t>
  </si>
  <si>
    <t>560</t>
  </si>
  <si>
    <t>13.38</t>
  </si>
  <si>
    <t xml:space="preserve"> CONJUNTO CÂMERA MÓVEL DIGITAL IP + LENTE C/ ZOOM MOTORIZADO + CAIXA DE PROTEÇÃO C/ MOVIMENTADOR (PAN/TILT) E ACESSÓRIOS  </t>
  </si>
  <si>
    <t>561</t>
  </si>
  <si>
    <t>13.39</t>
  </si>
  <si>
    <t xml:space="preserve"> CONJUNTO COM 02 CANCELAS AUTOMÁTICAS COM BRAÇOS ARTICULAVEIS E COMANDO ELETRÔNICO, COMPLETO E INSTALADO  </t>
  </si>
  <si>
    <t>562</t>
  </si>
  <si>
    <t>13.40</t>
  </si>
  <si>
    <t xml:space="preserve"> CONJUNTO COMPLETO COMPOSTO DE CONTROLADORES LÓGICOS PROGRAMÁVEIS (CLPS) MONTADOS EM RACK COM BORNES, FONTES, CARTÕES DE ENTRADA E SAÍDA (E/S), PROCESSADOR (CPU) E MÓDULOS DE COMUNICAÇÃO EM REDE ETHERNET.  </t>
  </si>
  <si>
    <t>563</t>
  </si>
  <si>
    <t>13.41</t>
  </si>
  <si>
    <t xml:space="preserve"> CONJUNTO DE SENSORES DE DETECÇÃO DE ALTURA, COMPOSTO DE 02 TX E 02 RX, CAIXA DE PROTEÇÃO IP 67 E SUPORTE DE FIXAÇÃO, COMPLETO E INSTALADO  </t>
  </si>
  <si>
    <t>564</t>
  </si>
  <si>
    <t>13.42</t>
  </si>
  <si>
    <t xml:space="preserve"> CONJUNTO SENSOR ÓPTICO DE CO, NOX E OPACÍMETRO COMPLETO E INSTALADO  </t>
  </si>
  <si>
    <t>565</t>
  </si>
  <si>
    <t>13.43</t>
  </si>
  <si>
    <t xml:space="preserve"> CONJUNTO SINALIZADORES DE ABANDONO ELETRÔNICO COMPLETO E INSTALADO  </t>
  </si>
  <si>
    <t>566</t>
  </si>
  <si>
    <t>13.44</t>
  </si>
  <si>
    <t xml:space="preserve"> CONTROLADOR DE DETECÇÃO LINEAR DE CALOR  </t>
  </si>
  <si>
    <t>567</t>
  </si>
  <si>
    <t>13.45</t>
  </si>
  <si>
    <t xml:space="preserve"> DISTRIBUIDOR INTERNO ÓPTICO COMPLETO DE 144 FIBRAS EM RACK DE 19   </t>
  </si>
  <si>
    <t>568</t>
  </si>
  <si>
    <t>13.46</t>
  </si>
  <si>
    <t xml:space="preserve"> 24,88,15,16  </t>
  </si>
  <si>
    <t xml:space="preserve"> DUTOS SUBTERRÂNEOS -PEAD DN.100mm  </t>
  </si>
  <si>
    <t>569</t>
  </si>
  <si>
    <t>13.47</t>
  </si>
  <si>
    <t xml:space="preserve"> ELETROCALHA 500x100 mm  </t>
  </si>
  <si>
    <t>570</t>
  </si>
  <si>
    <t>13.48</t>
  </si>
  <si>
    <t xml:space="preserve"> ESTAÇÃO DE OPERAÇÃO E CONTROLE DE CFTV COMPOSTO DE 2 MONITORES LED 24  1 CPU, 1 TECLADO E 1 MOUSE  </t>
  </si>
  <si>
    <t>571</t>
  </si>
  <si>
    <t>13.49</t>
  </si>
  <si>
    <t xml:space="preserve"> FORNECIMENTO, INSTALAÇÃO, CONFIGURAÇÃO, TESTE E COMISSIONAMENTO DE ACIONADOR MANUAL ENDEREÇÁVEL.  </t>
  </si>
  <si>
    <t>572</t>
  </si>
  <si>
    <t>13.50</t>
  </si>
  <si>
    <t xml:space="preserve"> FORNECIMENTO, INSTALAÇÃO, CONFIGURAÇÃO, TESTE E COMISSIONAMENTO DE DETECTOR DE FUMAÇA ÓPTICO EM TETO ENDEREÇÁVEL.  </t>
  </si>
  <si>
    <t>573</t>
  </si>
  <si>
    <t>13.51</t>
  </si>
  <si>
    <t xml:space="preserve"> FORNECIMENTO, INSTALAÇÃO, CONFIGURAÇÃO, TESTE E COMISSIONAMENTO DE DETECTOR TÉRMICO PONTUAL EM TETO ENDEREÇÁVEL.  </t>
  </si>
  <si>
    <t>574</t>
  </si>
  <si>
    <t>13.52</t>
  </si>
  <si>
    <t xml:space="preserve"> FORNECIMENTO, INSTALAÇÃO, TESTE E COMISSIONAMENTO DE TELEFONE DE EMERGÊNCIA P/ BOMBEIRO.  </t>
  </si>
  <si>
    <t>575</t>
  </si>
  <si>
    <t>13.53</t>
  </si>
  <si>
    <t xml:space="preserve"> FORNECIMENTO, INSTALAÇÃO, TESTE E COMISSIONAMENTO DO CONJUNTO DE TELEFONE DE EMERGÊNCIA AO USUÁRIO (CALLBOX) E CAIXA TÉCNICA.  </t>
  </si>
  <si>
    <t>576</t>
  </si>
  <si>
    <t>13.54</t>
  </si>
  <si>
    <t xml:space="preserve"> FORNECIMENTO, INSTALAÇÃO, TESTE, COMISSIONAMENTO DE CABO TÉRMICO TIPO DETECTOR LINEAR DE CALOR.  </t>
  </si>
  <si>
    <t>577</t>
  </si>
  <si>
    <t>13.55</t>
  </si>
  <si>
    <t xml:space="preserve"> FORNECIMENTO, INSTALAÇÃO, TESTE, CONFIGURAÇÃO E COMISSIONAMENTO DE AVISADOR AUDIOVISUAL DE EVACUAÇÃO DE EMERGÊNCIA + MÓDULO DE CONTROLE ENDEREÇÁVEL + FONTE SEGURA 24VCC  </t>
  </si>
  <si>
    <t>578</t>
  </si>
  <si>
    <t>13.56</t>
  </si>
  <si>
    <t xml:space="preserve"> FORNECIMENTO, INSTALAÇÃO, TESTE CONFIGURAÇÃO EFORNECIMENTO, INSTALAÇÃO, TESTE, CONFIGURAÇÃO E COMISSIONAMENTO DE CENTRAL DE DETECÇÃO E ALARME DE INCÊNDIO (PRINCIPAL/ MESTRE), COMPOSTA DE CENTRAL DE LAÇO DE INCÊNDIO (CLASSE A) E DISPLAY COM TECLADO MODELO, COM CAPACIDADE MÍNIMA DE 4 LAÇOS INTELIGENTES ENDEREÇÁVEIS  </t>
  </si>
  <si>
    <t>579</t>
  </si>
  <si>
    <t>13.57</t>
  </si>
  <si>
    <t xml:space="preserve"> FORNECIMENTO, INSTALAÇÃO, TESTE, CONFIGURAÇÃO E COMISSIONAMENTO DE CENTRAL DE DETECÇÃO E ALARME DE INCÊNDIOS COMPOSTA DE MÓDULO DE COMUNICAÇÃO EM LAÇO E DISPLAY COM TECLADO -SATÉLITE ENDEREÇÁVEL  </t>
  </si>
  <si>
    <t>580</t>
  </si>
  <si>
    <t>13.58</t>
  </si>
  <si>
    <t xml:space="preserve"> FORNECIMENTO, MONTAGEM, TESTE, CONFIGURAÇÃO E COMISSIONAMENTO DE MÓDULO MONITOR ENDEREÇÁVEL.  </t>
  </si>
  <si>
    <t>581</t>
  </si>
  <si>
    <t>13.59</t>
  </si>
  <si>
    <t xml:space="preserve"> FORNECIMENTO, MONTAGEM, TESTE, CONFIGURAÇÃO E COMISSIONAMENTO DE SENSOR DE ABERTURA DE PORTA.  </t>
  </si>
  <si>
    <t>582</t>
  </si>
  <si>
    <t>13.60</t>
  </si>
  <si>
    <t xml:space="preserve"> GERENCIADOR DE PROCESSAMENTO DE IMAGENS  </t>
  </si>
  <si>
    <t>583</t>
  </si>
  <si>
    <t>13.61</t>
  </si>
  <si>
    <t xml:space="preserve"> IMPRESSORA LASER / COLOR  </t>
  </si>
  <si>
    <t>584</t>
  </si>
  <si>
    <t>13.62</t>
  </si>
  <si>
    <t xml:space="preserve"> IMPRESSORA MATRICIAL DE PONTOS -180 COLUNAS  </t>
  </si>
  <si>
    <t>585</t>
  </si>
  <si>
    <t>13.63</t>
  </si>
  <si>
    <t xml:space="preserve"> INTERFACE ÓPTICA TIPO CARTÃO P/ 4-20mA/ 0-10VDC  </t>
  </si>
  <si>
    <t>586</t>
  </si>
  <si>
    <t>13.64</t>
  </si>
  <si>
    <t xml:space="preserve"> INTERFACE ÓPTICA TIPO MÓDULO P/ 4-20mA/ 0-10VDC  </t>
  </si>
  <si>
    <t>587</t>
  </si>
  <si>
    <t>13.65</t>
  </si>
  <si>
    <t xml:space="preserve"> INTERFACE ÓPTICA TIPO MÓDULO P/ ETHERNET TCP/IP  </t>
  </si>
  <si>
    <t>588</t>
  </si>
  <si>
    <t>13.66</t>
  </si>
  <si>
    <t xml:space="preserve"> INTERFACE REMOTA DO CONJUNTO DO SENSOR DE CO, NOX E OPACÍMETRO COMPLETO E INSTALADO  </t>
  </si>
  <si>
    <t>589</t>
  </si>
  <si>
    <t>13.67</t>
  </si>
  <si>
    <t xml:space="preserve"> MÓDULOS DE DETECÇÃO AUTOMÁTICA DE INCIDENTES TIPO CARTÃO  </t>
  </si>
  <si>
    <t>590</t>
  </si>
  <si>
    <t>13.68</t>
  </si>
  <si>
    <t xml:space="preserve"> PAINEL DE MENSAGENS VARIÁVEIS EXTERNO COM DIMENSÕES MÍNIMAS DE 5,0M DE LARGURA E 2,0M DE ALTURA – MATRIZ COMPLETA (FULL MATRIX) EM TEXTO/ 3 LINHAS -LED -COR AMBAR COM NO MINIMO DE 120 PIXELS DE LARGURA E 32 PIXELS DE ALTURA  </t>
  </si>
  <si>
    <t>591</t>
  </si>
  <si>
    <t>13.69</t>
  </si>
  <si>
    <t xml:space="preserve"> PAINEL DE MENSAGENS VARIÁVEIS INTERNO COM DIMENSÕES MINIMAS DE 4,0M DE LARGURA E 0,4M DE ALTURA – MATRIZ COMPLETA (FULL MATRIX) EM TEXTO/ 2 LINHAS -COR AMBAR  </t>
  </si>
  <si>
    <t>592</t>
  </si>
  <si>
    <t>13.70</t>
  </si>
  <si>
    <t xml:space="preserve"> PÓRTICO FIXAÇÃO DE PMV E CÂMERA -ALTURA LIVRE MÍNIMA DE 6,20M, COM PASSARELA PARA MANUTENÇÃO E ESCADA. COM PLACA METÁLICA PARA FIXAÇÃO DO PMV PARA EVITAR TREPIDAÇÃO  </t>
  </si>
  <si>
    <t>593</t>
  </si>
  <si>
    <t>13.71</t>
  </si>
  <si>
    <t xml:space="preserve"> POSTE DE AÇO GALVANIZADO, TIPO RETO COM BASE E APOIO, H=5,5M PARA FIXAÇÃO DOS SENSORES  </t>
  </si>
  <si>
    <t>594</t>
  </si>
  <si>
    <t>13.72</t>
  </si>
  <si>
    <t xml:space="preserve"> POSTE DE AÇO GALVANIZADO, TIPO RETO PARA CÂMERA MÓVEL H= 6,0 M  </t>
  </si>
  <si>
    <t>595</t>
  </si>
  <si>
    <t>13.73</t>
  </si>
  <si>
    <t xml:space="preserve"> RACK 19  DE 44U, COM ACESSÓRIOS DE FIXAÇÃO E VENTILADOR COM PORTA FRONTAL COM VISOR DE VIDRO/ACRILICO, PLACA DE FECHAMENTO LATERAL COM ALETAS DE VENTILAÇÃO, PLACA TRASEIRA REMOVIVEL E BANDEJAS DESLIZANTES  </t>
  </si>
  <si>
    <t>596</t>
  </si>
  <si>
    <t>13.74</t>
  </si>
  <si>
    <t xml:space="preserve"> SERVIDOR DE ARMAZENAMENTO DE IMAGENS -STORAGE  </t>
  </si>
  <si>
    <t>597</t>
  </si>
  <si>
    <t>13.75</t>
  </si>
  <si>
    <t xml:space="preserve"> SERVIDOR DE IMPRESSÃO  </t>
  </si>
  <si>
    <t>598</t>
  </si>
  <si>
    <t>13.76</t>
  </si>
  <si>
    <t xml:space="preserve"> SERVIDOR EM REDE DE GERENCIAMENTO DE TRÁFEGO  </t>
  </si>
  <si>
    <t>599</t>
  </si>
  <si>
    <t>13.77</t>
  </si>
  <si>
    <t xml:space="preserve"> SERVIDOR PRINCIPAL  </t>
  </si>
  <si>
    <t>600</t>
  </si>
  <si>
    <t>13.78</t>
  </si>
  <si>
    <t xml:space="preserve"> SOFTWARE E LICENÇA CLIENTE  </t>
  </si>
  <si>
    <t>601</t>
  </si>
  <si>
    <t>13.79</t>
  </si>
  <si>
    <t xml:space="preserve"> SOFTWARE E LICENÇA DE SUPERVISÃO E OPERAÇÃO PARA SER INSTALADO NA ESTAÇÃO DE TRABALHO DE TODOS OS SISTEMAS DO CCO  </t>
  </si>
  <si>
    <t>602</t>
  </si>
  <si>
    <t>13.80</t>
  </si>
  <si>
    <t xml:space="preserve"> SOFTWARE E LICENÇA DE SUPERVISÃO E CONTROLE -SCADA  </t>
  </si>
  <si>
    <t>603</t>
  </si>
  <si>
    <t>13.81</t>
  </si>
  <si>
    <t xml:space="preserve"> SOFTWARE E LICENÇA PARA INTEGRAR E COMUNICAR COM OS CALL BOXES, INSTALADO NA ESTAÇÃO 2 DE TODOS OS SISTEMAS.  </t>
  </si>
  <si>
    <t>604</t>
  </si>
  <si>
    <t>13.82</t>
  </si>
  <si>
    <t xml:space="preserve"> SUB-BASTIDOR DE 19” PARA 15 INTERFACES ÓPTICAS COM FONTES DE ALIMENTAÇÃO, COMPLETO E INSTALADO  </t>
  </si>
  <si>
    <t>605</t>
  </si>
  <si>
    <t>13.83</t>
  </si>
  <si>
    <t xml:space="preserve"> SUBBASTIDOR PARA MÓDULOS DE DETECÇÃO AUTOMÁTICA DE INCIDENTES PADRÃO RACK 19   </t>
  </si>
  <si>
    <t>606</t>
  </si>
  <si>
    <t>13.84</t>
  </si>
  <si>
    <t xml:space="preserve"> SUPORTE PARA PAINEL DE MENSAGENS VARIÁVEIS INTERNO  </t>
  </si>
  <si>
    <t>607</t>
  </si>
  <si>
    <t>13.85</t>
  </si>
  <si>
    <t xml:space="preserve"> SWITCH GIGABIT ETHERNET 24 PORTAS FO + 3 OU 4 PORTAS RJ45 -COMUTAÇÃO L3  </t>
  </si>
  <si>
    <t>608</t>
  </si>
  <si>
    <t>13.86</t>
  </si>
  <si>
    <t xml:space="preserve"> SWITCH GIGABIT ETHERNET 24 PORTAS RJ-45 + 3 OU 4 PORTAS MINI GBIC OU MÓDULO SFP -COMUTAÇÃO L3  </t>
  </si>
  <si>
    <t>609</t>
  </si>
  <si>
    <t>13.87</t>
  </si>
  <si>
    <t xml:space="preserve"> TECLADO JOYSTICK P/ CFTV TECLADO JOYSTICK P/ CFTV  </t>
  </si>
  <si>
    <t>610</t>
  </si>
  <si>
    <t>13.88</t>
  </si>
  <si>
    <t xml:space="preserve"> TECLADO, MONITOR 17  MOUSE -KVM  </t>
  </si>
  <si>
    <t>611</t>
  </si>
  <si>
    <t>13.89</t>
  </si>
  <si>
    <t xml:space="preserve"> UNIDADE CENTRAL DE CALL BOX  </t>
  </si>
  <si>
    <t>612</t>
  </si>
  <si>
    <t>13.90</t>
  </si>
  <si>
    <t xml:space="preserve"> UNIDADE E CONTROLE DO ANEMÔMETRO TIPO PADRÃO RACK 19”  </t>
  </si>
  <si>
    <t>613</t>
  </si>
  <si>
    <t>13.91</t>
  </si>
  <si>
    <t xml:space="preserve"> VIDEO WALL 2 X 2 DISPLAYS DE CRISTAL LÍQUIDO COM BORDA FINA DE 46   </t>
  </si>
  <si>
    <t>614</t>
  </si>
  <si>
    <t xml:space="preserve"> INTERFERÊNCIAS  </t>
  </si>
  <si>
    <t>615</t>
  </si>
  <si>
    <t>14.1</t>
  </si>
  <si>
    <t xml:space="preserve"> INTERFERÊNCIAS FERROVIA  </t>
  </si>
  <si>
    <t xml:space="preserve"> FERROVIA  </t>
  </si>
  <si>
    <t>616</t>
  </si>
  <si>
    <t>14.1.1</t>
  </si>
  <si>
    <t xml:space="preserve"> 80,88,01,04  </t>
  </si>
  <si>
    <t xml:space="preserve"> SOLDA ALUMINOTÉRMICA PARA FORMAÇÃO DE TLC  </t>
  </si>
  <si>
    <t>617</t>
  </si>
  <si>
    <t>14.1.2</t>
  </si>
  <si>
    <t xml:space="preserve"> 80,88,01,05  </t>
  </si>
  <si>
    <t xml:space="preserve"> SOLDA ALUMINOTÉRMICA PARA FORMAÇÃO DE TLS  </t>
  </si>
  <si>
    <t>618</t>
  </si>
  <si>
    <t>14.1.3</t>
  </si>
  <si>
    <t xml:space="preserve"> 80,88,01,06  </t>
  </si>
  <si>
    <t xml:space="preserve"> SOLDA ELÉTRICA DE TRILHO UIC-60 PARA FORMAÇÃO DE TLS  </t>
  </si>
  <si>
    <t>619</t>
  </si>
  <si>
    <t>14.1.4</t>
  </si>
  <si>
    <t xml:space="preserve"> 80,88,01,07  </t>
  </si>
  <si>
    <t xml:space="preserve"> DORMENTE MONOBLOCO DE CONCRETO PROTENDIDO PARA BITOLA 1,60 M  </t>
  </si>
  <si>
    <t>620</t>
  </si>
  <si>
    <t>14.1.5</t>
  </si>
  <si>
    <t xml:space="preserve"> EXECUÇÃO DE SUBLASTRO COM LATERITA  </t>
  </si>
  <si>
    <t>621</t>
  </si>
  <si>
    <t>14.1.6</t>
  </si>
  <si>
    <t xml:space="preserve"> 80,88,01,02  </t>
  </si>
  <si>
    <t>622</t>
  </si>
  <si>
    <t>14.1.7</t>
  </si>
  <si>
    <t xml:space="preserve"> 80,88,01,03  </t>
  </si>
  <si>
    <t>623</t>
  </si>
  <si>
    <t>14.1.8</t>
  </si>
  <si>
    <t xml:space="preserve"> 80,88,01,01  </t>
  </si>
  <si>
    <t>624</t>
  </si>
  <si>
    <t>14.2</t>
  </si>
  <si>
    <t xml:space="preserve"> INTERFERÊNCIAS  SUPERESTRUTURA PARA RELOCAÇÃO DE FERROVIA  </t>
  </si>
  <si>
    <t xml:space="preserve"> SUPERESTRUTURA PARA RELOCAÇÃO DE FERROVIA  </t>
  </si>
  <si>
    <t xml:space="preserve">  </t>
  </si>
  <si>
    <t>625</t>
  </si>
  <si>
    <t>14.2.1</t>
  </si>
  <si>
    <t xml:space="preserve"> 26,05,01  </t>
  </si>
  <si>
    <t>626</t>
  </si>
  <si>
    <t>14.2.2</t>
  </si>
  <si>
    <t xml:space="preserve"> 26,06,02  </t>
  </si>
  <si>
    <t>627</t>
  </si>
  <si>
    <t>14.2.3</t>
  </si>
  <si>
    <t xml:space="preserve"> 26,09,06  </t>
  </si>
  <si>
    <t>628</t>
  </si>
  <si>
    <t>14.2.4</t>
  </si>
  <si>
    <t xml:space="preserve"> PERFIL W 250 X 25,3  </t>
  </si>
  <si>
    <t>629</t>
  </si>
  <si>
    <t>14.2.5</t>
  </si>
  <si>
    <t xml:space="preserve"> PERFIL W 310 X 79  </t>
  </si>
  <si>
    <t>630</t>
  </si>
  <si>
    <t>14.2.6</t>
  </si>
  <si>
    <t xml:space="preserve"> PERFIL CS 650 X 395  </t>
  </si>
  <si>
    <t>631</t>
  </si>
  <si>
    <t>14.2.7</t>
  </si>
  <si>
    <t xml:space="preserve"> PERFIL VS 600 X 125  </t>
  </si>
  <si>
    <t>632</t>
  </si>
  <si>
    <t>14.2.8</t>
  </si>
  <si>
    <t xml:space="preserve"> PERFIL PS 1000 X 473  </t>
  </si>
  <si>
    <t>633</t>
  </si>
  <si>
    <t>14.2.9</t>
  </si>
  <si>
    <t xml:space="preserve"> PERFIL CVS 650 X 211  </t>
  </si>
  <si>
    <t>634</t>
  </si>
  <si>
    <t>14.2.10</t>
  </si>
  <si>
    <t xml:space="preserve"> AÇO ASTM 572 GRAU 50  </t>
  </si>
  <si>
    <t>635</t>
  </si>
  <si>
    <t>14.2.11</t>
  </si>
  <si>
    <t xml:space="preserve"> CHAPA DE AÇO ASTM 572 GRAU 50  </t>
  </si>
  <si>
    <t>636</t>
  </si>
  <si>
    <t>14.2.12</t>
  </si>
  <si>
    <t xml:space="preserve"> TUBO 900X650X12,5X12,5  </t>
  </si>
  <si>
    <t>637</t>
  </si>
  <si>
    <t>14.2.13</t>
  </si>
  <si>
    <t xml:space="preserve"> TUBO 1200X650X12,5X12,5  </t>
  </si>
  <si>
    <t>638</t>
  </si>
  <si>
    <t>14.2.14</t>
  </si>
  <si>
    <t xml:space="preserve"> 29,88,24,15  </t>
  </si>
  <si>
    <t xml:space="preserve"> VIADUTO METÁLICO -MONTAGEM E SOLDAGEM DE CHAPAS DE AÇO, PERFIL E TUBO EM AÇO ASTM A572 GRAU 50 COM SOLDA EM ELETRODO E7018 (ABAIXO DEMOSTRATICO EM FUNÇÃO DA SEÇÃO)  </t>
  </si>
  <si>
    <t>639</t>
  </si>
  <si>
    <t>14.3</t>
  </si>
  <si>
    <t xml:space="preserve"> INTERFERÊNCIAS  INFRAESTRUTURA PARA LT 44 KV-1,000M E 2000M  </t>
  </si>
  <si>
    <t xml:space="preserve"> INFRAESTRUTURA PARA LT 44 KV-1,000M E 2000M  </t>
  </si>
  <si>
    <t>640</t>
  </si>
  <si>
    <t>14.3.1</t>
  </si>
  <si>
    <t xml:space="preserve"> 70,88,01,03  </t>
  </si>
  <si>
    <t xml:space="preserve"> CAIXA SUBTERRÂNEA CONCRETO ARMADO COM FCK=20,0M , SOBRE LASTRO DE BRITA E LASTRO DE CONCRETO MAGRO, COM POÇO DE (20X20X20)CM PREVISTO PARA ESGOTAMENTO DE ÁGUAS PLUVIAIS: TIPO II (3,0X 2,0 X 2,0)M  </t>
  </si>
  <si>
    <t>641</t>
  </si>
  <si>
    <t>14.3.2</t>
  </si>
  <si>
    <t xml:space="preserve"> 70,88,01,02  </t>
  </si>
  <si>
    <t xml:space="preserve"> CAIXA SUBTERRÂNEA CONCRETO ARMADO COM FCK=20,0M , SOBRE LASTRO DE BRITA E LASTRO DE CONCRETO MAGRO, COM POÇO DE (20X20X20)CM PREVISTO PARA ESGOTAMENTO DE ÁGUAS PLUVIAIS: TIPO I (2,0X 2,0 X 2,0)M  </t>
  </si>
  <si>
    <t>642</t>
  </si>
  <si>
    <t>14.3.3</t>
  </si>
  <si>
    <t xml:space="preserve"> 70,88,01,05  </t>
  </si>
  <si>
    <t xml:space="preserve"> BASE DE CONCRETO (0,2X2,0X700)M  </t>
  </si>
  <si>
    <t>643</t>
  </si>
  <si>
    <t>14.3.4</t>
  </si>
  <si>
    <t xml:space="preserve"> 70,88,01,04  </t>
  </si>
  <si>
    <t xml:space="preserve"> ENVELOPAMENTO DE CONCRETO  </t>
  </si>
  <si>
    <t>644</t>
  </si>
  <si>
    <t>14.3.5</t>
  </si>
  <si>
    <t xml:space="preserve"> 24,88,02,08  </t>
  </si>
  <si>
    <t xml:space="preserve"> ESCAVAÇÃO E ATERRO DE VALA TÉCNICA  </t>
  </si>
  <si>
    <t>645</t>
  </si>
  <si>
    <t>14.3.6</t>
  </si>
  <si>
    <t xml:space="preserve"> 70,88,01,01  </t>
  </si>
  <si>
    <t xml:space="preserve"> CFTV -SISTEMA DE CIRCUITO FECHADO DE TV  </t>
  </si>
  <si>
    <t>646</t>
  </si>
  <si>
    <t>14.4</t>
  </si>
  <si>
    <t xml:space="preserve">INTERFERÊNCIAS  PASSAGEM INFERIOR -MERGULÃO -ILUMINAÇÃO  </t>
  </si>
  <si>
    <t xml:space="preserve"> PASSAGEM INFERIOR -MERGULÃO -ILUMINAÇÃO  </t>
  </si>
  <si>
    <t>647</t>
  </si>
  <si>
    <t>14.4.1</t>
  </si>
  <si>
    <t>648</t>
  </si>
  <si>
    <t>14.4.2</t>
  </si>
  <si>
    <t>649</t>
  </si>
  <si>
    <t>14.4.3</t>
  </si>
  <si>
    <t xml:space="preserve"> ELETROCALHA PARA CABOS, COM TAMPA EM CHAPA DE AÇO GALVANIZADO A FOGO, TIPO PESADO, COMPRIMENTO DE 3000 mm: 400 X 100 (iluminação)  </t>
  </si>
  <si>
    <t>650</t>
  </si>
  <si>
    <t>14.4.4</t>
  </si>
  <si>
    <t xml:space="preserve"> ELETROCALHA PARA CABOS, COM TAMPA EM CHAPA DE AÇO GALVANIZADO A FOGO, TIPO PESADO, COMPRIMENTO DE 3000 mm: 400 X 100 COM 3 DIVISÓRIAS (automação) (automação)  </t>
  </si>
  <si>
    <t>651</t>
  </si>
  <si>
    <t>14.4.5</t>
  </si>
  <si>
    <t xml:space="preserve"> ELETRODUTO DE AÇO GALVANIZADO A FOGO, ROSCA BSP, TIPO PESADO, CONFORME NBR-5598, COM LUVA EM UMA DAS EXTREMIDADES, FORNECIDO EM BARRAS DE 3,000mm DE COMPRIMENTO, INCLUSIVE CONEXÕES E CAIXAS: Ø1   </t>
  </si>
  <si>
    <t>652</t>
  </si>
  <si>
    <t>14.4.6</t>
  </si>
  <si>
    <t xml:space="preserve"> CONDUTORES DE COBRE, ISOLAÇÃO 760V, BAIXA EMISSÃO DE GASES TÓXICOS QUANDO QUEIMAR, SEÇÃO: 10MM²  </t>
  </si>
  <si>
    <t>653</t>
  </si>
  <si>
    <t>14.4.7</t>
  </si>
  <si>
    <t xml:space="preserve"> CONDUTORES DE COBRE, ISOLAÇÃO 760V, BAIXA EMISSÃO DE GASES TÓXICOS QUANDO QUEIMAR, SEÇÃO: 16MM² (verde)  </t>
  </si>
  <si>
    <t>654</t>
  </si>
  <si>
    <t>14.4.8</t>
  </si>
  <si>
    <t xml:space="preserve"> CONDUTORES DE COBRE, ISOLAÇÃO 760V, BAIXA EMISSÃO DE GASES TÓXICOS QUANDO QUEIMAR, SEÇÃO: 35MM²  </t>
  </si>
  <si>
    <t>655</t>
  </si>
  <si>
    <t>14.4.9</t>
  </si>
  <si>
    <t>656</t>
  </si>
  <si>
    <t>14.4.10</t>
  </si>
  <si>
    <t xml:space="preserve"> 36-09-02  </t>
  </si>
  <si>
    <t xml:space="preserve"> SUBESTAÇÃO POSTO SIMPLIFICADO COM TRANSFORMADOR EM POSTE-225KVA, 13,8KV-220/127V, MEDIÇÃO EM BAIXA TENSÃO PARA ILUMINAÇÃO DO TÚNEL  </t>
  </si>
  <si>
    <t>657</t>
  </si>
  <si>
    <t>14.5</t>
  </si>
  <si>
    <t xml:space="preserve">INTERFERÊNCIAS  CABOS E MATERIAIS -LINHA DE TRANSMISSÃO  </t>
  </si>
  <si>
    <t xml:space="preserve"> CABOS E MATERIAIS -LINHA DE TRANSMISSÃO  </t>
  </si>
  <si>
    <t>658</t>
  </si>
  <si>
    <t>14.5.1</t>
  </si>
  <si>
    <t xml:space="preserve"> CABO DE COBRE 40/69KV BITOLA 150MM²  </t>
  </si>
  <si>
    <t>659</t>
  </si>
  <si>
    <t>14.5.2</t>
  </si>
  <si>
    <t xml:space="preserve"> TERMINAL PARA CABO 150MM², CLASSE 72KV  </t>
  </si>
  <si>
    <t>660</t>
  </si>
  <si>
    <t>14.5.3</t>
  </si>
  <si>
    <t xml:space="preserve"> EMENDA PARA CABO 150MM², CLASSE 69KV  </t>
  </si>
  <si>
    <t>661</t>
  </si>
  <si>
    <t>14.5.4</t>
  </si>
  <si>
    <t xml:space="preserve"> CONECTOR PARA CABO 150MM², CLASSE 69KV  </t>
  </si>
  <si>
    <t>662</t>
  </si>
  <si>
    <t>14.5.5</t>
  </si>
  <si>
    <t xml:space="preserve"> PARA-RAIOS 69KV  </t>
  </si>
  <si>
    <t>663</t>
  </si>
  <si>
    <t>14.5.6</t>
  </si>
  <si>
    <t xml:space="preserve"> SECCIONADORA 600A -69KV  </t>
  </si>
  <si>
    <t>664</t>
  </si>
  <si>
    <t>14.5.7</t>
  </si>
  <si>
    <t xml:space="preserve"> CABO DE COBRE NU Ø 95MM²  </t>
  </si>
  <si>
    <t>665</t>
  </si>
  <si>
    <t>14.5.8</t>
  </si>
  <si>
    <t xml:space="preserve"> HASTE DE TERRA 5/8 X2,4M  </t>
  </si>
  <si>
    <t>666</t>
  </si>
  <si>
    <t>14.5.9</t>
  </si>
  <si>
    <t xml:space="preserve"> COLUNA DE CONCRETO POSTE DUPLO T  </t>
  </si>
  <si>
    <t>667</t>
  </si>
  <si>
    <t>14.5.10</t>
  </si>
  <si>
    <t xml:space="preserve"> VIGA DE CONCRETO PARA ANCORAGEMN DE LT  </t>
  </si>
  <si>
    <t>668</t>
  </si>
  <si>
    <t>14.5.11</t>
  </si>
  <si>
    <t xml:space="preserve"> TRAVESSA DE CONCRETO PARA MONTAGEM DE SECCIONADORA E PÁRA-RAIOS  </t>
  </si>
  <si>
    <t>669</t>
  </si>
  <si>
    <t>14.5.12</t>
  </si>
  <si>
    <t xml:space="preserve"> ANEL DE CONCRETO  </t>
  </si>
  <si>
    <t>670</t>
  </si>
  <si>
    <t>14.5.13</t>
  </si>
  <si>
    <t xml:space="preserve"> CADEIA DE ISOLADORES  </t>
  </si>
  <si>
    <t>671</t>
  </si>
  <si>
    <t>672</t>
  </si>
  <si>
    <t>TÚNEL IMERSO</t>
  </si>
  <si>
    <t xml:space="preserve"> SERVIÇOS PRELIMINARES  </t>
  </si>
  <si>
    <t>673</t>
  </si>
  <si>
    <t>15.1</t>
  </si>
  <si>
    <t xml:space="preserve"> 21,88,09,01  </t>
  </si>
  <si>
    <t xml:space="preserve"> LONA DE POLIETILENO 200 micras  </t>
  </si>
  <si>
    <t>674</t>
  </si>
  <si>
    <t>675</t>
  </si>
  <si>
    <t>16.1</t>
  </si>
  <si>
    <t xml:space="preserve"> 23,11,10  </t>
  </si>
  <si>
    <t xml:space="preserve"> PAVIMENTO DE CONCRETO SOBRE OBRA DE ARTE ESPECIAL -MECÂNICO  </t>
  </si>
  <si>
    <t>676</t>
  </si>
  <si>
    <t xml:space="preserve"> OBRAS DE ARTE CORRENTE E DRENAGEM  </t>
  </si>
  <si>
    <t>677</t>
  </si>
  <si>
    <t>17.1</t>
  </si>
  <si>
    <t>678</t>
  </si>
  <si>
    <t>17.2</t>
  </si>
  <si>
    <t>679</t>
  </si>
  <si>
    <t>17.3</t>
  </si>
  <si>
    <t xml:space="preserve"> 24,07,04  </t>
  </si>
  <si>
    <t>680</t>
  </si>
  <si>
    <t>17.4</t>
  </si>
  <si>
    <t xml:space="preserve"> 24,88,72,02  </t>
  </si>
  <si>
    <t>681</t>
  </si>
  <si>
    <t>17.5</t>
  </si>
  <si>
    <t xml:space="preserve"> 24,88,72,03  </t>
  </si>
  <si>
    <t>682</t>
  </si>
  <si>
    <t>17.6</t>
  </si>
  <si>
    <t xml:space="preserve"> 24,88,03,05,01  </t>
  </si>
  <si>
    <t>683</t>
  </si>
  <si>
    <t>17.7</t>
  </si>
  <si>
    <t xml:space="preserve"> 24,88,03,05,02  </t>
  </si>
  <si>
    <t>684</t>
  </si>
  <si>
    <t>17.8</t>
  </si>
  <si>
    <t xml:space="preserve"> 24,88,71,01  </t>
  </si>
  <si>
    <t>685</t>
  </si>
  <si>
    <t>17.9</t>
  </si>
  <si>
    <t xml:space="preserve"> 24,88,71,02  </t>
  </si>
  <si>
    <t>686</t>
  </si>
  <si>
    <t>17.10</t>
  </si>
  <si>
    <t xml:space="preserve"> 24,88,71,03  </t>
  </si>
  <si>
    <t>687</t>
  </si>
  <si>
    <t>688</t>
  </si>
  <si>
    <t>18.1</t>
  </si>
  <si>
    <t>689</t>
  </si>
  <si>
    <t>18.2</t>
  </si>
  <si>
    <t>690</t>
  </si>
  <si>
    <t>18.3</t>
  </si>
  <si>
    <t>691</t>
  </si>
  <si>
    <t>18.4</t>
  </si>
  <si>
    <t>692</t>
  </si>
  <si>
    <t>18.5</t>
  </si>
  <si>
    <t xml:space="preserve"> CABO AFT POLARIZADO 1P X 14AWG BLINDADO -LAÇO DE COMUNICAÇÃO DE COMUNICAÇÃO  </t>
  </si>
  <si>
    <t>693</t>
  </si>
  <si>
    <t>18.6</t>
  </si>
  <si>
    <t>694</t>
  </si>
  <si>
    <t>18.7</t>
  </si>
  <si>
    <t>695</t>
  </si>
  <si>
    <t>18.8</t>
  </si>
  <si>
    <t>696</t>
  </si>
  <si>
    <t>18.9</t>
  </si>
  <si>
    <t>697</t>
  </si>
  <si>
    <t>18.10</t>
  </si>
  <si>
    <t>698</t>
  </si>
  <si>
    <t>18.11</t>
  </si>
  <si>
    <t>699</t>
  </si>
  <si>
    <t>18.12</t>
  </si>
  <si>
    <t>700</t>
  </si>
  <si>
    <t>18.13</t>
  </si>
  <si>
    <t>701</t>
  </si>
  <si>
    <t>18.14</t>
  </si>
  <si>
    <t>702</t>
  </si>
  <si>
    <t>18.15</t>
  </si>
  <si>
    <t>703</t>
  </si>
  <si>
    <t>18.16</t>
  </si>
  <si>
    <t xml:space="preserve"> CONJUNTO CAIXA TÉCNICA P/ CÂMERA FIXA (QUADRO + TRANSFORMADOR + RÉGUA E ACESSÓRIOS)  </t>
  </si>
  <si>
    <t>704</t>
  </si>
  <si>
    <t>18.17</t>
  </si>
  <si>
    <t>705</t>
  </si>
  <si>
    <t>18.18</t>
  </si>
  <si>
    <t>706</t>
  </si>
  <si>
    <t>18.19</t>
  </si>
  <si>
    <t>707</t>
  </si>
  <si>
    <t>18.20</t>
  </si>
  <si>
    <t>708</t>
  </si>
  <si>
    <t>18.21</t>
  </si>
  <si>
    <t>709</t>
  </si>
  <si>
    <t>18.22</t>
  </si>
  <si>
    <t>710</t>
  </si>
  <si>
    <t>18.23</t>
  </si>
  <si>
    <t>711</t>
  </si>
  <si>
    <t>18.24</t>
  </si>
  <si>
    <t>712</t>
  </si>
  <si>
    <t>18.25</t>
  </si>
  <si>
    <t>713</t>
  </si>
  <si>
    <t>18.26</t>
  </si>
  <si>
    <t>714</t>
  </si>
  <si>
    <t>18.27</t>
  </si>
  <si>
    <t>715</t>
  </si>
  <si>
    <t>18.28</t>
  </si>
  <si>
    <t>716</t>
  </si>
  <si>
    <t>18.29</t>
  </si>
  <si>
    <t>717</t>
  </si>
  <si>
    <t>18.30</t>
  </si>
  <si>
    <t xml:space="preserve"> FORNECIMENTO, INSTALAÇÃO, TESTE E COMISSIONAMENTO DO CONJUNTO DE TELEFONE DE EMERGÊNCIA AO USUÁRIO (CALLBOX) E CAIXA TÉCNICA  </t>
  </si>
  <si>
    <t>718</t>
  </si>
  <si>
    <t>18.31</t>
  </si>
  <si>
    <t>719</t>
  </si>
  <si>
    <t>18.32</t>
  </si>
  <si>
    <t xml:space="preserve"> FORNECIMENTO, INSTALAÇÃO, TESTE, CONFIGURAÇÃO E COMISSIONAMENTO DE AVISADOR AUDIOVISUAL DE EVACUAÇÃO DE EMERGÊNCIA + MÓDULO DE CONTROLE ENDEREÇÁVEL + FONTE SEGURA 24VCC.  </t>
  </si>
  <si>
    <t>720</t>
  </si>
  <si>
    <t>18.33</t>
  </si>
  <si>
    <t xml:space="preserve"> FORNECIMENTO, MONTAGEM, TESTE, CONFIGURAÇÃO E COMISSIONAMENTO DE MÓDULO MONITOR ENDEREÇÁVEL. (ACESSO DE PEDESTRE E CICLISTAS)  </t>
  </si>
  <si>
    <t>721</t>
  </si>
  <si>
    <t>18.34</t>
  </si>
  <si>
    <t xml:space="preserve"> FORNECIMENTO, MONTAGEM, TESTE, CONFIGURAÇÃO E COMISSIONAMENTO DE SENSOR DE ABERTURA DE PORTA. (ACESSO DE PEDESTRE E CICLISTAS)  </t>
  </si>
  <si>
    <t>722</t>
  </si>
  <si>
    <t>18.35</t>
  </si>
  <si>
    <t xml:space="preserve"> INTERFACE REMOTA DO CONJUNTO DO SENSOR DE CO, INTERFACE REMOTA DO CONJUNTO DO SENSOR DE CO, NOX E OPACÍMETRO COMPLETO E INSTALADO  </t>
  </si>
  <si>
    <t>723</t>
  </si>
  <si>
    <t>18.36</t>
  </si>
  <si>
    <t xml:space="preserve"> PAINEL DE MENSAGENS VARIÁVEIS INFORMATIVO (PMI) INTERNO COM DIMENSÕES MÍNIMAS DE 1,5M DE LARGURA E 0,3M DE ALTURA – MATRIZ COMPLETA (FULL MATRIX) EM TEXTO/ 1 LINHA – LED -COR ÂMBAR  </t>
  </si>
  <si>
    <t>724</t>
  </si>
  <si>
    <t>18.37</t>
  </si>
  <si>
    <t xml:space="preserve"> PAINEL DE MENSAGENS VARIÁVEIS INTERNO COM DIMENSÕES MÍNIMAS DE 4,0M DE LARGURA E 0,4M DE ALTURA – MATRIZ COMPLETA (FULL MATRIX) EM TEXTO/ 2 LINHAS -LED – COR ÂMBAR  </t>
  </si>
  <si>
    <t>725</t>
  </si>
  <si>
    <t>18.38</t>
  </si>
  <si>
    <t>726</t>
  </si>
  <si>
    <t xml:space="preserve"> PRODUÇÃO DAS ESTRUTURAS PRÉ FABRICADAS  </t>
  </si>
  <si>
    <t>727</t>
  </si>
  <si>
    <t>19.1</t>
  </si>
  <si>
    <t xml:space="preserve"> 29,88,17,02  </t>
  </si>
  <si>
    <t xml:space="preserve"> REFRIGERAÇÃO DA CONCRETAGEM -STAND BY  </t>
  </si>
  <si>
    <t>728</t>
  </si>
  <si>
    <t>19.2</t>
  </si>
  <si>
    <t xml:space="preserve"> 29,88,07,15  </t>
  </si>
  <si>
    <t xml:space="preserve"> SERVIÇO DE TOPOGRAFIA DE ALINHAMENTO DA CHAPA METÁLICA SOLDADA NA ESTRUTURA DO TÚNEL  </t>
  </si>
  <si>
    <t>729</t>
  </si>
  <si>
    <t>19.3</t>
  </si>
  <si>
    <t xml:space="preserve"> 29,88,27,06,12  </t>
  </si>
  <si>
    <t xml:space="preserve"> LUVA COM SISTEMA DE PRENSAGEM E ROSCAS PARA AÇO CA-50  </t>
  </si>
  <si>
    <t>730</t>
  </si>
  <si>
    <t>19.4</t>
  </si>
  <si>
    <t xml:space="preserve"> 29,88,23,01  </t>
  </si>
  <si>
    <t xml:space="preserve"> EQUIPE DE MERGULHO -MONTAGEM DA FÔRMA EXTERNA  </t>
  </si>
  <si>
    <t>731</t>
  </si>
  <si>
    <t>19.5</t>
  </si>
  <si>
    <t xml:space="preserve"> 29,88,26,07,13,06  </t>
  </si>
  <si>
    <t xml:space="preserve"> APARELHO DE ANCORAGEM PARA CABOS PROTENSÃO PASSIVO 16 FIOS -15,2 mm  </t>
  </si>
  <si>
    <t>732</t>
  </si>
  <si>
    <t>19.6</t>
  </si>
  <si>
    <t xml:space="preserve"> 29,88,17,05  </t>
  </si>
  <si>
    <t xml:space="preserve"> PLUGUE DE AÇO CARBONO 1   </t>
  </si>
  <si>
    <t>733</t>
  </si>
  <si>
    <t>19.7</t>
  </si>
  <si>
    <t xml:space="preserve"> 26,88,05,04,02  </t>
  </si>
  <si>
    <t xml:space="preserve"> FÔRMA METÁLICA -NICHO DE MACAQUEAMENTO  </t>
  </si>
  <si>
    <t>734</t>
  </si>
  <si>
    <t>19.8</t>
  </si>
  <si>
    <t xml:space="preserve"> 29,88,07,02  </t>
  </si>
  <si>
    <t xml:space="preserve"> CHAPA RETA COM LARGURA DE 490 mm, EM AÇO ASTM A36  </t>
  </si>
  <si>
    <t>735</t>
  </si>
  <si>
    <t>19.9</t>
  </si>
  <si>
    <t xml:space="preserve"> 29,88,19,01  </t>
  </si>
  <si>
    <t xml:space="preserve"> FORNECIMENTO DE ACESSÓRIOS DE INSTALAÇÃO E MANGUEIRA FLEXIVEL PEAD-PN16, DIÂMETRO 25 mm PRESSÃO DE TRABALHO DE 200kg/cm²  </t>
  </si>
  <si>
    <t>736</t>
  </si>
  <si>
    <t>19.10</t>
  </si>
  <si>
    <t xml:space="preserve"> 29,88,17,06  </t>
  </si>
  <si>
    <t xml:space="preserve"> FORNECIMENTO, INSTALAÇÃO E LEITURA DE TERMÔMETRO ELÉTRICO DE RESISTÊNCIA COM FAIXA DE OPERAÇÃO DE -20°C A +90°C DE ACORDO COM A NORMA DIN EN6O 751 -CLASSE B (IED 751), COM DIÂMETRO DE 8,5mm X 80mm EM AÇO INOX 304  </t>
  </si>
  <si>
    <t>737</t>
  </si>
  <si>
    <t>19.11</t>
  </si>
  <si>
    <t xml:space="preserve"> 29,88,20,01  </t>
  </si>
  <si>
    <t xml:space="preserve"> FORNECIMENTO E APLICAÇÃO DE INJEÇÃO NA JUNTA WATERSTOP A BASE RESINA-ÉPOXI OU MASSA PLASTICA COM RESISTÊNCIA A COMPRESSÃO &gt; 85 N/mm²  </t>
  </si>
  <si>
    <t>738</t>
  </si>
  <si>
    <t>19.12</t>
  </si>
  <si>
    <t xml:space="preserve"> 29,88,08,03  </t>
  </si>
  <si>
    <t xml:space="preserve"> JUNTA DE VEDAÇÃO DO SHEAR KEY EXTERNO (WATERSTOP) CONTATO SOLO-CONCRETO  </t>
  </si>
  <si>
    <t>739</t>
  </si>
  <si>
    <t>19.13</t>
  </si>
  <si>
    <t xml:space="preserve"> 29,88,17,04  </t>
  </si>
  <si>
    <t xml:space="preserve"> CURVA DE AÇO CARBONO 1   </t>
  </si>
  <si>
    <t>740</t>
  </si>
  <si>
    <t>19.14</t>
  </si>
  <si>
    <t xml:space="preserve"> 29,88,08,02  </t>
  </si>
  <si>
    <t xml:space="preserve"> JUNTA DE DILATAÇÃO COM SEÇÃO QUADRADA (A50MM C65MM)  </t>
  </si>
  <si>
    <t>741</t>
  </si>
  <si>
    <t>19.15</t>
  </si>
  <si>
    <t xml:space="preserve"> 29,88,17,01  </t>
  </si>
  <si>
    <t xml:space="preserve"> REFRIGERAÇÃO DA CONCRETAGEM -EM OPERAÇÃO  </t>
  </si>
  <si>
    <t>742</t>
  </si>
  <si>
    <t>19.16</t>
  </si>
  <si>
    <t xml:space="preserve"> 29,88,08,01  </t>
  </si>
  <si>
    <t xml:space="preserve"> FORNECIMENTO E APLICAÇÃO DE JUNTA DE VEDAÇÃO TIPO WATERSTOP COM ESPUMA DE INJEÇÃO COM 500 MM DE LARGURA TOTAL E 300 MM DE LARGURA DE BORRACHA  </t>
  </si>
  <si>
    <t>743</t>
  </si>
  <si>
    <t>19.17</t>
  </si>
  <si>
    <t xml:space="preserve"> 29,88,08,04  </t>
  </si>
  <si>
    <t xml:space="preserve"> JUNTA DE DILATAÇÃO EM MATERIAL TERMOPLÁSTICO -CONTATO PILAR-LAJE PARA ABERTURA DE 15 mm  </t>
  </si>
  <si>
    <t>744</t>
  </si>
  <si>
    <t>19.18</t>
  </si>
  <si>
    <t xml:space="preserve"> 29,88,07,02,01  </t>
  </si>
  <si>
    <t xml:space="preserve"> CHAPA DE AÇO ASTM A-36, COM DIÂMETRO DE 1,20 m E ESPESSURA DE 1,3/4  </t>
  </si>
  <si>
    <t>745</t>
  </si>
  <si>
    <t>19.19</t>
  </si>
  <si>
    <t xml:space="preserve"> 29,88,09,01  </t>
  </si>
  <si>
    <t xml:space="preserve"> FORNECIMENTO E INSTALAÇÃO DE TUBO DE ACESSO NA LAJE SUPERIOR COM DIAMETRO INTERNO DE 1,0 m E COMPRIMENTO DE 1,20 m EM AÇO ASTM-A36  </t>
  </si>
  <si>
    <t>746</t>
  </si>
  <si>
    <t>19.20</t>
  </si>
  <si>
    <t xml:space="preserve"> 29,88,20,07  </t>
  </si>
  <si>
    <t xml:space="preserve"> TUBO DE INJEÇÃO E ACESSÓRIOS, COM DIÂMETRO DE 9,0 MM E COMPRIMENTO DE 1,3 METROS  </t>
  </si>
  <si>
    <t>747</t>
  </si>
  <si>
    <t>19.21</t>
  </si>
  <si>
    <t xml:space="preserve"> 26,88,05,04,01  </t>
  </si>
  <si>
    <t xml:space="preserve"> FÔRMA METÁLICA -SHEAR KEY  </t>
  </si>
  <si>
    <t>748</t>
  </si>
  <si>
    <t>19.22</t>
  </si>
  <si>
    <t xml:space="preserve"> 29,88,18,01  </t>
  </si>
  <si>
    <t xml:space="preserve"> APLICAÇÃO DE PRODUTO A BASE DE ÓLEOS MINERAIS NAS JUNTAS SHEAR KEY  </t>
  </si>
  <si>
    <t>749</t>
  </si>
  <si>
    <t>19.23</t>
  </si>
  <si>
    <t xml:space="preserve"> 29,88,07,02,02  </t>
  </si>
  <si>
    <t xml:space="preserve"> CHAPAS DE AÇO ASTM-A36, COM DIMENSÕES DE 0,50 X 0,50 m, COM ESPESSURA DE 1. 3/4, COM FUROS PASSANTES  </t>
  </si>
  <si>
    <t>750</t>
  </si>
  <si>
    <t>19.24</t>
  </si>
  <si>
    <t xml:space="preserve"> 29,88,17,03  </t>
  </si>
  <si>
    <t xml:space="preserve"> TUBO DE AÇO CARBONO 1   </t>
  </si>
  <si>
    <t>751</t>
  </si>
  <si>
    <t>19.25</t>
  </si>
  <si>
    <t xml:space="preserve"> 29,88,26,05,07  </t>
  </si>
  <si>
    <t xml:space="preserve"> FORMA EXTERNA -METÁLICA COM SUPERFICIE DE MADEIRA COM REAPROVEITAMENTO  </t>
  </si>
  <si>
    <t>752</t>
  </si>
  <si>
    <t>19.26</t>
  </si>
  <si>
    <t xml:space="preserve"> 25,05,02  </t>
  </si>
  <si>
    <t>753</t>
  </si>
  <si>
    <t>19.27</t>
  </si>
  <si>
    <t xml:space="preserve"> 29,88,07,01  </t>
  </si>
  <si>
    <t xml:space="preserve"> PERFIL METÁLICO W 530X109 EM AÇO ASTM A36  </t>
  </si>
  <si>
    <t>754</t>
  </si>
  <si>
    <t>19.28</t>
  </si>
  <si>
    <t xml:space="preserve"> 29,88,26,05,08  </t>
  </si>
  <si>
    <t xml:space="preserve"> FÔRMA INTERNA -METÁLICA COM SUPERFICIE DE MADEIRA COM REAPROVEITAMENTO  </t>
  </si>
  <si>
    <t>755</t>
  </si>
  <si>
    <t>19.29</t>
  </si>
  <si>
    <t xml:space="preserve"> 26,09,09  </t>
  </si>
  <si>
    <t>756</t>
  </si>
  <si>
    <t>19.30</t>
  </si>
  <si>
    <t>29.88.05.13</t>
  </si>
  <si>
    <t>CONCRETO fck 40 MPa; RELAÇÃO ÁGUA-CIMENTO MÁXIMA 0,40; MÓDULO DE ELASTICIDADE TANGENTE INICIAL DE 35GPA AOS 28 DIAS; PRODUZIDO COM CIMENTO PORTLAND DE ALTO FORNO RESISTENTE A SULFATOS CPIII RS CONTENDO PERCENTAGEM &gt;65% DE ESCÓRIA DE ALTO FORNO; CONTENDO TEOR DE 8% DE SÍLICA ATIVA OU 14% DE METACAULIM EM RELAÇÃO À MASSA DE CIMENTO; CONTENDO ADITIVO SUPERPLASTIFICANTE (1%) E ADITIVO POLIFUNCIONAL (0,8%); CONTENDO 1% DEADITIVO CRISTALIZANTE; LANÇAMENTO À TEMPERATURA
DE 12°C</t>
  </si>
  <si>
    <t>757</t>
  </si>
  <si>
    <t>19.31</t>
  </si>
  <si>
    <t xml:space="preserve"> 25,09,12  </t>
  </si>
  <si>
    <t xml:space="preserve"> INJEÇÃO DE NATA DE CIMENTO  </t>
  </si>
  <si>
    <t>758</t>
  </si>
  <si>
    <t>19.32</t>
  </si>
  <si>
    <t xml:space="preserve"> 26,06,04  </t>
  </si>
  <si>
    <t>759</t>
  </si>
  <si>
    <t>19.33</t>
  </si>
  <si>
    <t xml:space="preserve"> 26,06,03  </t>
  </si>
  <si>
    <t>760</t>
  </si>
  <si>
    <t>19.34</t>
  </si>
  <si>
    <t>761</t>
  </si>
  <si>
    <t xml:space="preserve"> DRAGAGEM  </t>
  </si>
  <si>
    <t>762</t>
  </si>
  <si>
    <t>20.1</t>
  </si>
  <si>
    <t xml:space="preserve"> DRAGAGEM   FUNDO MARINHO  </t>
  </si>
  <si>
    <t>763</t>
  </si>
  <si>
    <t>20.1.1</t>
  </si>
  <si>
    <t xml:space="preserve"> 24,88,99,01  </t>
  </si>
  <si>
    <t xml:space="preserve"> DRAGAGEM / REMOÇÃO DE MATERIAL MOLE MARINHO (PROFUNDIDADES DE 15,0 A 32,0 m), INCLUSIVE TRANSPORTE E DEPOSIÇÃO EM LOCAL APROPRIADO  </t>
  </si>
  <si>
    <t>764</t>
  </si>
  <si>
    <t>20.2</t>
  </si>
  <si>
    <t xml:space="preserve"> DRAGAGEM   ATERRO DO TÚNEL  </t>
  </si>
  <si>
    <t>765</t>
  </si>
  <si>
    <t>20.2.1</t>
  </si>
  <si>
    <t xml:space="preserve"> 24,88,99,02  </t>
  </si>
  <si>
    <t xml:space="preserve"> DRAGAGEM DE AREIA LAVADA, INCLUSIVE TRANSPORTE ATÉ O LOCAL DE APLICAÇÃO  </t>
  </si>
  <si>
    <t>766</t>
  </si>
  <si>
    <t>20.2.2</t>
  </si>
  <si>
    <t xml:space="preserve"> 24,88,98,02,01  </t>
  </si>
  <si>
    <t xml:space="preserve"> LANÇAMENTO DE AREIA (ATERRO DO TÚNEL)  </t>
  </si>
  <si>
    <t>767</t>
  </si>
  <si>
    <t>20.2.3</t>
  </si>
  <si>
    <t xml:space="preserve"> 22,88,06,04  </t>
  </si>
  <si>
    <t xml:space="preserve"> FORNECIMENTO E TRANSPORTE DE RACHÃO  </t>
  </si>
  <si>
    <t>768</t>
  </si>
  <si>
    <t>20.2.4</t>
  </si>
  <si>
    <t xml:space="preserve"> 24,88,98,01  </t>
  </si>
  <si>
    <t xml:space="preserve"> LANÇAMENTO DE RACHÃO  </t>
  </si>
  <si>
    <t>769</t>
  </si>
  <si>
    <t xml:space="preserve"> IMERSÃO DOS MÓDULOS</t>
  </si>
  <si>
    <t>770</t>
  </si>
  <si>
    <t>21.1</t>
  </si>
  <si>
    <t xml:space="preserve"> IMERSÃO DOS MÓDULOS  PROJETO DAS INSTALAÇÕES E OPERAÇÕES  </t>
  </si>
  <si>
    <t>771</t>
  </si>
  <si>
    <t>21.1.1</t>
  </si>
  <si>
    <t xml:space="preserve"> 29,88,40,01  </t>
  </si>
  <si>
    <t xml:space="preserve"> FORNECIMENTO DE PROJETOS E MEMÓRIAS DE CÁLCULOS REFERENTE A TODOS OS EQUIPAMENTOS E ATIVIDADES TEMPORÁRIAS REFERENTES A FLUTUAÇÃO, TRANSPORTE, SUBMERSÃO E ASSENTAMENTO DOS ELEMENTOS DE TÚNEL  </t>
  </si>
  <si>
    <t>772</t>
  </si>
  <si>
    <t>21.2</t>
  </si>
  <si>
    <t xml:space="preserve"> IMERSÃO DOS MÓDULOS  FLUTUAÇÃO DO ELEMENTO DO TÚNEL  </t>
  </si>
  <si>
    <t>773</t>
  </si>
  <si>
    <t>21.2.1</t>
  </si>
  <si>
    <t xml:space="preserve"> 29,88,40,02  </t>
  </si>
  <si>
    <t xml:space="preserve"> OPERAÇÃO DO FLUTUAMENTO DE ELEMENTO DE TÚNEL (TANQUES DE LASTRO, ANTEPAROS PRIMÁRIOS E SECUNDÁRIOS, EQUIPAMENTOS, JUNTAS GINA E PROTEÇÃO -INCLUSIVE TODOS OS EQUIPAMENTOS, MÃO DE OBRA E MATERIAIS NECESSÁRIOS PARA ESSA OPERAÇÃO)  </t>
  </si>
  <si>
    <t>774</t>
  </si>
  <si>
    <t>21.3</t>
  </si>
  <si>
    <t xml:space="preserve"> IMERSÃO DOS MÓDULOS  TRANSPORTE DOS ELEMENTOS  </t>
  </si>
  <si>
    <t>775</t>
  </si>
  <si>
    <t>21.3.1</t>
  </si>
  <si>
    <t xml:space="preserve"> 29,88,40,03  </t>
  </si>
  <si>
    <t xml:space="preserve"> OPERAÇÃO DE TRANSPORTE DO ELEMENTO DE TÚNEL (EQUIPAMENTOS, OLHAIS, CABOS, CABEÇOS, POITAS, ROLDANAS, DEMAIS ELEMENTOS -INCLUSIVE TODOS OS EQUIPAMENTOS, MÃO DE OBRA E MATERIAIS NECESSÁRIOS PARA ESSA OPERAÇÃO)  </t>
  </si>
  <si>
    <t>776</t>
  </si>
  <si>
    <t>21.4</t>
  </si>
  <si>
    <t xml:space="preserve"> IMERSÃO DOS MÓDULOS SUBMERSÃO DO ELEMENTO  </t>
  </si>
  <si>
    <t>777</t>
  </si>
  <si>
    <t>21.4.1</t>
  </si>
  <si>
    <t xml:space="preserve"> 29,88,40,04  </t>
  </si>
  <si>
    <t xml:space="preserve"> OPERAÇÃO DE SUBMERSÃO DO ELEMENTO DE TÚNEL (EQUIPAMENTOS, PONTOS DE SUSPENSÃO, PINO E GUIA, TORRES DE ACESSO, SUPORTE PRIMÁRIO, TORRE DE MEDIÇÃO/MONITORAMENTO, BOMBEAMENTO DOS TANQUES DE LASTRO, ESGOTAMENTO DA JUNTA DE IMERSÃO E EXECUÇÃO DA JUNTA DE TRAVAMENTO -INCLUSIVE TODOS OS EQUIPAMENTOS, MÃO DE OBRA E MATERIAIS NECESSÁRIOS PARA ESSA OPERAÇÃO)  </t>
  </si>
  <si>
    <t>778</t>
  </si>
  <si>
    <t>21.5</t>
  </si>
  <si>
    <t xml:space="preserve"> IMERSÃO DOS MÓDULOS  ASSENTAMENTO E FINALIZAÇÃO  </t>
  </si>
  <si>
    <t>779</t>
  </si>
  <si>
    <t>21.5.1</t>
  </si>
  <si>
    <t xml:space="preserve"> 29,88,40,05  </t>
  </si>
  <si>
    <t xml:space="preserve"> OPERAÇÃO DE ASSENTAMENTO E FINALIZAÇÃO DO ELEMENTO DE TÚNEL (APOIOS SECUNDÁRIOS, INJEÇÃO/BOMBEAMENTO DA FUNDAÇÃO DE AREIA, JUNTA DE TRAVAMENTO, JUNTA OMEGA E FINALIZAÇÃO DA JUNTA DE IMERSÃO, DEMONTAGEM E DESMOBILIZAÇÃO DOS ANTEPAROS PRIMÁRIOS E SECUNDÁRIOS -INCLUSIVE TODOS OS EQUIPAMENTOS, Ã ÁMÃO DE OBRA E MATERIAIS NECESSÁRIOS PARA ESSA OPERAÇÃO)  </t>
  </si>
  <si>
    <t>780</t>
  </si>
  <si>
    <t>21.6</t>
  </si>
  <si>
    <t xml:space="preserve"> IMERSÃO DOS MÓDULOS  MONITORAMENTO  </t>
  </si>
  <si>
    <t>781</t>
  </si>
  <si>
    <t>21.6.1</t>
  </si>
  <si>
    <t xml:space="preserve"> 29,88,40,06  </t>
  </si>
  <si>
    <t xml:space="preserve"> INSTALAÇÃO E MONITORAMENTO DO PROCESSO FLUTUAÇÃO, TRANSPORTE, IMERSÃO E ASSENTAMENTO (SENSORES NOS MÓDULOS, SENSORES NOS EQUIPAMENTOS, CENTRAL DE IMERSÃO, SOFTWARES, EQUIPAMENTOS DE INFORMÁTICA -INCLUSIVE TODOS OS EQUIPAMENTOS, MÃO DE OBRA E MATERIAIS NECESSÁRIOS PARA ESSA OPERAÇÃO)  </t>
  </si>
  <si>
    <t>782</t>
  </si>
  <si>
    <t>783</t>
  </si>
  <si>
    <t>22.1</t>
  </si>
  <si>
    <t xml:space="preserve"> 26,11,04,01  </t>
  </si>
  <si>
    <t xml:space="preserve"> BARREIRA DE SEGURANÇA COM PASSEIO CONFORME PP-DE-C01/293  </t>
  </si>
  <si>
    <t>784</t>
  </si>
  <si>
    <t xml:space="preserve"> EQUIPE DE MERGULHO  </t>
  </si>
  <si>
    <t>785</t>
  </si>
  <si>
    <t>23.1</t>
  </si>
  <si>
    <t xml:space="preserve"> 29,88,23,02  </t>
  </si>
  <si>
    <t>786</t>
  </si>
  <si>
    <t>787</t>
  </si>
  <si>
    <t>24.1</t>
  </si>
  <si>
    <t>788</t>
  </si>
  <si>
    <t>24.2</t>
  </si>
  <si>
    <t xml:space="preserve"> BALSA DO TIPO CARGA CONVÉS COM DIMENSÕES DE 40MX60M, CALADO DE 1,6 M E CAPACIDADE DE CARGA PARA 800 TONS.  </t>
  </si>
  <si>
    <t>789</t>
  </si>
  <si>
    <t>24.3</t>
  </si>
  <si>
    <t xml:space="preserve"> REBOCADOR DE 360 HP  </t>
  </si>
  <si>
    <t>790</t>
  </si>
  <si>
    <t>24.4</t>
  </si>
  <si>
    <t xml:space="preserve"> 72,30,01,04  </t>
  </si>
  <si>
    <t xml:space="preserve"> GRUA 12M COM LANÇA DE 45 METROS -COND. D  </t>
  </si>
  <si>
    <t>791</t>
  </si>
  <si>
    <t>24.5</t>
  </si>
  <si>
    <t xml:space="preserve"> 72,33,02,04  </t>
  </si>
  <si>
    <t xml:space="preserve"> GUINDASTE HIDRÁULICO COM LANCA TELESCÓPICA SOBRE PNEU 27,2 ton -COND.D  </t>
  </si>
  <si>
    <t>792</t>
  </si>
  <si>
    <t xml:space="preserve"> SISTEMA DE COMBATE A INCÊNDIO  </t>
  </si>
  <si>
    <t>793</t>
  </si>
  <si>
    <t>25.1</t>
  </si>
  <si>
    <t xml:space="preserve"> TUBO DE AÇO CARBONO EXTREMIDADE CHANFRADA, PRETO, SEM COSTURA, ASTM -120, SCH-40 -Ø100 mm  </t>
  </si>
  <si>
    <t>794</t>
  </si>
  <si>
    <t>25.2</t>
  </si>
  <si>
    <t xml:space="preserve"> TUBO DE AÇO CARBONO EXTREMIDADE CHANFRADA, PRETO, SEM COSTURA,ASTM -120, SCH-40 -Ø75 mm  </t>
  </si>
  <si>
    <t>795</t>
  </si>
  <si>
    <t>25.3</t>
  </si>
  <si>
    <t>796</t>
  </si>
  <si>
    <t>25.4</t>
  </si>
  <si>
    <t>797</t>
  </si>
  <si>
    <t>25.5</t>
  </si>
  <si>
    <t>798</t>
  </si>
  <si>
    <t>25.6</t>
  </si>
  <si>
    <t>799</t>
  </si>
  <si>
    <t>25.7</t>
  </si>
  <si>
    <t>800</t>
  </si>
  <si>
    <t>25.8</t>
  </si>
  <si>
    <t>801</t>
  </si>
  <si>
    <t>25.9</t>
  </si>
  <si>
    <t>802</t>
  </si>
  <si>
    <t>25.10</t>
  </si>
  <si>
    <t>803</t>
  </si>
  <si>
    <t>25.11</t>
  </si>
  <si>
    <t>804</t>
  </si>
  <si>
    <t>25.12</t>
  </si>
  <si>
    <t>805</t>
  </si>
  <si>
    <t>25.13</t>
  </si>
  <si>
    <t>806</t>
  </si>
  <si>
    <t>25.14</t>
  </si>
  <si>
    <t xml:space="preserve"> MANGUEIRA DE FIBRA SINTÉTICA COM REVESTIMENTO INTERNO DE BORRACHA, COM união STORZ NAS DUAS EXTREMINDADES -Ø2 1/2  COM COMPRIMENTO DE 30 METROS  </t>
  </si>
  <si>
    <t>807</t>
  </si>
  <si>
    <t>25.15</t>
  </si>
  <si>
    <t>808</t>
  </si>
  <si>
    <t>25.16</t>
  </si>
  <si>
    <t>809</t>
  </si>
  <si>
    <t>25.17</t>
  </si>
  <si>
    <t>810</t>
  </si>
  <si>
    <t>25.18</t>
  </si>
  <si>
    <t>811</t>
  </si>
  <si>
    <t>25.19</t>
  </si>
  <si>
    <t xml:space="preserve"> EXTINTOR DE INCÊNDIO COM CARGA DE ÁGUA PRESSURIZADA – 10L PRESSURIZADA 10L  </t>
  </si>
  <si>
    <t>812</t>
  </si>
  <si>
    <t>25.20</t>
  </si>
  <si>
    <t xml:space="preserve"> MANÔMETRO INDUSTRIAL EM INOX, SAÍDA INFERIOR, MOSTRADOR Ø 100MM, ROSCA 1/2  NPT, ESCALA 0 A 20 KGF/Cm2, EXATIDÃO DE 1,5%, COM PREENCHIMENTO DE GLICERINA.  </t>
  </si>
  <si>
    <t>813</t>
  </si>
  <si>
    <t>25.21</t>
  </si>
  <si>
    <t>814</t>
  </si>
  <si>
    <t>25.22</t>
  </si>
  <si>
    <t>815</t>
  </si>
  <si>
    <t>25.23</t>
  </si>
  <si>
    <t>816</t>
  </si>
  <si>
    <t>25.24</t>
  </si>
  <si>
    <t xml:space="preserve"> 17-05-91  </t>
  </si>
  <si>
    <t xml:space="preserve"> PORTA CORTA-FOGO P90 -1,05 X 2,10 m, COM DOBRADIÇAS E MOLAS SEM FERRAGEM  </t>
  </si>
  <si>
    <t>817</t>
  </si>
  <si>
    <t>25.25</t>
  </si>
  <si>
    <t xml:space="preserve"> PORTA CORTA-FOGO P90 -4,30 X 4,50M, COM DOBRADIÇAS E SEM FERRAGEM  </t>
  </si>
  <si>
    <t>818</t>
  </si>
  <si>
    <t>25.26</t>
  </si>
  <si>
    <t xml:space="preserve"> 11-03-46  </t>
  </si>
  <si>
    <t xml:space="preserve"> REVESTIMENTO CERÂMICO ANTI-PICHAÇÃO, JUNTAS AMARRAÇÃO OU PRUMO -ASSENTADOS COM ARGAMASSA COLANTE  </t>
  </si>
  <si>
    <t>819</t>
  </si>
  <si>
    <t>25.27</t>
  </si>
  <si>
    <t>820</t>
  </si>
  <si>
    <t>25.28</t>
  </si>
  <si>
    <t xml:space="preserve"> 13-02-02  </t>
  </si>
  <si>
    <t xml:space="preserve"> CIMENTADO COMUM, DESEMPENADO E ALISADO -ESPESSURA 20 mm  </t>
  </si>
  <si>
    <t>821</t>
  </si>
  <si>
    <t>25.29</t>
  </si>
  <si>
    <t xml:space="preserve"> 13-02-97  </t>
  </si>
  <si>
    <t xml:space="preserve"> PISO CIMENTÍCIO VIBRO-PRENSADO À 240TON -ALTA RESISTÊNCIA -ANTIDERRAPANTE (LAVAGGIO) -SELADO  </t>
  </si>
  <si>
    <t>822</t>
  </si>
  <si>
    <t>25.30</t>
  </si>
  <si>
    <t xml:space="preserve"> 15-01-25  </t>
  </si>
  <si>
    <t xml:space="preserve"> APLICAÇÃO DE TINTA ANTI-PICHAÇÃO -BASE SOLVENTE -2 DEMÃOS (REMOÇÃO DA PICHAÇÃO SOMENTE A SECO OU COM ÁGUA E SABÃO)  </t>
  </si>
  <si>
    <t>823</t>
  </si>
  <si>
    <t>25.31</t>
  </si>
  <si>
    <t xml:space="preserve"> 15-01-76  </t>
  </si>
  <si>
    <t xml:space="preserve"> VERNIZ ACRÍLICO -CONCRETO APARENTE/ ALVENARIA  </t>
  </si>
  <si>
    <t>824</t>
  </si>
  <si>
    <t>25.32</t>
  </si>
  <si>
    <t xml:space="preserve"> 15-01-77  </t>
  </si>
  <si>
    <t xml:space="preserve"> APLICAÇÃO DE VERNIZ ANTI-PICHAÇÃO -BASE SOLVENTE -2 DEMÃOS (REMOÇÃO DA PICHAÇÃO SOMENTE A SECO OU COM ÁGUA E SABÃO)  </t>
  </si>
  <si>
    <t>825</t>
  </si>
  <si>
    <t>25.33</t>
  </si>
  <si>
    <t>826</t>
  </si>
  <si>
    <t>25.34</t>
  </si>
  <si>
    <t>827</t>
  </si>
  <si>
    <t xml:space="preserve"> SISTEMA DE VENTILAÇÃO  </t>
  </si>
  <si>
    <t>828</t>
  </si>
  <si>
    <t>26.1</t>
  </si>
  <si>
    <t xml:space="preserve"> JATO-VENTILADOR INCLUINDO SILENCIADORES, SUPORTE E AMORTECEDORES. DIÂMETRO MÁXIMO= 1,200 MM  VELOCIDADE MÍNIMA NA DESCARGA= 35 M/S  EMPUXO NOMINAL MÍNIMO= 1630 N</t>
  </si>
  <si>
    <t>829</t>
  </si>
  <si>
    <t>26.2</t>
  </si>
  <si>
    <t xml:space="preserve"> PAINEL DE COMANDO LOCAL PARA OS JATOS-VENTILADORES  </t>
  </si>
  <si>
    <t>830</t>
  </si>
  <si>
    <t>26.3</t>
  </si>
  <si>
    <t xml:space="preserve"> CCM COM 38 SOFTSTARTERS-55 KW-PARA OS JATOS-VENTILADORES  </t>
  </si>
  <si>
    <t>831</t>
  </si>
  <si>
    <t>26.4</t>
  </si>
  <si>
    <t xml:space="preserve"> VENTILADOR CENTRÍFUGO TIPO SIROCO DUPLA SUCÇÃO-TAMANHO 1250-VAZÃO = 90,000 m3/H-PRESSÃO TOTAL= 35 MM CA-MOTOR 18,5 KW, INCLUINDO BASE DE APOIO, AMORTECEDORES E JUNTA FLEXÍVEL  </t>
  </si>
  <si>
    <t>832</t>
  </si>
  <si>
    <t>26.5</t>
  </si>
  <si>
    <t xml:space="preserve"> GRELHA DE ALUMÍNIO-MODELO AT-DG-525 X 1225 DA TROX OU EQUIVALENTE  </t>
  </si>
  <si>
    <t>833</t>
  </si>
  <si>
    <t>834</t>
  </si>
  <si>
    <t>27.1</t>
  </si>
  <si>
    <t xml:space="preserve"> CABO DE COBRE NÚ, PARA ATERRAMENTO -50 MM²  </t>
  </si>
  <si>
    <t>835</t>
  </si>
  <si>
    <t>27.2</t>
  </si>
  <si>
    <t xml:space="preserve"> CABO FLEXÍVEL ISOLAMENTO DE PVC 1KV, BAIXA EMISSÃO DE GASES TÓXICOS, SEÇÃO: 12/CØ1,5MM²  </t>
  </si>
  <si>
    <t>836</t>
  </si>
  <si>
    <t>27.3</t>
  </si>
  <si>
    <t xml:space="preserve"> CABO FLEXÍVEL ISOLAMENTO DE PVC 1KV, BAIXA EMISSÃO DE GASES TÓXICOS, SEÇÃO: 6/CØ1,5MM²  </t>
  </si>
  <si>
    <t>837</t>
  </si>
  <si>
    <t>27.4</t>
  </si>
  <si>
    <t>838</t>
  </si>
  <si>
    <t>27.5</t>
  </si>
  <si>
    <t xml:space="preserve"> CONDUTORES DE COBRE, ISOLAÇÃO 760V, BAIXA EMISSÃO DE GASES TÓXICOS QUANDO QUEIMAR, SEÇÃO: 16MM2  </t>
  </si>
  <si>
    <t>839</t>
  </si>
  <si>
    <t>27.6</t>
  </si>
  <si>
    <t xml:space="preserve"> CONDUTORES DE COBRE, ISOLAÇÃO 760V, BAIXA EMISSÃO DE GASES TÓXICOS QUANDO QUEIMAR, SEÇÃO: 35MM2 SILICONE  </t>
  </si>
  <si>
    <t>840</t>
  </si>
  <si>
    <t>27.7</t>
  </si>
  <si>
    <t xml:space="preserve"> CONDUTORES DE COBRE, ISOLAÇÃO 760V, BAIXA EMISSÃO DE GASES TÓXICOS QUANDO QUEIMAR, SEÇÃO: 4MM²  </t>
  </si>
  <si>
    <t>841</t>
  </si>
  <si>
    <t>27.8</t>
  </si>
  <si>
    <t xml:space="preserve"> CONDUTORES DE COBRE, ISOLAÇÃO 760V, BAIXA EMISSÃO DE GASES TÓXICOS QUANDO QUEIMAR, SEÇÃO: 95MM2  </t>
  </si>
  <si>
    <t>842</t>
  </si>
  <si>
    <t>27.9</t>
  </si>
  <si>
    <t xml:space="preserve"> 09 13 50</t>
  </si>
  <si>
    <t xml:space="preserve"> ELETROCALHA PARA CABOS, COM TAMPA EM CHAPA DE AÇO GALVANIZADO A FOGO, TIPO PESADO, AÇO GALVANIZADO A FOGO, TIPO PESADO, COMPRIMENTO DE 3000 MM: 400 X 100 (ILUMINAÇÃO)  </t>
  </si>
  <si>
    <t>843</t>
  </si>
  <si>
    <t>27.10</t>
  </si>
  <si>
    <t xml:space="preserve"> ELETROCALHA PARA CABOS, COM TAMPA EM CHAPA DE AÇO GALVANIZADO A FOGO, TIPO PESADO, COMPRIMENTO DE 3000 MM: 400 X 100 COM 3 DIVISÓRIAS (AUTOMAÇÃO)  </t>
  </si>
  <si>
    <t>844</t>
  </si>
  <si>
    <t>27.11</t>
  </si>
  <si>
    <t xml:space="preserve"> ELETRODUTO DE AÇO GALVANIZADO A FOGO, ROSCA BSP, TIPO PESADO, CONFORME NBR-5598, COM LUVA EM UMA DAS EXTREMIDADES, FORNECIDO EM BARRAS DE 3,000MM DE COMPRIMENTO, INCLUSIVE CONEXÕES E CAIXAS: Ø1,1/4   </t>
  </si>
  <si>
    <t>845</t>
  </si>
  <si>
    <t>27.12</t>
  </si>
  <si>
    <t xml:space="preserve"> ELETRODUTO DE AÇO GALVANIZADO A FOGO, ROSCA BSP, TIPO PESADO, CONFORME NBR-5598, COM LUVA EM UMA DAS EXTREMIDADES, FORNECIDO EM BARRAS DE 3,000MM DE COMPRIMENTO, INCLUSIVE CONEXÕES E CAIXAS: Ø2   </t>
  </si>
  <si>
    <t>846</t>
  </si>
  <si>
    <t>27.13</t>
  </si>
  <si>
    <t xml:space="preserve"> ELETRODUTO DE AÇO GALVANIZADO A FOGO, ROSCA BSP, TIPO PESADO, CONFORME NBR-5598, COM LUVA EM UMA DAS EXTREMIDADES, FORNECIDO EM BARRAS DE 3,000MM DE COMPRIMENTO, INCLUSIVE CONEXÕES E CAIXAS: Ø3/4   </t>
  </si>
  <si>
    <t>847</t>
  </si>
  <si>
    <t>27.14</t>
  </si>
  <si>
    <t xml:space="preserve"> ELETRODUTO FLEXÍVEL DE AÇO GALVANIZADO COM CAPA DE PVC COM CONECTORES MACHO E FÊMEA, TIPO SELATUBO, NAS SEÇÕES: Ø2” X 1500MM  </t>
  </si>
  <si>
    <t>848</t>
  </si>
  <si>
    <t>27.15</t>
  </si>
  <si>
    <t xml:space="preserve"> ELETRODUTO FLEXÍVEL DE AÇO GALVANIZADO COM CAPA DE PVC COM CONECTORES MACHO E FÊMEA, TIPO SELATUBO, NAS SEÇÕES: Ø3/4” X 1500MM  </t>
  </si>
  <si>
    <t>849</t>
  </si>
  <si>
    <t>27.16</t>
  </si>
  <si>
    <t>850</t>
  </si>
  <si>
    <t>27.17</t>
  </si>
  <si>
    <t>851</t>
  </si>
  <si>
    <t>27.18</t>
  </si>
  <si>
    <t>852</t>
  </si>
  <si>
    <t>27.19</t>
  </si>
  <si>
    <t xml:space="preserve"> MANTA ENDOTÉRMICA PARA PROTEÇÃO DOS CABOS INSTALADOS EM ELETROCALHAS DENTRO DO TÚNEL RESISTENTE ATÉ 2 HORAS DE FOGO  </t>
  </si>
  <si>
    <t>853</t>
  </si>
  <si>
    <t xml:space="preserve"> INTERFERÊNCIA  </t>
  </si>
  <si>
    <t>854</t>
  </si>
  <si>
    <t>28.1</t>
  </si>
  <si>
    <t xml:space="preserve"> INTERFERÊNCIA   INFRAESTRUTURA PARA LT -Linha de Transmissão 44 kV-2,600m  </t>
  </si>
  <si>
    <t>855</t>
  </si>
  <si>
    <t>28.1.1</t>
  </si>
  <si>
    <t>856</t>
  </si>
  <si>
    <t>DOCA SECA</t>
  </si>
  <si>
    <t>857</t>
  </si>
  <si>
    <t>29.1</t>
  </si>
  <si>
    <t xml:space="preserve"> 25,21,88,05,01  </t>
  </si>
  <si>
    <t>858</t>
  </si>
  <si>
    <t>29.2</t>
  </si>
  <si>
    <t xml:space="preserve"> 21,88,19,08,03  </t>
  </si>
  <si>
    <t>859</t>
  </si>
  <si>
    <t>29.3</t>
  </si>
  <si>
    <t xml:space="preserve"> 21,88,21,03  </t>
  </si>
  <si>
    <t>860</t>
  </si>
  <si>
    <t>29.4</t>
  </si>
  <si>
    <t xml:space="preserve"> 22,02,01  </t>
  </si>
  <si>
    <t>861</t>
  </si>
  <si>
    <t>29.5</t>
  </si>
  <si>
    <t xml:space="preserve"> 22,02,05  </t>
  </si>
  <si>
    <t>862</t>
  </si>
  <si>
    <t>29.6</t>
  </si>
  <si>
    <t xml:space="preserve"> 22,02,09  </t>
  </si>
  <si>
    <t>863</t>
  </si>
  <si>
    <t>29.7</t>
  </si>
  <si>
    <t xml:space="preserve"> 22,03,06  </t>
  </si>
  <si>
    <t>864</t>
  </si>
  <si>
    <t>29.8</t>
  </si>
  <si>
    <t xml:space="preserve"> 22,03,10  </t>
  </si>
  <si>
    <t>865</t>
  </si>
  <si>
    <t>29.9</t>
  </si>
  <si>
    <t xml:space="preserve"> 22,06,04  </t>
  </si>
  <si>
    <t>866</t>
  </si>
  <si>
    <t>29.10</t>
  </si>
  <si>
    <t xml:space="preserve"> 24,12,02  </t>
  </si>
  <si>
    <t>867</t>
  </si>
  <si>
    <t>29.11</t>
  </si>
  <si>
    <t xml:space="preserve"> 24,14,01,09  </t>
  </si>
  <si>
    <t>868</t>
  </si>
  <si>
    <t>29.12</t>
  </si>
  <si>
    <t xml:space="preserve"> 24,15,16  </t>
  </si>
  <si>
    <t>869</t>
  </si>
  <si>
    <t>29.13</t>
  </si>
  <si>
    <t xml:space="preserve"> 24,88,29,06,13  </t>
  </si>
  <si>
    <t>870</t>
  </si>
  <si>
    <t>29.14</t>
  </si>
  <si>
    <t xml:space="preserve"> 24,88,70,01  </t>
  </si>
  <si>
    <t xml:space="preserve"> Ã ÂFORNECIMENTO E INSTALAÇÃO DE TUBO GEOMECÂNICO DIÂMETRO DE 100mm  </t>
  </si>
  <si>
    <t>871</t>
  </si>
  <si>
    <t>29.15</t>
  </si>
  <si>
    <t xml:space="preserve"> 24,88,73,01  </t>
  </si>
  <si>
    <t>872</t>
  </si>
  <si>
    <t>29.16</t>
  </si>
  <si>
    <t xml:space="preserve"> 24,88,73,02  </t>
  </si>
  <si>
    <t>873</t>
  </si>
  <si>
    <t>29.17</t>
  </si>
  <si>
    <t xml:space="preserve"> 24,88,73,03  </t>
  </si>
  <si>
    <t>874</t>
  </si>
  <si>
    <t>29.18</t>
  </si>
  <si>
    <t xml:space="preserve"> 25,02,02  </t>
  </si>
  <si>
    <t>875</t>
  </si>
  <si>
    <t>29.19</t>
  </si>
  <si>
    <t xml:space="preserve"> 25,06,01  </t>
  </si>
  <si>
    <t>876</t>
  </si>
  <si>
    <t>29.20</t>
  </si>
  <si>
    <t xml:space="preserve"> 25,07,02  </t>
  </si>
  <si>
    <t>877</t>
  </si>
  <si>
    <t>29.21</t>
  </si>
  <si>
    <t xml:space="preserve"> 25,07,05  </t>
  </si>
  <si>
    <t>878</t>
  </si>
  <si>
    <t>29.22</t>
  </si>
  <si>
    <t xml:space="preserve"> 25,09,02  </t>
  </si>
  <si>
    <t>879</t>
  </si>
  <si>
    <t>29.23</t>
  </si>
  <si>
    <t xml:space="preserve"> 25,09,04  </t>
  </si>
  <si>
    <t>880</t>
  </si>
  <si>
    <t>29.24</t>
  </si>
  <si>
    <t xml:space="preserve"> 25,88,04,06,01  </t>
  </si>
  <si>
    <t>881</t>
  </si>
  <si>
    <t>29.25</t>
  </si>
  <si>
    <t xml:space="preserve"> 25,88,04,06,02  </t>
  </si>
  <si>
    <t>882</t>
  </si>
  <si>
    <t>29.26</t>
  </si>
  <si>
    <t xml:space="preserve"> 25,88,04,06,07  </t>
  </si>
  <si>
    <t>883</t>
  </si>
  <si>
    <t>29.27</t>
  </si>
  <si>
    <t xml:space="preserve"> 25,88,17,02  </t>
  </si>
  <si>
    <t xml:space="preserve"> EXECUÇÃO DE PAREDE DIAFRAGMA EM SOLO COM CLAMSHELL HIDRAULICO COM ESPESSURA 1,00 METRO, INCLUINDO ESCAVAÇÃO E DEJEITO EM SOLO COM SPT &lt; 50, COLOCAÇÃO DE ARMADURA E CONCRETAGEM.  </t>
  </si>
  <si>
    <t>884</t>
  </si>
  <si>
    <t>29.28</t>
  </si>
  <si>
    <t xml:space="preserve"> 25,88,17,02,01  </t>
  </si>
  <si>
    <t xml:space="preserve"> EXECUÇÃO DE PAREDE DIAFRAGMA EM ROCHA ALTERADA COM HIDROFRESA COM ESPESSURA 1,00 METRO, INCLUINDO ESCAVAÇÃO E DEJEITO EM SOLO COM SPT &gt; 50, COLOCAÇÃO DE ARMADURA E CONCRETAGEM.  </t>
  </si>
  <si>
    <t>885</t>
  </si>
  <si>
    <t>29.29</t>
  </si>
  <si>
    <t>886</t>
  </si>
  <si>
    <t>29.30</t>
  </si>
  <si>
    <t>887</t>
  </si>
  <si>
    <t>CANTEIRO DE OBRAS</t>
  </si>
  <si>
    <t>888</t>
  </si>
  <si>
    <t>30.1</t>
  </si>
  <si>
    <t xml:space="preserve"> 36,01,01,01  </t>
  </si>
  <si>
    <t xml:space="preserve"> INSTALAÇÃO DE CANTEIRO DE OBRAS  </t>
  </si>
  <si>
    <t>889</t>
  </si>
  <si>
    <t>30.2</t>
  </si>
  <si>
    <t xml:space="preserve"> 36,01,01,02  </t>
  </si>
  <si>
    <t xml:space="preserve"> OPERAÇÃO E MANUTENÇÃO DE CANTEIRO DE OBRAS  </t>
  </si>
  <si>
    <t>890</t>
  </si>
  <si>
    <t>30.3</t>
  </si>
  <si>
    <t xml:space="preserve"> 36,01,01,03  </t>
  </si>
  <si>
    <t xml:space="preserve"> DESMOBILIZAÇÃO DE CANTEIRO DE OBRAS  </t>
  </si>
  <si>
    <t>DATA BASE: SETEMBRO/2013</t>
  </si>
  <si>
    <t>LPI 001/2013</t>
  </si>
  <si>
    <t>ORÇAMENTO ESTIMATIVO DE SERVIÇOS E PREÇOS</t>
  </si>
  <si>
    <t>OBRAS DE IMPLANTAÇÃO DO SUBMERSO - TÚNEL SANTOS - GUARUJÁ, INTEGRANTE DO PROJETO DE MELHORIA LOGÍSTICA E DE MOBILIDADE URBANA ENTRE SANTOS E GUARUJÁ.</t>
  </si>
  <si>
    <t>Prod. Equipe</t>
  </si>
  <si>
    <t>Perc. Ferramenta</t>
  </si>
  <si>
    <t>Cod. Insumo</t>
  </si>
  <si>
    <t>Qtde Equip.</t>
  </si>
  <si>
    <t>Indice</t>
  </si>
  <si>
    <t>Indice Improdutivo</t>
  </si>
  <si>
    <t>DMT (Transp)</t>
  </si>
  <si>
    <t>Unid. Insumo</t>
  </si>
  <si>
    <t>Desc. Insumo</t>
  </si>
  <si>
    <t>Consumo (Transp)</t>
  </si>
  <si>
    <t>Cod. Composicao</t>
  </si>
  <si>
    <t>H</t>
  </si>
  <si>
    <t>KWH</t>
  </si>
  <si>
    <t>MOD</t>
  </si>
  <si>
    <t>CJ</t>
  </si>
  <si>
    <t>GR</t>
  </si>
  <si>
    <t>DM3</t>
  </si>
  <si>
    <t>PÇ</t>
  </si>
  <si>
    <t>U/H</t>
  </si>
  <si>
    <t>CPU</t>
  </si>
  <si>
    <t>8-863</t>
  </si>
  <si>
    <t>PREÇO UNITÁRIO DERSA</t>
  </si>
  <si>
    <t>SUB GRUPO</t>
  </si>
  <si>
    <t>A - F</t>
  </si>
  <si>
    <t>CÓDIGO DERSA</t>
  </si>
  <si>
    <t xml:space="preserve"> FERROVIA</t>
  </si>
  <si>
    <t>DESCRIÇÃO COMPLETA</t>
  </si>
  <si>
    <t>IE</t>
  </si>
  <si>
    <t>IH</t>
  </si>
  <si>
    <t>IM</t>
  </si>
  <si>
    <t>IN</t>
  </si>
  <si>
    <t>IT</t>
  </si>
  <si>
    <t>Macchine</t>
  </si>
  <si>
    <t>Mano d'opera</t>
  </si>
  <si>
    <t>Matetriali</t>
  </si>
  <si>
    <t>????</t>
  </si>
  <si>
    <t>IH0001</t>
  </si>
  <si>
    <t>CAPATAZ</t>
  </si>
  <si>
    <t>IH0002</t>
  </si>
  <si>
    <t>MAESTRO 1°</t>
  </si>
  <si>
    <t>IH0003</t>
  </si>
  <si>
    <t>IH0004</t>
  </si>
  <si>
    <t>MAESTRO 2°</t>
  </si>
  <si>
    <t>AYUDANTE</t>
  </si>
  <si>
    <t>IV0001</t>
  </si>
  <si>
    <t>PROD.VARIOS LOCALES</t>
  </si>
  <si>
    <t>VA</t>
  </si>
  <si>
    <t>AMORTIZACION EQUIPO</t>
  </si>
  <si>
    <t>REPUESTOS PARA MAQUINARIA</t>
  </si>
  <si>
    <t>IM0006</t>
  </si>
  <si>
    <t>LUBRIFICANTES Y GRASAS</t>
  </si>
  <si>
    <t>CA0001</t>
  </si>
  <si>
    <t>IP0001</t>
  </si>
  <si>
    <t>IP0002</t>
  </si>
  <si>
    <t>IP0003</t>
  </si>
  <si>
    <t>NEUMATICOS</t>
  </si>
  <si>
    <t>CB0001</t>
  </si>
  <si>
    <t>CB0002</t>
  </si>
  <si>
    <t>CA0002</t>
  </si>
  <si>
    <t>CUADRILLA ESCAVACION 1 Turno per dia</t>
  </si>
  <si>
    <t>XXXX</t>
  </si>
  <si>
    <t>CUADRILLA ESCAVACION 2 Turno por dia</t>
  </si>
  <si>
    <t>CUADRILLA CONCRETO 1 Turno por dia</t>
  </si>
  <si>
    <t>CA0003</t>
  </si>
  <si>
    <t>CUADRILLA CONCRETO 2 Turno por dia</t>
  </si>
  <si>
    <t>CA0004</t>
  </si>
  <si>
    <t>CUADRILLA FORMALETA 1 Turno por dia</t>
  </si>
  <si>
    <t>CUADRILLA FORMALETA 2 Turno por dia</t>
  </si>
  <si>
    <t>CA0005</t>
  </si>
  <si>
    <t>CA0006</t>
  </si>
  <si>
    <t>CA0007</t>
  </si>
  <si>
    <t>CA0008</t>
  </si>
  <si>
    <t>CUADRILLA ACERO 1 Turno por dia</t>
  </si>
  <si>
    <t>CA0009</t>
  </si>
  <si>
    <t>CUADRILLA ACERO 2 Turno por dia</t>
  </si>
  <si>
    <t>CUADRILLA VARIOS 1 Turno por dia</t>
  </si>
  <si>
    <t>CUADRILLA VARIOS 2 Turno por dia</t>
  </si>
  <si>
    <t>CA0050</t>
  </si>
  <si>
    <t>ENERGIA ELECTRICA</t>
  </si>
  <si>
    <t>CA0051</t>
  </si>
  <si>
    <t>ILLUMINAZIONE</t>
  </si>
  <si>
    <t>CA0052</t>
  </si>
  <si>
    <t>AQUA</t>
  </si>
  <si>
    <t>CA0053</t>
  </si>
  <si>
    <t>DEWATERING</t>
  </si>
  <si>
    <t>GRU CINGOLATA 50 TON</t>
  </si>
  <si>
    <t>% PARATIE</t>
  </si>
  <si>
    <t>% CLS NORMALE</t>
  </si>
  <si>
    <t>Grua da 35 Ton</t>
  </si>
  <si>
    <t>CA0015</t>
  </si>
  <si>
    <t>NOTE</t>
  </si>
  <si>
    <t>rampe di accesso paratie</t>
  </si>
  <si>
    <t>acciao per calcerstruzzi normali</t>
  </si>
  <si>
    <t>Camion con baja da 40 ton</t>
  </si>
  <si>
    <t>Saldadora diesel 550 AMP</t>
  </si>
  <si>
    <t>CB0003</t>
  </si>
  <si>
    <t>ACERO CORTADO E DOBLADO PER PANTALLAS IN SITE C-50</t>
  </si>
  <si>
    <t>doca seca - SOLO OPERAZIONI DI SCARICO POSA NEL COSTO DEL DIAFRAMMA</t>
  </si>
  <si>
    <t>CB0004</t>
  </si>
  <si>
    <t>6.11 BARRA DE ACO CA - 50</t>
  </si>
  <si>
    <t>5.13 BARRA DE ACO CA-50</t>
  </si>
  <si>
    <t>25.6 BARRA DE ACO CA-50</t>
  </si>
  <si>
    <t>25.7 BARRA DE ACO CA - 60</t>
  </si>
  <si>
    <t>CB0005</t>
  </si>
  <si>
    <t>6.12 BARRA DE ACO CA - 60</t>
  </si>
  <si>
    <t>CB0006</t>
  </si>
  <si>
    <t>6.10 BARRA DE ACO CA - 25</t>
  </si>
  <si>
    <t>ACERO CORTADO E DOBLADO IN SITE C-50</t>
  </si>
  <si>
    <t>ACERO CORTADO E DOBLADO IN SITE C-60</t>
  </si>
  <si>
    <t>ACERO CORTADO E DOBLADO IN SITE C-25</t>
  </si>
  <si>
    <t>Considero che il camion al 50 % perché farà altri lavori</t>
  </si>
  <si>
    <t>OPERADOR DE EQUIP. PESADO 2 turno por dia</t>
  </si>
  <si>
    <t>CB0007</t>
  </si>
  <si>
    <t>6.23 CONCRETO fck 35 Mpa</t>
  </si>
  <si>
    <t>MC</t>
  </si>
  <si>
    <t>IL POMPAGGIO DEL CLS è PAGATO A PARTE</t>
  </si>
  <si>
    <t>CONCRETO fck 35 Mpa</t>
  </si>
  <si>
    <t>VIBRADOR PER CONCRETO 75 MM AD AIRE</t>
  </si>
  <si>
    <t>COMPRESOR DIESEL 11 MC/MIN</t>
  </si>
  <si>
    <t>CAMION PARA AQUA 18000 LIT</t>
  </si>
  <si>
    <t>CB0008</t>
  </si>
  <si>
    <t>5.15 CONCRETO fck 15 Mpa</t>
  </si>
  <si>
    <t>CONCRETO fck 15 Mpa</t>
  </si>
  <si>
    <t>CB0009</t>
  </si>
  <si>
    <t>6.21 CONCRETO fck 30 Mpa</t>
  </si>
  <si>
    <t>CONCRETO fck 30 Mpa</t>
  </si>
  <si>
    <t>CB0010</t>
  </si>
  <si>
    <t>6.19 CONCRETO fck 10 Mpa</t>
  </si>
  <si>
    <t>CONCRETO fck 10 Mpa</t>
  </si>
  <si>
    <t>CB0011</t>
  </si>
  <si>
    <t>5.17 CONCRETO fck 35 Mpa</t>
  </si>
  <si>
    <t xml:space="preserve">CONCRETO fck 35 </t>
  </si>
  <si>
    <t>Calcestruzzo per le paratie</t>
  </si>
  <si>
    <t>solo fornitura, la posa è pagata nella paratia</t>
  </si>
  <si>
    <t>CB0012</t>
  </si>
  <si>
    <t>25.11 CONCRETO fck 35 Mpa</t>
  </si>
  <si>
    <t>CB0013</t>
  </si>
  <si>
    <t>CONCRETO fck 35 MPa</t>
  </si>
  <si>
    <t>CONCRETO fck 30 MPa</t>
  </si>
  <si>
    <t>5.16 CONCRETO fck 30 Mpa</t>
  </si>
  <si>
    <t>CB0014</t>
  </si>
  <si>
    <t>25.13 CONCRETO fck 40 Mpa</t>
  </si>
  <si>
    <t>CONCRETO fck 40 MPa</t>
  </si>
  <si>
    <t>CB0015</t>
  </si>
  <si>
    <t>6.20 CONCRETO fck 25 Mpa</t>
  </si>
  <si>
    <t>CONCRETO fck 25 Mpa</t>
  </si>
  <si>
    <t>CA0468</t>
  </si>
  <si>
    <t>CA0509</t>
  </si>
  <si>
    <t>CENTRAL DOSADORA DE CONCRETO</t>
  </si>
  <si>
    <t>CA0464</t>
  </si>
  <si>
    <t>CA0467</t>
  </si>
  <si>
    <t>CA0463</t>
  </si>
  <si>
    <t>CA00467</t>
  </si>
  <si>
    <t>CA0466</t>
  </si>
  <si>
    <t>HORMIGONERA 8 MC</t>
  </si>
  <si>
    <t>XXXXX</t>
  </si>
  <si>
    <t>CA0469</t>
  </si>
  <si>
    <t>CB0016</t>
  </si>
  <si>
    <t>BOMBA CONCRETO SU CAMION 87 MC/HR</t>
  </si>
  <si>
    <t>CB0017</t>
  </si>
  <si>
    <t>CB0018</t>
  </si>
  <si>
    <t>5.18 BOMBEAMENTO CONCRETO QUALUNQUER RESISTENCIA</t>
  </si>
  <si>
    <t>25.12 BOMBEAMENTO CONCRETO QUALUNQUER RESISTENCIA</t>
  </si>
  <si>
    <t>6.22 BOMBEAMENTO CONCRETO QUALUNQUER RESISTENCIA</t>
  </si>
  <si>
    <t>2 persone al seguito</t>
  </si>
  <si>
    <t>CB0019</t>
  </si>
  <si>
    <t>24.14 CONCRETO SUBMERSO</t>
  </si>
  <si>
    <t>CA0490</t>
  </si>
  <si>
    <t>CONCRETO fck 40 Mpa</t>
  </si>
  <si>
    <t>3 hr fermo</t>
  </si>
  <si>
    <t>15 mc / hr x 7 hr = 105 mc turno</t>
  </si>
  <si>
    <t>10 persone</t>
  </si>
  <si>
    <t>3 betoniere</t>
  </si>
  <si>
    <t>M / S Formaleta</t>
  </si>
  <si>
    <t>Grua su pneumatico 35 ton</t>
  </si>
  <si>
    <t>Fork . Lift</t>
  </si>
  <si>
    <t>OPERADOR DE EQUIP. PESADO 1 turno por dia</t>
  </si>
  <si>
    <t>Madera comun</t>
  </si>
  <si>
    <t>CB0020</t>
  </si>
  <si>
    <t>MQ</t>
  </si>
  <si>
    <t>FORMA PLANA 01</t>
  </si>
  <si>
    <t>DISARMANTE</t>
  </si>
  <si>
    <t>CAMION PLATAFORMA CON GRUA 5 TON</t>
  </si>
  <si>
    <t>Autogru da 50 T</t>
  </si>
  <si>
    <t xml:space="preserve">ACERO CORTADO E DOBLADO </t>
  </si>
  <si>
    <t>xxxx</t>
  </si>
  <si>
    <t>MADERA COMUN</t>
  </si>
  <si>
    <t>CA0016</t>
  </si>
  <si>
    <t>CURING</t>
  </si>
  <si>
    <t>CB0021</t>
  </si>
  <si>
    <t>5.11 FORMA PLANA PARA CONCRETO COMUNE</t>
  </si>
  <si>
    <t>6.7 FORMA PLANA PARA CONCRETO COMUNE</t>
  </si>
  <si>
    <t>25.4 FORMA PLANA PARA CONCRETO COMUNE</t>
  </si>
  <si>
    <t>COSTO 14 Euro / mq</t>
  </si>
  <si>
    <t>CB0022</t>
  </si>
  <si>
    <t>CB0023</t>
  </si>
  <si>
    <t>6.8 FORMA PLANA PARA CONCRETO APARENTE</t>
  </si>
  <si>
    <t>COSTO 16,8 Euro / mq</t>
  </si>
  <si>
    <t>FORMA PLANA 02</t>
  </si>
  <si>
    <t>CB0024</t>
  </si>
  <si>
    <t>CB0025</t>
  </si>
  <si>
    <t>5.12 FORMA PLANA PARA CONCRETO PROTENDIDO OU APARENTE</t>
  </si>
  <si>
    <t>25.5 FORMA PLANA PARA CONCRETO PROTENDIDO OU APARENTE</t>
  </si>
  <si>
    <t>21 / 01 / 2015 ore 11,30</t>
  </si>
  <si>
    <t>CB0026</t>
  </si>
  <si>
    <t>RETROEXCAVATOR DA 2,2 MC</t>
  </si>
  <si>
    <t>CAMION CON VOLQUETA 25 TON</t>
  </si>
  <si>
    <t>carico</t>
  </si>
  <si>
    <t>partenza</t>
  </si>
  <si>
    <t>viaggio</t>
  </si>
  <si>
    <t>manovre</t>
  </si>
  <si>
    <t>scarico</t>
  </si>
  <si>
    <t>ritorno</t>
  </si>
  <si>
    <t>ineff</t>
  </si>
  <si>
    <t>totale</t>
  </si>
  <si>
    <t>HR</t>
  </si>
  <si>
    <t>20 Km/hr</t>
  </si>
  <si>
    <t>CB0027</t>
  </si>
  <si>
    <t>CJ x DIA</t>
  </si>
  <si>
    <t>BOMBA</t>
  </si>
  <si>
    <t>xxxxx</t>
  </si>
  <si>
    <t>Autogru da 50 ton</t>
  </si>
  <si>
    <t>Ipotizziamo 6 Bomne costo dia 108,75 Real   +  KW 50,4</t>
  </si>
  <si>
    <t>Montaggio / smontaggio</t>
  </si>
  <si>
    <t>Gestione</t>
  </si>
  <si>
    <t>CB0028</t>
  </si>
  <si>
    <t>5.10 ESCAVAÇÃO MECÂNICA PARA OBRAS SEM EXPLOSIVO</t>
  </si>
  <si>
    <t>25.26 CONJUNTO DE BOMBEAMENTO A VÁCUO PARA REBAIXAMENTO DE LENÇOL FREÁTICO</t>
  </si>
  <si>
    <t>5.1 COLCHÃO DE BRITA SOB A LAJE DE FUNDO INTERLIGANDO DRENOS COM 60 A 70 CM DE ESPESSURA</t>
  </si>
  <si>
    <t>BRITA</t>
  </si>
  <si>
    <t>CB0029</t>
  </si>
  <si>
    <t>6.37 LANÇAMENTO DE VIGA COM TRELIÇA ATÉ 120TF</t>
  </si>
  <si>
    <t>NR</t>
  </si>
  <si>
    <t>VIGA</t>
  </si>
  <si>
    <t>Viga = 5.000 Euro = 15.000 Real</t>
  </si>
  <si>
    <t>CB0030</t>
  </si>
  <si>
    <t>5.37 FORNECIMENTO, CORTE E MONTAGEM DE PERFIL METÁLICO  2I-18" OU H-400</t>
  </si>
  <si>
    <t>PERFIL METALICO 0,80 Euro / KG</t>
  </si>
  <si>
    <t>CB0031</t>
  </si>
  <si>
    <t>5.40 RETIRADA DE PERFIL METÁLICO DE ATÉ 2I-18" OU H-400</t>
  </si>
  <si>
    <t>CB0032</t>
  </si>
  <si>
    <t>un tubo pesa 55.000 kg e lo poso in 10 ore</t>
  </si>
  <si>
    <t>25.16 FORNECIMENTO, INSTALAÇÃO E RETIRADA DE TUBO METÁLICO EM AÇO CARBONO COM RESISTÊNCIA CARACTERISTICA SUPERIOR A 350 MPA - EXECUÇÃO DE ESTRONCAS</t>
  </si>
  <si>
    <t>TUBO METALICO ø 1524 mm</t>
  </si>
  <si>
    <t>PERFIL METALICO 21-18" OU H-400</t>
  </si>
  <si>
    <t>Galeria pre moldada de concreto</t>
  </si>
  <si>
    <t>Costo Euro/ml 250</t>
  </si>
  <si>
    <t>Poso in 4 HR 40 ml</t>
  </si>
  <si>
    <t>1 protezione per 3 ordini di puntoni quindi 1 / (1200 kg/ml * 3) sfrido 1,02</t>
  </si>
  <si>
    <t>10 persone x 4 HR / (1200 x 3 x 43 mt )</t>
  </si>
  <si>
    <t>2 hr trasporto tutto materiale</t>
  </si>
  <si>
    <t>1mezzo  x 2 HR / (1200 x 3 x 43 mt )</t>
  </si>
  <si>
    <t>1mezzo  x 3 HR / (1200 x 3 x 43 mt )</t>
  </si>
  <si>
    <t>Rimozione - Tubo</t>
  </si>
  <si>
    <t>Posa prefabbricato</t>
  </si>
  <si>
    <t>Rimozione prefabbricato</t>
  </si>
  <si>
    <t>CB0033</t>
  </si>
  <si>
    <t>5.24 FORNECIMENTO, INSTALAÇÃO E RETIRADA DE TUBO METÁLICO EM AÇO CARBONO COM RESISTÊNCIA CARACTERISTICA SUPERIOR A 350 MPA - EXECUÇÃO DE ESTRONCAS</t>
  </si>
  <si>
    <t>CB0034</t>
  </si>
  <si>
    <t>GRU CINGOLATA 250 TON</t>
  </si>
  <si>
    <t>Vibro + centralina</t>
  </si>
  <si>
    <t>Diesel</t>
  </si>
  <si>
    <t>produzione 2500 kg / HR</t>
  </si>
  <si>
    <t>PERFIL COMBINADO EM AÇO CARBONO</t>
  </si>
  <si>
    <t>25.18 FORNECIMENTO, CRAVAÇÃO E RETIRADA DE PERFIL COMBINADO EM AÇO CARBONO, PARA EXECUÇÃO DO FECHAMENTO DA DOCA SECA COM O CANAL DE NAVEGAÇÃO</t>
  </si>
  <si>
    <t>CB0035</t>
  </si>
  <si>
    <t>5.26 FORNECIMENTO, CRAVAÇÃO E RETIRADA DE PERFIL COMBINADO EM AÇO CARBONO, PARA EXECUÇÃO DO FECHAMENTO DA DOCA SECA COM O CANAL DE NAVEGAÇÃO</t>
  </si>
  <si>
    <t>CB0036</t>
  </si>
  <si>
    <t>ACO ASTM A36</t>
  </si>
  <si>
    <t>peso kg / mq 157 x 2,20 = 345,40 kg / ml    peso totale cad 345,40 * 43 = 14.852 kg</t>
  </si>
  <si>
    <t>10 persone posano in 5 HR</t>
  </si>
  <si>
    <t>CB0037</t>
  </si>
  <si>
    <t>5.23 FORNECIMENTO, CORTE E MONTAGEM DE PERFIL METÁLICO</t>
  </si>
  <si>
    <t>PERFIL METALICO ITEM 5.23</t>
  </si>
  <si>
    <t>CB0038</t>
  </si>
  <si>
    <t xml:space="preserve">5.14 TELA METÁLICA </t>
  </si>
  <si>
    <t>CB0039</t>
  </si>
  <si>
    <t>5.38 CRAVAÇÃO DE PERFIL METÁLICO DE ATÉ 2I-18" OU H-400</t>
  </si>
  <si>
    <t>CB0040</t>
  </si>
  <si>
    <t>CEMENTO</t>
  </si>
  <si>
    <t>ADDITIVO</t>
  </si>
  <si>
    <t>AUTOGRU DA 35 TON</t>
  </si>
  <si>
    <t>CB0041</t>
  </si>
  <si>
    <t xml:space="preserve">6.13 AÇO PARA CONCRETO PROTENDIDO </t>
  </si>
  <si>
    <t>5.22 FORNECIMENTO DE AREIA LAVADA PARA SOLO REFORÇADO</t>
  </si>
  <si>
    <t>CARGADORA S/NEUM DA 2,2 MC</t>
  </si>
  <si>
    <t>Dumper 25 Ton</t>
  </si>
  <si>
    <t>AÇO PARA CONCRETO PROTENDIDO + guaine + testate</t>
  </si>
  <si>
    <t>CENTRALINA PER TESATURA CAVI</t>
  </si>
  <si>
    <t>50 EURO / HR</t>
  </si>
  <si>
    <t>CB0042</t>
  </si>
  <si>
    <t>CIMBRA</t>
  </si>
  <si>
    <t>Fork lift</t>
  </si>
  <si>
    <t>CB0043</t>
  </si>
  <si>
    <t>6.6 CIMBRAMENTO METALICO PARA PONTES E VIADUTOS</t>
  </si>
  <si>
    <t>AÇO PARA CONCRETO PROTENDIDO ST 85/105 + GUAINE + TESTATE</t>
  </si>
  <si>
    <t>CB0044</t>
  </si>
  <si>
    <t>6.14 AÇO PARA CONCRETO PROTENDIDO ST 85/105</t>
  </si>
  <si>
    <t>5.20 SOLO REFORÇADO TIPO GREIDE COM ALTURA DE 0 A 6 METROS (TERRA ARMATA)</t>
  </si>
  <si>
    <t>pannello in concreto prefabbricato</t>
  </si>
  <si>
    <t>CB0045</t>
  </si>
  <si>
    <t>25.23 CIMBRAMENTO DE PASSAGEM SEC. GALERIA RET.</t>
  </si>
  <si>
    <t>Costo Euro/mc 2,50</t>
  </si>
  <si>
    <t>CB0046</t>
  </si>
  <si>
    <t>25.8 TELA DE METAL PARA GUIA AÇO CA-60 (2,56 kg/m²)</t>
  </si>
  <si>
    <t xml:space="preserve"> TELA DE METAL PARA GUIA AÇO CA-60 (2,56 kg/m²)</t>
  </si>
  <si>
    <t>CB0047</t>
  </si>
  <si>
    <t>PRANCHÕES DE MADEIRA</t>
  </si>
  <si>
    <t>5.43 FORNECIMENTO DE PRANCHÕES DE MADEIRA</t>
  </si>
  <si>
    <t>CB0048</t>
  </si>
  <si>
    <t>5.41 COLOCAÇÃO DE PRANCHÕES DE MADEIRA</t>
  </si>
  <si>
    <t>CB0049</t>
  </si>
  <si>
    <t>5.42 RETIRADA DE PRANCHÕES DE MADEIRA</t>
  </si>
  <si>
    <t>CB0050</t>
  </si>
  <si>
    <t>25.30 IMPERMEABILIZAÇÃO COM MANTA DE PVC COM 3MM DE ESPESSURA</t>
  </si>
  <si>
    <t>TNT 50 g/mq</t>
  </si>
  <si>
    <t>Foglio PVC sp 3 mm</t>
  </si>
  <si>
    <t>CB0051</t>
  </si>
  <si>
    <t>5.39 IMPERMEABILIZAÇÃO COM MANTA DE PVC COM 3MM DE ESPESSURA</t>
  </si>
  <si>
    <t>CB0052</t>
  </si>
  <si>
    <t>BARREIRA DE SEGURANÇA PARA OAE CONF. PP-DE-C01/293</t>
  </si>
  <si>
    <t>5.44 BARREIRA DE SEGURANÇA PARA OAE CONF. PP-DE-C01/293</t>
  </si>
  <si>
    <t>ML</t>
  </si>
  <si>
    <t>Martello perforatore 27 KG</t>
  </si>
  <si>
    <t>5.45 FURO EM CONCRETO Ø32 PARA CHUMBADORES DE Ø25</t>
  </si>
  <si>
    <t>CB0053</t>
  </si>
  <si>
    <t>Martello perforatore</t>
  </si>
  <si>
    <t>Barra de acero</t>
  </si>
  <si>
    <t>Resina per ancoraggi</t>
  </si>
  <si>
    <t>CB0054</t>
  </si>
  <si>
    <t xml:space="preserve">JUNTA DE DILATAÇÃO EM MATERIAL TERMOPLÁSTICO </t>
  </si>
  <si>
    <t xml:space="preserve">5.46 JUNTA DE DILATAÇÃO EM MATERIAL TERMOPLÁSTICO </t>
  </si>
  <si>
    <t>CB0055</t>
  </si>
  <si>
    <t>5.6 DRENOS LONGITUDINAIS PROFUNDOS EM SOLOS SILTOSOS E/OU ARGILOSOS</t>
  </si>
  <si>
    <t>MANOVRE</t>
  </si>
  <si>
    <t>Car</t>
  </si>
  <si>
    <t>Andata</t>
  </si>
  <si>
    <t>Ritorno</t>
  </si>
  <si>
    <t>ineffi</t>
  </si>
  <si>
    <t>CB0056</t>
  </si>
  <si>
    <t>xxxxxx</t>
  </si>
  <si>
    <t>CB0057</t>
  </si>
  <si>
    <t>5.5 DRENOS LONGITUDINAIS PROFUNDOS EM SOLOS SILTOSOS E/OU ARGILOSOS</t>
  </si>
  <si>
    <t>2.17 DRENOS LONGITUDINAIS PROFUNDOS EM SOLOS SILTOSOS E/OU ARGILOSOS</t>
  </si>
  <si>
    <t>CONSIDERO 5 MC / ML</t>
  </si>
  <si>
    <t>CB0058</t>
  </si>
  <si>
    <t>1.12 DEMOLIÇÃO DE CONCRETO CICLOPICO SUBMERSO C/ TRANSPORTE</t>
  </si>
  <si>
    <t>Sommozzatori</t>
  </si>
  <si>
    <t>Escavartore CAT 330</t>
  </si>
  <si>
    <t>Escavatore CAT 345 + martellone</t>
  </si>
  <si>
    <t>Gru cingolata 100 TON</t>
  </si>
  <si>
    <t>Pala CAT 966</t>
  </si>
  <si>
    <t>CB0059</t>
  </si>
  <si>
    <t>6.43 REMOÇÃO DE ENROCAMENTO SUBMERSO C/ TRANSPORTE</t>
  </si>
  <si>
    <t>Escavatore CAT 330</t>
  </si>
  <si>
    <t>CB0060</t>
  </si>
  <si>
    <t>1.11 DEMOLIÇÃO DE CONCRETO ARMADO COM RECOLHIMENTO MARINHO DOS SEDIMENTOS</t>
  </si>
  <si>
    <t>Martello DEMOLITORE</t>
  </si>
  <si>
    <t>Panconi metallici</t>
  </si>
  <si>
    <t>Euro / kg 1,5</t>
  </si>
  <si>
    <t>CB0061</t>
  </si>
  <si>
    <t>6.45 CORTE DE ESTACAS DE CONCRETO/AÇO COM DIÂMETRO ATÉ 1016MM - SUBMERSO</t>
  </si>
  <si>
    <t>DUMPER 25 TON</t>
  </si>
  <si>
    <t>SOMMOZZATORI</t>
  </si>
  <si>
    <t>CB0062</t>
  </si>
  <si>
    <t>6.46 REMOÇÃO DE ESTACAS DE CONCRETO/AÇO COM DIÂMETRO ATÉ 1016MM - SUBMERSO</t>
  </si>
  <si>
    <t>6.44 REMOÇÃO E REINSTALAÇÃO DO CABEÇO DE ANCORAGEM/DEFENSA DE ATRACAÇÃO</t>
  </si>
  <si>
    <t>CB0063</t>
  </si>
  <si>
    <t>Aurogru da 50 Ton</t>
  </si>
  <si>
    <t>Materiale di fissaggio</t>
  </si>
  <si>
    <t>Euro / cad 1000</t>
  </si>
  <si>
    <t>CB0064</t>
  </si>
  <si>
    <t xml:space="preserve">23.1 DEMOLIÇÃO DE CONCRETO ARMADO   </t>
  </si>
  <si>
    <t>CAT 345 + MARTELLONE</t>
  </si>
  <si>
    <t>CARGADORA + RETROESCAVATORA CAT 420 E</t>
  </si>
  <si>
    <t>CB0065</t>
  </si>
  <si>
    <t>GRU CINGOLATA CON BENNA MORDENTE 120 TON</t>
  </si>
  <si>
    <t>23 / 1 / 2015 ore 18,30</t>
  </si>
  <si>
    <t>2.5 ESCAVAÇÃO E CARGA DE SOLO MOLE GRU CINGOLATA E BENNA MORDENTE</t>
  </si>
  <si>
    <t>NO</t>
  </si>
  <si>
    <t>CB0066</t>
  </si>
  <si>
    <t>CB0067</t>
  </si>
  <si>
    <t>24.2 ESCAVAÇÃO E CARGA DE SOLO MOLE CON CARROPONTE</t>
  </si>
  <si>
    <t>Carroponte</t>
  </si>
  <si>
    <t>CB0068</t>
  </si>
  <si>
    <t>CB0069</t>
  </si>
  <si>
    <r>
      <t xml:space="preserve">2.17 ESCAVAÇÃO INVERTIDA E CARGA DE MATERIAL DE 1ª / 2ª CATEGORIA E/OU SOLO MOLE   </t>
    </r>
    <r>
      <rPr>
        <b/>
        <sz val="10"/>
        <color rgb="FFFF0000"/>
        <rFont val="Arial"/>
        <family val="2"/>
      </rPr>
      <t>Parte invertida</t>
    </r>
  </si>
  <si>
    <r>
      <t xml:space="preserve">25.3 ESCAVAÇÃO MECÂNICA PARA OBRAS SEM EXPLOSIVO </t>
    </r>
    <r>
      <rPr>
        <b/>
        <sz val="11"/>
        <color rgb="FFFF0000"/>
        <rFont val="Calibri"/>
        <family val="2"/>
        <scheme val="minor"/>
      </rPr>
      <t>CON CARROPONTE MAT NON IMMERSO portato a 1KM lato Doca Seca</t>
    </r>
  </si>
  <si>
    <r>
      <t xml:space="preserve">25.3 ESCAVAÇÃO MECÂNICA PARA OBRAS SEM EXPLOSIVO </t>
    </r>
    <r>
      <rPr>
        <b/>
        <sz val="11"/>
        <color rgb="FFFF0000"/>
        <rFont val="Calibri"/>
        <family val="2"/>
        <scheme val="minor"/>
      </rPr>
      <t>CON CARROPONTE MAT NON IMMERSO portato a 1KM Lato Santos</t>
    </r>
  </si>
  <si>
    <t>MS</t>
  </si>
  <si>
    <t>LS</t>
  </si>
  <si>
    <t>IE5065</t>
  </si>
  <si>
    <t>IH1017</t>
  </si>
  <si>
    <t>IE5064</t>
  </si>
  <si>
    <t>R$ /H produttivo 1.050,05</t>
  </si>
  <si>
    <t>R$ /H improduttivo produttivo 958,61</t>
  </si>
  <si>
    <t>CB0070</t>
  </si>
  <si>
    <t>Driver Marine Equipement for Combiwall</t>
  </si>
  <si>
    <t>Marine Equipement for Combiwall</t>
  </si>
  <si>
    <t>Driver Marine Equipement for Dragagem</t>
  </si>
  <si>
    <t>mc 1.071.068</t>
  </si>
  <si>
    <t>Marine Equipement for Dragagem - 15 / - 32 mt</t>
  </si>
  <si>
    <t>Marine Equipement for Dragagem - 15</t>
  </si>
  <si>
    <t>Driver Marine Equipement for Dragagem - 15</t>
  </si>
  <si>
    <t>ATERRO HIDRÁULICO COM AREIA (DRAGAGGIO) 16.6 + POSA A TERRA</t>
  </si>
  <si>
    <t>16.4 DRAGAGEM / REMOÇÃO DE MATERIAL MARINHO (PROFUNDIDADES DE 15,0 A 32,0 m), INCLUSIVE TRANSPORTE E DEPOSIÇÃO EM LOCAL APROPRIADO (POLIGONO DE DEPOSIÇÃO OCEANICA)</t>
  </si>
  <si>
    <t>16.5 DRAGAGEM / REMOÇÃO DE MATERIAL MARINHO (PROFUNDIDADES ATÉ 15,0 m), INCLUSIVE TRANSPORTE E DEPOSIÇÃO EM LOCAL APROPRIADO (POLIGONO DE DEPOSIÇÃO OCEANICA)</t>
  </si>
  <si>
    <t>CB0071</t>
  </si>
  <si>
    <t>CB0072</t>
  </si>
  <si>
    <t>Posa</t>
  </si>
  <si>
    <t>Terna</t>
  </si>
  <si>
    <t>Rullo</t>
  </si>
  <si>
    <t>Costo R$/HR</t>
  </si>
  <si>
    <t>7 mesi * 5 persone * 20 hr/gg * 26 gg/ mese)</t>
  </si>
  <si>
    <t>7 mesi * 1 sistema * 20 hr/gg * 26 gg/ mese)</t>
  </si>
  <si>
    <t>6 mesi * 6 persone * 20 hr/gg * 26 gg/ mese)</t>
  </si>
  <si>
    <t>6 mesi * 1 sistema * 20 hr/gg * 26 gg/ mese)</t>
  </si>
  <si>
    <t>Produttivo</t>
  </si>
  <si>
    <t>Improduttivo</t>
  </si>
  <si>
    <t>2 mesi *1 sistema * 20 HR/ GG * 26 gg/mese)</t>
  </si>
  <si>
    <t>2 mesi * 5 Persone  * 20 HR/ GG * 26 gg/mese)</t>
  </si>
  <si>
    <t>Marine Equipement for Dragagem and service</t>
  </si>
  <si>
    <t>Driver Marine Equipement for Dragagem and service</t>
  </si>
  <si>
    <t>CB0073</t>
  </si>
  <si>
    <t>HI1016</t>
  </si>
  <si>
    <t>SOMMOZZATORE</t>
  </si>
  <si>
    <t>Costo EURO / HR 45</t>
  </si>
  <si>
    <t>CB0074</t>
  </si>
  <si>
    <t>16.3 LANÇAMENTO DE AREIA (ATERRO DO TÚNEL)</t>
  </si>
  <si>
    <t>3,5 mesi * 1 Sistema * 26 gg/ms * 20 HR/GG</t>
  </si>
  <si>
    <t xml:space="preserve">3,5 mesi * 4 persone 26 gg/ms * 20 HR/GG </t>
  </si>
  <si>
    <t>1,5 mesi * 1 Sistema * 26 gg/ms * 20 HR/GG</t>
  </si>
  <si>
    <t xml:space="preserve">1,5 mesi * 4 persone 26 gg/ms * 20 HR/GG </t>
  </si>
  <si>
    <t>Marine Equipement for Dragagem e Lanciamento Areia</t>
  </si>
  <si>
    <t>Driver Marine Equipement for Dragagem  e lanciamento Areia</t>
  </si>
  <si>
    <t>Scavo</t>
  </si>
  <si>
    <t>Lanc</t>
  </si>
  <si>
    <t>CB0075</t>
  </si>
  <si>
    <t>16.1 FORNECIMENTO E TRANSPORTE DE RACHÃO (PROTEÇÃO DO TÚNEL)</t>
  </si>
  <si>
    <t>Fornacimiento da Racho</t>
  </si>
  <si>
    <t>CAT 945 da 3,1 mc</t>
  </si>
  <si>
    <t>CAT 966 2,3 mc</t>
  </si>
  <si>
    <t>CB0076</t>
  </si>
  <si>
    <t>Marine Equipement for Lanciamento RACHAO</t>
  </si>
  <si>
    <t>Driver Marine Equipement for Lanciamento RACHAO</t>
  </si>
  <si>
    <t>6 mesi * 1 Sistema * 26 gg/ms * 20 HR/GG</t>
  </si>
  <si>
    <t xml:space="preserve">6 mesi * 4 persone 26 gg/ms * 20 HR/GG </t>
  </si>
  <si>
    <t>16.2 LANÇAMENTO DE RACHÃO (PROTEÇÃO DO TÚNEL)</t>
  </si>
  <si>
    <t>16.6 DRAGAGEM DE AREIA LAVADA, INCLUSIVE TRANSPORTE ATÉ O LOCAL DE APLICAÇÃO</t>
  </si>
  <si>
    <t>Anno EURO</t>
  </si>
  <si>
    <t>Mesi</t>
  </si>
  <si>
    <t>GG</t>
  </si>
  <si>
    <t>HR / GG</t>
  </si>
  <si>
    <t>R$</t>
  </si>
  <si>
    <t>R$ / H 77</t>
  </si>
  <si>
    <t>Trelicia Lanciadora</t>
  </si>
  <si>
    <t>Leasing</t>
  </si>
  <si>
    <t>Costo Autogru 50 Ton  x 20 Volte</t>
  </si>
  <si>
    <t>IE5066</t>
  </si>
  <si>
    <t>IE5067</t>
  </si>
  <si>
    <t>IE5068</t>
  </si>
  <si>
    <t>IE5069</t>
  </si>
  <si>
    <t>IE5070</t>
  </si>
  <si>
    <t>Indiretti</t>
  </si>
  <si>
    <t>CB0100</t>
  </si>
  <si>
    <t>23,3 DESMOBILIZAÇÃO DE CANTEIRO DE OBRAS</t>
  </si>
  <si>
    <t>Pala CAT 950</t>
  </si>
  <si>
    <t>Escavatore CAT 320 + martello</t>
  </si>
  <si>
    <t xml:space="preserve">Escavatore CAT 320 </t>
  </si>
  <si>
    <t>Dozer D 6</t>
  </si>
  <si>
    <t>Grader</t>
  </si>
  <si>
    <t>Basso carico 40 TON</t>
  </si>
  <si>
    <t>Water Tank 18000</t>
  </si>
  <si>
    <t>Autogru 35 Ton</t>
  </si>
  <si>
    <t>Terna CAT 420</t>
  </si>
  <si>
    <t xml:space="preserve">Mesi </t>
  </si>
  <si>
    <t>gg / mese</t>
  </si>
  <si>
    <t>CONTRACTOR OFFICE</t>
  </si>
  <si>
    <t>ENG. OFFICE</t>
  </si>
  <si>
    <t xml:space="preserve">CANTEEN </t>
  </si>
  <si>
    <t>CLINIC</t>
  </si>
  <si>
    <t>LABORATORY</t>
  </si>
  <si>
    <t>WARE HOUSE</t>
  </si>
  <si>
    <t>WORK SHOP</t>
  </si>
  <si>
    <t>JOINERY</t>
  </si>
  <si>
    <t>STEEL YARDA</t>
  </si>
  <si>
    <t>GATE KEEPER</t>
  </si>
  <si>
    <t>DRESSING ROOM</t>
  </si>
  <si>
    <t>BATH ROOM</t>
  </si>
  <si>
    <t>PARK</t>
  </si>
  <si>
    <t>WEIGHT SYSTEM</t>
  </si>
  <si>
    <t>Conreto Rck 10</t>
  </si>
  <si>
    <t>Concreto Rck 30</t>
  </si>
  <si>
    <t>Barra de ACO</t>
  </si>
  <si>
    <t>Madera</t>
  </si>
  <si>
    <t>CB0101</t>
  </si>
  <si>
    <t>CB0102</t>
  </si>
  <si>
    <t>Impianto illuminaziomne</t>
  </si>
  <si>
    <t>Impianto distribuzione Energia Elettrica</t>
  </si>
  <si>
    <t>26,2 OPERAÇÃO E MANUTENÇÃO DE CANTEIRO DE OBRAS</t>
  </si>
  <si>
    <t>26,1 INSTALAÇÃO DE CANTEIRO DE OBRAS</t>
  </si>
  <si>
    <t xml:space="preserve">Hardware </t>
  </si>
  <si>
    <t>Material Varios Local</t>
  </si>
  <si>
    <t>Rent Land - Santos</t>
  </si>
  <si>
    <t>Rent Land - Guaruja</t>
  </si>
  <si>
    <t>Viglilante</t>
  </si>
  <si>
    <t>Impinto Antifurto</t>
  </si>
  <si>
    <t>Rullo compattator</t>
  </si>
  <si>
    <t>Agua</t>
  </si>
  <si>
    <t>Sub Base</t>
  </si>
  <si>
    <t>Base</t>
  </si>
  <si>
    <t xml:space="preserve">CUADRILLA ESCAVACION </t>
  </si>
  <si>
    <t xml:space="preserve">Planilha: 00011 - TUNEL SUBMERSO SIGMA P82                                    </t>
  </si>
  <si>
    <t>Codigo</t>
  </si>
  <si>
    <t>Descricao</t>
  </si>
  <si>
    <t>Unid</t>
  </si>
  <si>
    <t>Qtde</t>
  </si>
  <si>
    <t>Qtde Improd</t>
  </si>
  <si>
    <t>Custo Unit</t>
  </si>
  <si>
    <t>Valor</t>
  </si>
  <si>
    <t>%</t>
  </si>
  <si>
    <t>% Acum.</t>
  </si>
  <si>
    <t>% s/ Tot</t>
  </si>
  <si>
    <t>% Acum</t>
  </si>
  <si>
    <t>IM1920</t>
  </si>
  <si>
    <t xml:space="preserve">FORNECIMENTO DE AÇO CA-50, CORTADO E DOBRADO  </t>
  </si>
  <si>
    <t xml:space="preserve">KG    </t>
  </si>
  <si>
    <t xml:space="preserve">            </t>
  </si>
  <si>
    <t>IM1273</t>
  </si>
  <si>
    <t xml:space="preserve">TUBO DE AÇO CARBONO Ø2M E CONECTORES - COMBWALL  </t>
  </si>
  <si>
    <t>IM1102</t>
  </si>
  <si>
    <t xml:space="preserve">CIMENTO PORTLAND CP III RS 40  </t>
  </si>
  <si>
    <t xml:space="preserve">T     </t>
  </si>
  <si>
    <t xml:space="preserve">AREIA LAVADA  </t>
  </si>
  <si>
    <t xml:space="preserve">M3    </t>
  </si>
  <si>
    <t>IM1281</t>
  </si>
  <si>
    <t xml:space="preserve">INJEÇÃO DE COLUNA JET GROUTING EM SOLO NATURAL, INDEPENDENTE DIAMETRO  </t>
  </si>
  <si>
    <t xml:space="preserve">CIMENTO PORTLAND CP II-32(A GRANEL)  </t>
  </si>
  <si>
    <t>IM1916</t>
  </si>
  <si>
    <t xml:space="preserve">INSTALAÇÃO DE CANTEIRO DE OBRAS  </t>
  </si>
  <si>
    <t xml:space="preserve">GB    </t>
  </si>
  <si>
    <t xml:space="preserve">BRITA 1  </t>
  </si>
  <si>
    <t>IM1106</t>
  </si>
  <si>
    <t xml:space="preserve">RACHÃO  </t>
  </si>
  <si>
    <t>IM1931</t>
  </si>
  <si>
    <t xml:space="preserve">MATERIAL CONSUMO DE CONSUMO COMBWALL  </t>
  </si>
  <si>
    <t>IM1881</t>
  </si>
  <si>
    <t xml:space="preserve">DRAGAGEM / REMOÇÃO DE MATERIAL MARINHO (PROFUNDIDADES DE 15,0 A 32,0 m), INCLUSIVE TRANSPORTE E DEPOSIÇÃO EM LOCAL APROPRIADO (POLIGONO DE DEPOSIÇÃO OCEANICA)  </t>
  </si>
  <si>
    <t xml:space="preserve">OLEO DIESEL  </t>
  </si>
  <si>
    <t xml:space="preserve">L     </t>
  </si>
  <si>
    <t>IM1876</t>
  </si>
  <si>
    <t xml:space="preserve">PERFIL METALICO DE AÇO  </t>
  </si>
  <si>
    <t>IM1917</t>
  </si>
  <si>
    <t xml:space="preserve">OPERAÇÃO E MANUTENÇÃO DE CANTEIRO DE OBRAS  </t>
  </si>
  <si>
    <t>IM1912</t>
  </si>
  <si>
    <t xml:space="preserve">OPERAÇÃO DE SUBMERSÃO DO ELEMENTO DE TÚNEL (EQUIPAMENTOS, PONTOS DE SUSPENSÃO, PINO E GUIA, TORRES DE ACESSO, SUPORTE PRIMÁRIO, TORRE DE MEDIÇÃO/MONITORAMENTO, BOMBEAMENTO DOS TANQUES DE LASTRO, ESGOTAMENTO DA JUNTA DE IMERSÃO E EXECUÇÃO DA JUNTA DE TRAVAMENTO - INCLUSIVE TODOS OS EQUIPAMENTOS, MÃO DE OBRA E MATERIAIS NECESSÁRIOS PARA ESSA OPERAÇÃO)  </t>
  </si>
  <si>
    <t xml:space="preserve">UN    </t>
  </si>
  <si>
    <t>IM1031</t>
  </si>
  <si>
    <t xml:space="preserve">DEPOSIÇÃO DE MATERIAL CLASSE IIB, EM BOTA-FORA ESPECIAL  </t>
  </si>
  <si>
    <t>IM1811</t>
  </si>
  <si>
    <t xml:space="preserve">AÇO ASTM A-36, PERFIL OU CHAPA  </t>
  </si>
  <si>
    <t>IM1913</t>
  </si>
  <si>
    <t xml:space="preserve">OPERAÇÃO DE ASSENTAMENTO E FINALIZAÇÃO DO ELEMENTO DE TÚNEL (APOIOS SECUNDÁRIOS, INJEÇÃO/BOMBEAMENTO DA FUNDAÇÃO DE AREIA, JUNTA DE TRAVAMENTO, JUNTA OMEGA E FINALIZAÇÃO DA JUNTA DE IMERSÃO, DESMONTAGEM E DESMOBILIZAÇÃO DOS ANTEPAROS PRIMÁRIOS E SECUNDÁRIOS - INCLUSIVE TODOS OS EQUIPAMENTOS, MÃO DE OBRA E MATERIAIS NECESSÁRIOS PARA ESSA OPERAÇÃO)  </t>
  </si>
  <si>
    <t>IM1030</t>
  </si>
  <si>
    <t xml:space="preserve">DEPOSIÇÃO DE MATERIAL CLASSE IIA, EM BOTA-FORA ESPECIAL  </t>
  </si>
  <si>
    <t>IM1070</t>
  </si>
  <si>
    <t xml:space="preserve">TARIFA DE ÁGUA - SABESP  </t>
  </si>
  <si>
    <t>IM1911</t>
  </si>
  <si>
    <t xml:space="preserve">OPERAÇÃO DE TRANSPORTE DO ELEMENTO DE TÚNEL (EQUIPAMENTOS, OLHAIS, CABOS, CABEÇOS, POITAS, ROLDANAS, DEMAIS ELEMENTOS - INCLUSIVE TODOS OS EQUIPAMENTOS, MÃO DE OBRA E MATERIAIS NECESSÁRIOS PARA ESSA OPERAÇÃO)  </t>
  </si>
  <si>
    <t xml:space="preserve">CORDOALHA CP-190 RB D=12,7MM  </t>
  </si>
  <si>
    <t>IM1905</t>
  </si>
  <si>
    <t xml:space="preserve">FÔRMA INTERNA - METÁLICA COM SUPERFICIE DE MADEIRA COM APLICAÇÃO DE DESMOLDANTE E REAPROVEITAMENTO  </t>
  </si>
  <si>
    <t xml:space="preserve">M2    </t>
  </si>
  <si>
    <t>IM1919</t>
  </si>
  <si>
    <t xml:space="preserve">FORNECIMENTO DE AÇO CA-60, CORTADO E DOBRADO  </t>
  </si>
  <si>
    <t>IM1079</t>
  </si>
  <si>
    <t xml:space="preserve">ADITIVO - SÍLICA ATIVA  </t>
  </si>
  <si>
    <t>IM1841</t>
  </si>
  <si>
    <t xml:space="preserve">TUBO DE AÇO CARBONO EXTREMIDADE CHANFRADA, PRETO, SEM COSTURA, ASTM A-106 GRB, SCH-40 - Ø200 mm  </t>
  </si>
  <si>
    <t xml:space="preserve">M     </t>
  </si>
  <si>
    <t xml:space="preserve">ENERGIA ELÉTRICA - CONCESSIONARIA  </t>
  </si>
  <si>
    <t xml:space="preserve">KWH   </t>
  </si>
  <si>
    <t>IM1822</t>
  </si>
  <si>
    <t xml:space="preserve">MATERIAL DE CONSUMO - CLAMSHELL  </t>
  </si>
  <si>
    <t>IM1630</t>
  </si>
  <si>
    <t xml:space="preserve">JATO-VENTILADOR INCLUINDO SILENCIADORES, SUPORTE E AMORTECEDORES. DIÂMETRO MÁXIMO= 900 MM  VELOCIDADE MÍNIMA NA DESCARGA= 33 M/S EMPUXO NOMINAL MÍNIMO= 800 N MOTOR: 30 KW/4 POLOS  </t>
  </si>
  <si>
    <t xml:space="preserve">UN    </t>
  </si>
  <si>
    <t xml:space="preserve">CIMENTO ASFÁLTICO CAP 50/70  </t>
  </si>
  <si>
    <t>IM1093</t>
  </si>
  <si>
    <t xml:space="preserve">BARRA DE AÇO CA-50 12,5 A 25MM  </t>
  </si>
  <si>
    <t>IM1923</t>
  </si>
  <si>
    <t xml:space="preserve">FORMA PLASTIFICADA  </t>
  </si>
  <si>
    <t>IM1843</t>
  </si>
  <si>
    <t xml:space="preserve">TUBO DE AÇO CARBONO EXTREMIDADE CHANFRADA, PRETO, SEM COSTURA, ASTM -120, SCH-40 - Ø150 mm  </t>
  </si>
  <si>
    <t>IM1943</t>
  </si>
  <si>
    <t xml:space="preserve">ESTACA METÁLICA, FORNECIMENTO E CRAVAÇÃO SOBRE FLUTUANTE  </t>
  </si>
  <si>
    <t>IM1823</t>
  </si>
  <si>
    <t xml:space="preserve">LAMA BENTONITA  </t>
  </si>
  <si>
    <t>IM1082</t>
  </si>
  <si>
    <t xml:space="preserve">ADITIVO - POLIFUNCIONAL  </t>
  </si>
  <si>
    <t>IM1083</t>
  </si>
  <si>
    <t xml:space="preserve">ADITIVO - CRISTALIZANTE  </t>
  </si>
  <si>
    <t>IM1081</t>
  </si>
  <si>
    <t xml:space="preserve">ADITIVO - SUPERPLASTIFICANTE  </t>
  </si>
  <si>
    <t>IM1826</t>
  </si>
  <si>
    <t xml:space="preserve">MATERIAL DE CONSUMO - JETGROUTING  </t>
  </si>
  <si>
    <t>IM1910</t>
  </si>
  <si>
    <t xml:space="preserve">OPERAÇÃO DO FLUTUAMENTO DE ELEMENTO DE TÚNEL (TANQUES DE LASTRO, ANTEPAROS PRIMÁRIOS E SECUNDÁRIOS, EQUIPAMENTOS, JUNTAS GINA E PROTEÇÃO - INCLUSIVE TODOS OS EQUIPAMENTOS, MÃO DE OBRA E MATERIAIS NECESSÁRIOS PARA ESSA OPERAÇÃO)  </t>
  </si>
  <si>
    <t>IM1875</t>
  </si>
  <si>
    <t xml:space="preserve">ESCORAMENTO METALICO  </t>
  </si>
  <si>
    <t>IM1914</t>
  </si>
  <si>
    <t xml:space="preserve">INSTALAÇÃO E MONITORAMENTO DO PROCESSO FLUTUAÇÃO, TRANSPORTE, IMERSÃO E ASSENTAMENTO (SENSORES NOS MÓDULOS, SENSORES NOS EQUIPAMENTOS, CENTRAL DE IMERSÃO, SOFTWARES, EQUIPAMENTOS DE INFORMÁTICA - INCLUSIVE TODOS OS EQUIPAMENTOS, MÃO DE OBRA E MATERIAIS NECESSÁRIOS PARA ESSA OPERAÇÃO)  </t>
  </si>
  <si>
    <t>IM1091</t>
  </si>
  <si>
    <t xml:space="preserve">BARRA DE AÇO CA-50 8,0MM  </t>
  </si>
  <si>
    <t>IM1922</t>
  </si>
  <si>
    <t xml:space="preserve">FORMA COMUM  </t>
  </si>
  <si>
    <t>IM1909</t>
  </si>
  <si>
    <t xml:space="preserve">FORNECIMENTO DE PROJETOS E MEMÓRIAS DE CÁLCULOS REFERENTE A TODOS OS EQUIPAMENTOS E ATIVIDADES TEMPORÁRIAS REFERENTES A FLUTUAÇÃO, TRANSPORTE, SUBMERSÃO E ASSENTAMENTO DOS ELEMENTOS DE TÚNEL  </t>
  </si>
  <si>
    <t>IM1604</t>
  </si>
  <si>
    <t xml:space="preserve">REVESTIMENTO CERÂMICO ANTI-PICHAÇÃO, JUNTAS AMARRAÇÃO OU PRUMO - ASSENTADOS COM ARGAMASSA COLANTE  </t>
  </si>
  <si>
    <t>IM1884</t>
  </si>
  <si>
    <t xml:space="preserve">PLACA EM ESCAMA DE CONCRETO - TERRA ARMADA  </t>
  </si>
  <si>
    <t>IM1363</t>
  </si>
  <si>
    <t xml:space="preserve">FITA ANTICORROSIVA PARA TUBULAÇÃO ENTERRADA, LARGURA RECOMENDADA 100MM E SOBREPOSIÇÃO DE 50%  </t>
  </si>
  <si>
    <t>IM1904</t>
  </si>
  <si>
    <t xml:space="preserve">FORMA EXTERNA - METÁLICA COM SUPERFICIE DE MADEIRA COM APLICAÇÃO DE DESMOLDANTE E REAPROVEITAMENTO  </t>
  </si>
  <si>
    <t>IM1918</t>
  </si>
  <si>
    <t xml:space="preserve">DESMOBILIZAÇÃO DE CANTEIRO DE OBRAS  </t>
  </si>
  <si>
    <t xml:space="preserve">BRITA 2  </t>
  </si>
  <si>
    <t xml:space="preserve">COMPENSADO RESINADO DE 17 MM  </t>
  </si>
  <si>
    <t>IM1879</t>
  </si>
  <si>
    <t xml:space="preserve">BRITA 0  </t>
  </si>
  <si>
    <t>IM1683</t>
  </si>
  <si>
    <t xml:space="preserve">FORNECIMENTO, INSTALAÇÃO, TESTE, COMISSIONAMENTO DE CABO TÉRMICO TIPO DETECTOR LINEAR DE CALOR.  </t>
  </si>
  <si>
    <t xml:space="preserve">PÓ DE PEDRA  </t>
  </si>
  <si>
    <t>IM1041</t>
  </si>
  <si>
    <t xml:space="preserve"> CONCRETO FCK 15 MPA  - COMERCIAL  </t>
  </si>
  <si>
    <t>IM1627</t>
  </si>
  <si>
    <t>IM1862</t>
  </si>
  <si>
    <t xml:space="preserve">BARREIRA DE SEGURANÇA PARA OAE CONF. PP-DE-C01/293  </t>
  </si>
  <si>
    <t>IM1893</t>
  </si>
  <si>
    <t xml:space="preserve">FORNECIMENTO E APLICAÇÃO DE JUNTA DE VEDAÇÃO TIPO WATERSTOP COM ESPUMA DE INJEÇÃO COM 500 MM DE LARGURA TOTAL E 300 MM DE LARGURA DE BORRACHA  </t>
  </si>
  <si>
    <t>IM1453</t>
  </si>
  <si>
    <t xml:space="preserve">LUMINÁRIA PÚBLICA LE114 DE LED (POTÊNCIA DE 138 A 152W) -150W  </t>
  </si>
  <si>
    <t xml:space="preserve">CJ    </t>
  </si>
  <si>
    <t>IM1792</t>
  </si>
  <si>
    <t xml:space="preserve">ESCADA ROLANTE, LARGURA DOS DEGRAUS DE 1,0 METRO, COM DESNÍVEL DE 9,45 METROS, VELOCIDADE DE 0,5 m/s E CAPACIDADE DE 9.000 PESSOAS/HORA  </t>
  </si>
  <si>
    <t>IM1089</t>
  </si>
  <si>
    <t xml:space="preserve">BARRA DE AÇO CA-60 6,0MM  </t>
  </si>
  <si>
    <t>IM1643</t>
  </si>
  <si>
    <t xml:space="preserve">CONDUTORES DE COBRE, ISOLAÇÃO 760V, BAIXA EMISSÃO DE GASES TÓXICOS QUANDO QUEIMAR, SEÇÃO, 70MM2  </t>
  </si>
  <si>
    <t>IM1058</t>
  </si>
  <si>
    <t xml:space="preserve">FORNECIMENTO DE ESTACA PRANCHA METALICA  </t>
  </si>
  <si>
    <t>IM1606</t>
  </si>
  <si>
    <t xml:space="preserve">PISO CIMENTÍCIO VIBRO-PRENSADO À 240TON - ALTA RESISTÊNCIA - ANTIDERRAPANTE (LAVAGGIO) - SELADO  </t>
  </si>
  <si>
    <t>IM1663</t>
  </si>
  <si>
    <t xml:space="preserve">CABO ÓPTICO MONOMODO - OUTDOOR/ INDOOR 4FO PRÉ-CONECTORIZADO (PMV / BACKBONE / DEMAIS SISTEMAS)  </t>
  </si>
  <si>
    <t>IM1644</t>
  </si>
  <si>
    <t xml:space="preserve">CONDUTORES DE COBRE, ISOLAÇÃO 760V, BAIXA EMISSÃO DE GASES TÓXICOS QUANDO QUEIMAR, SEÇÃO, 95MM2  </t>
  </si>
  <si>
    <t>IM1120</t>
  </si>
  <si>
    <t xml:space="preserve">APARELHO DE APOIO DE NEOPRENE FRETADO  </t>
  </si>
  <si>
    <t xml:space="preserve">DM3   </t>
  </si>
  <si>
    <t>IM1629</t>
  </si>
  <si>
    <t xml:space="preserve">PLACA DE GRFC  </t>
  </si>
  <si>
    <t>IM1850</t>
  </si>
  <si>
    <t xml:space="preserve">BARREIRA DE SEGURANÇA COM PASSEIO CONFORME PP-DE-C01/293  </t>
  </si>
  <si>
    <t>IM1634</t>
  </si>
  <si>
    <t xml:space="preserve">ELETROCALHA PARA CABOS, COM TAMPA EM CHAPA DE AÇO GALVANIZADO A FOGO, TIPO PESADO, COMPRIMENTO DE 3000 MM, 400 X 100 (ILUMINAÇÃO)  </t>
  </si>
  <si>
    <t>IM1809</t>
  </si>
  <si>
    <t xml:space="preserve">ROYALTIE PARA JAZIDA DE ARGILA  </t>
  </si>
  <si>
    <t>IM1063</t>
  </si>
  <si>
    <t xml:space="preserve">CORTE E DOBRA DO AÇO EM USINA  </t>
  </si>
  <si>
    <t>IM1877</t>
  </si>
  <si>
    <t xml:space="preserve">CONCRETO PRÉ-FABRICADO, GALERIA  </t>
  </si>
  <si>
    <t>IM1794</t>
  </si>
  <si>
    <t xml:space="preserve">ESCADA ROLANTE, LARGURA DOS DEGRAUS DE 1,0 METRO, COM DESNÍVEL DE 6,65 METROS, VELOCIDADE DE 0,5 m/s E CAPACIDADE DE 9.000 PESSOAS/HORA  </t>
  </si>
  <si>
    <t>IM1565</t>
  </si>
  <si>
    <t>IM1855</t>
  </si>
  <si>
    <t xml:space="preserve">SARJETA DE CONCRETO fck 20 MPa  </t>
  </si>
  <si>
    <t>IM1899</t>
  </si>
  <si>
    <t xml:space="preserve">FORNECIMENTO, INSTALAÇÃO E LEITURA DE TERMÔMETRO ELÉTRICO DE RESISTÊNCIA COM FAIXA DE OPERAÇÃO DE -20°C A +90°C DE ACORDO COM A NORMA DIN EN6O 751 - CLASSE B (IED 751), COM DIÂMETRO DE 8,5mm X 80mm EM AÇO INOX 304  </t>
  </si>
  <si>
    <t xml:space="preserve">BRITA GRADUADA USINA - BGSU  </t>
  </si>
  <si>
    <t>IM1744</t>
  </si>
  <si>
    <t>IM1611</t>
  </si>
  <si>
    <t xml:space="preserve">TUBO DE AÇO CARBONO EXTREMIDADE CHANFRADA, PRETO, SEM COSTURA, ASTM -120, SCH-40 - Ø100 mm  </t>
  </si>
  <si>
    <t>IM1338</t>
  </si>
  <si>
    <t>IM1780</t>
  </si>
  <si>
    <t xml:space="preserve">MOSAICO PORTUGUÊS, UMA OU DUAS CORES, SOBRE BASE DE AREIA  </t>
  </si>
  <si>
    <t>IM1678</t>
  </si>
  <si>
    <t xml:space="preserve">CONJUNTO SONOFLETOR, COMPLETO E INSTALADO, COMPOSTO DE SONOFLETOR DE 20W, SUPORTE DE FIXAÇÃO, ACESSÓRIOS E CAIXA TÉCNICA PARA DERIVAÇÃO  </t>
  </si>
  <si>
    <t>IM1135</t>
  </si>
  <si>
    <t xml:space="preserve">GUIA PRE FABRICADA CONCRETO FCK 20 MPa  </t>
  </si>
  <si>
    <t xml:space="preserve">OLEO COMBUSTÍVEL 1A  </t>
  </si>
  <si>
    <t>IM1448</t>
  </si>
  <si>
    <t xml:space="preserve">GRUPO MOTOR GERADOR DIESEL-TRIFÁSICO (GG-01), DE 360/325KVA, 460/265V, TRIFÁSICO COM NEUTRO, COMPLETO COM PAINEL "USCA" E PAINÉIS "QTA E QTM", FORNECIDO COM AMORTECEDORES DE VIBRAÇÃO ALTA PERFORMANCE PARA LOCAIS SUJEITO A ABALO SÍSMICOS E CONJUNTO ATENUADOR DE RUÍDO PARA MÁXIMO 75DB. CONF. ESPECIFICAÇÃO TÉCNICA E DIAGRAMA ELÉTRICO.  </t>
  </si>
  <si>
    <t>IM1863</t>
  </si>
  <si>
    <t xml:space="preserve">MANTA GEOTEXTIL NÃO TECIDA RESISTENCIA LONGITUDINAL 31 kN/m  </t>
  </si>
  <si>
    <t>IM1682</t>
  </si>
  <si>
    <t xml:space="preserve">FORNECIMENTO, INSTALAÇÃO, TESTE E COMISSIONAMENTO DO CONJUNTO DE TELEFONE DE EMERGÊNCIA AO USUÁRIO (CALLBOX) E CAIXA TÉCNICA  </t>
  </si>
  <si>
    <t>IM1459</t>
  </si>
  <si>
    <t xml:space="preserve">PROJETOR DE LED: EON-L – EJ12 SUPERFÍCIE (CW 780) - 57X35CM – 780 LEDS – 163W - 5000°K– FACHO: “GENERAL”  </t>
  </si>
  <si>
    <t>IM1642</t>
  </si>
  <si>
    <t xml:space="preserve">CONDUTORES DE COBRE, ISOLAÇÃO 760V, BAIXA EMISSÃO DE GASES TÓXICOS QUANDO QUEIMAR, SEÇÃO, 50MM2  </t>
  </si>
  <si>
    <t>IM1776</t>
  </si>
  <si>
    <t xml:space="preserve">LADRILHO HIDRÁULICO SULCADO, BRANCO OU PRETO  </t>
  </si>
  <si>
    <t>IM1777</t>
  </si>
  <si>
    <t xml:space="preserve">PISO DE CONCRETO INTERTRAVADO, ESPESSURA 8 cm  </t>
  </si>
  <si>
    <t>IM1934</t>
  </si>
  <si>
    <t xml:space="preserve">MATERIAL CONSUMO DE CONSUMO PERFURAÇÃO DRENO  </t>
  </si>
  <si>
    <t>IM1524</t>
  </si>
  <si>
    <t>IM1654</t>
  </si>
  <si>
    <t xml:space="preserve">CABO FLEXÍVEL - ISOLAÇÃO EM PVC-90°C - CLASSE 4 OU 5 - 0,6/1kV - 3Cx10,0mm²  </t>
  </si>
  <si>
    <t>IM1098</t>
  </si>
  <si>
    <t xml:space="preserve">CUSTO DE MANUTENÇÃO  </t>
  </si>
  <si>
    <t xml:space="preserve">H     </t>
  </si>
  <si>
    <t>IM1859</t>
  </si>
  <si>
    <t xml:space="preserve">TUBO DE PVC PERFURADO OU NÃO D=0,05M  </t>
  </si>
  <si>
    <t>IM1362</t>
  </si>
  <si>
    <t xml:space="preserve">RESERVATÓRIO DE INCÊNDIO COM CAPACIDADE PARA 100M³, FEITO EM CONCRETO  </t>
  </si>
  <si>
    <t>IM1608</t>
  </si>
  <si>
    <t xml:space="preserve">APLICAÇÃO DE VERNIZ ANTI-PICHAÇÃO - BASE SOLVENTE - 2 DEMÃOS (REMOÇÃO DA PICHAÇÃO SOMENTE A SECO OU COM ÁGUA E SABÃO)  </t>
  </si>
  <si>
    <t>IM1047</t>
  </si>
  <si>
    <t xml:space="preserve">BARRA DE AÇO CA-50 - MÉDIA BITOLAS  </t>
  </si>
  <si>
    <t>IM1316</t>
  </si>
  <si>
    <t xml:space="preserve">SERVIÇO DE INSTALAÇÃO DE SINALIZAÇÃO ITEM 7  </t>
  </si>
  <si>
    <t>IM1409</t>
  </si>
  <si>
    <t xml:space="preserve">CABO DE COBRE SINGELO, TÊMPERA MOLE, ENCORDOAMENTO CLASSE 2, CLASSE DE TENSÃO 8,7/15KVV, COM ISOLAÇÃO EM BORRACHA ETILENO-PROPILENO EPR (90°C), CAPA EXTERNA EM PVC (70°C), SEÇÃO: Ø95MM²  </t>
  </si>
  <si>
    <t>IM1447</t>
  </si>
  <si>
    <t xml:space="preserve">GRUPO MOTOR GERADOR DIESEL-TRIFÁSICO (GG-01), DE 1000/920kVA, 460/265V, TRIFÁSICO COM NEUTRO, COMPLETO COM PAINEL "USCA" E PAINÉIS "QTA e QTM", FORNECIDO COM AMORTECEDORES DE VIBRAÇÃO ALTA PERFORMANCE PARA LOCAIS SUJEITO A ABALO SÍSMICOS E CONJUNTO ATENUADOR DE RUÍDO PARA MÁXIMO 85dB. CONF. ESPECIFICAÇÃO TÉCNICA E DIAGRAMA ELÉTRICO.  </t>
  </si>
  <si>
    <t xml:space="preserve">CAIBROS DE 7,5 CM X 7,5 CM  </t>
  </si>
  <si>
    <t>IM1555</t>
  </si>
  <si>
    <t xml:space="preserve">CONTROLADOR DE DETECÇÃO LINEAR DE CALOR  </t>
  </si>
  <si>
    <t>IM1778</t>
  </si>
  <si>
    <t xml:space="preserve">PISO DE CONCRETO INTERTRAVADO, ESPESSURA 10 cm  </t>
  </si>
  <si>
    <t>IM1581</t>
  </si>
  <si>
    <t xml:space="preserve">PÓRTICO FIXAÇÃO DE PMV E CÂMERA - ALTURA LIVRE MÍNIMA DE 6,20M, COM PASSARELA PARA MANUTENÇÃO E ESCADA. COM PLACA METÁLICA PARA FIXAÇÃO DO PMV PARA EVITAR TREPIDAÇÃO  </t>
  </si>
  <si>
    <t>IM1765</t>
  </si>
  <si>
    <t xml:space="preserve">APLICAÇÃO DE TINTA ANTI-PICHAÇÃO - BASE SOLVENTE - 2 DEMÃOS (REMOÇÃO DA PICHAÇÃO SOMENTE A SECO OU COM ÁGUA E SABÃO)  </t>
  </si>
  <si>
    <t>IM1554</t>
  </si>
  <si>
    <t xml:space="preserve">EMULSÃO ASFÁLTICA RR-1C  </t>
  </si>
  <si>
    <t>IM1449</t>
  </si>
  <si>
    <t xml:space="preserve">GRUPO MOTOR GERADOR DIESEL-TRIFÁSICO (GG-01/02), DE 1000/920kVA, 460/265V, TRIFÁSICO COM NEUTRO, COMPLETO COM PAINEL "USCA" E PAINÉIS "QTA e QTM", FORNECIDO COM AMORTECEDORES DE VIBRAÇÃO ALTA PERFORMANCE PARA LOCAIS SUJEITO A ABALO SÍSMICOS E CONJUNTO ATENUADOR DE RUÍDO PARA MÁXIMO 85dB. CONF. ESPECIFICAÇÃO TÉCNICA E DIAGRAMA ELÉTRICO.  </t>
  </si>
  <si>
    <t>IM1364</t>
  </si>
  <si>
    <t>IM1756</t>
  </si>
  <si>
    <t>IM1677</t>
  </si>
  <si>
    <t xml:space="preserve">CONJUNTO SINALIZADORES DE ABANDONO ELETRÔNICO COMPLETO E INSTALADO  </t>
  </si>
  <si>
    <t>IM1748</t>
  </si>
  <si>
    <t xml:space="preserve">CIMENTADO COMUM, DESEMPENADO - ESPESSURA 20 mm  </t>
  </si>
  <si>
    <t>IM1866</t>
  </si>
  <si>
    <t xml:space="preserve">PLACA PRÉ MOLDADA DE CONCRETO PARA GUARDA CORPO PP-DE-C04/021  </t>
  </si>
  <si>
    <t xml:space="preserve">ARAME RECOZIDO Nº. 18  </t>
  </si>
  <si>
    <t>IM1547</t>
  </si>
  <si>
    <t xml:space="preserve">CONJUNTO COMPLETO COMPOSTO DE CONTROLADORES LÓGICOS PROGRAMÁVEIS (CLPS) MONTADOS EM RACK COM BORNES, FONTES, CARTÕES DE ENTRADA E SAÍDA (E/S), PROCESSADOR (CPU) E MÓDULOS DE COMUNICAÇÃO EM REDE ETHERNET.  </t>
  </si>
  <si>
    <t>IM1854</t>
  </si>
  <si>
    <t xml:space="preserve">INSTALAÇÃO DE ITENS SEGURANÇA E SINALIZAÇÃO  </t>
  </si>
  <si>
    <t>IM1548</t>
  </si>
  <si>
    <t xml:space="preserve">CONJUNTO DE AMPLIFICADOR DE 500 W C/ 2 CANAIS DE 250 W, COMPLETO E INSTALADO  </t>
  </si>
  <si>
    <t>IM1710</t>
  </si>
  <si>
    <t xml:space="preserve">FORNECIMENTO DE ESTRUTURA METÁLICA PARA COBERTURA  </t>
  </si>
  <si>
    <t>IM1830</t>
  </si>
  <si>
    <t xml:space="preserve">TUBO DE FºFº - PONTA E BOLSA, CLASSE K7,DN 200MM  </t>
  </si>
  <si>
    <t xml:space="preserve">COMPENSADO PLASTIFICADO DE 17 MM  </t>
  </si>
  <si>
    <t>IM1396</t>
  </si>
  <si>
    <t xml:space="preserve">POSTE DE AÇO RETO SIMPLES, DE SEÇÃO CIRCULAR, SP-6/8, COM SUPORTE PARA MONTAGEM DE 1 LUMINÁRIA, PARA FIXAÇÃO COM CHUMBADORES, JANELA DE INSPEÇÃO, DIÂMETRO NA EXTREMIDADE DE 60 MM, COM 10 METROS DE ALTURA.  </t>
  </si>
  <si>
    <t xml:space="preserve">PÇ    </t>
  </si>
  <si>
    <t>IM1508</t>
  </si>
  <si>
    <t>IM1445</t>
  </si>
  <si>
    <t xml:space="preserve">EXECUÇÃO DE BASE DE POSTE DE AÇO FLANGEADO ATÉ 12M DE ALTURA  </t>
  </si>
  <si>
    <t>IM1808</t>
  </si>
  <si>
    <t xml:space="preserve">ESTRUTURA METÁLICA PARA INSTALAÇÃO DE BANDEJA DE CABOS DO SISTEMA DE ILUMINAÇÃO, MONITORAMENTO, ENERGIA PARA OS TURBOVENTILADORES E FIXAÇÃO DAS LUMINÁRIAS COM FECHAMENTO EM PLACAS METÁLICAS  </t>
  </si>
  <si>
    <t>IM1639</t>
  </si>
  <si>
    <t xml:space="preserve">CONDUTORES DE COBRE, ISOLAÇÃO 760V, BAIXA EMISSÃO DE GASES TÓXICOS QUANDO QUEIMAR, SEÇÃO, 16MM2  </t>
  </si>
  <si>
    <t>IM1607</t>
  </si>
  <si>
    <t>IM1889</t>
  </si>
  <si>
    <t xml:space="preserve">INJEÇÃO DE NATA DE CIMENTO  </t>
  </si>
  <si>
    <t xml:space="preserve">GASTALHO 10 X 2,5 CM  </t>
  </si>
  <si>
    <t>IM1297</t>
  </si>
  <si>
    <t xml:space="preserve">FORNECIMENTO E TRANSPORTE DE PLACA DE ALUMÍNIO GT+AI  </t>
  </si>
  <si>
    <t>IM1662</t>
  </si>
  <si>
    <t xml:space="preserve">CABO ÓPTICO MONOMODO - OUTDOOR/ INDOOR 2FO PRÉ-CONECTORIZADO (SCE)  </t>
  </si>
  <si>
    <t>IM1838</t>
  </si>
  <si>
    <t xml:space="preserve">BOMBA SUBMERSÍVEL PARA ÁGUA SERVIDA Q=270m³/h  H=20 m.c.a.  </t>
  </si>
  <si>
    <t>IM1835</t>
  </si>
  <si>
    <t xml:space="preserve">VÁLVULA DE GAVETA DE AÇO Ø8"  </t>
  </si>
  <si>
    <t>IM1387</t>
  </si>
  <si>
    <t xml:space="preserve">CABO DE COBRE 240 MM² - ISOLAMENTO PARA 1 KV  </t>
  </si>
  <si>
    <t>IM1541</t>
  </si>
  <si>
    <t xml:space="preserve">CONJUNTO CÂMERA FIXA DIGITAL + LENTE 8mm + CAIXA DE PROTEÇÃO E ACESSÓRIOS  </t>
  </si>
  <si>
    <t>IM1114</t>
  </si>
  <si>
    <t xml:space="preserve">LUVA E PINO  DE PRENSAGEM Ø32MM  </t>
  </si>
  <si>
    <t>IM1793</t>
  </si>
  <si>
    <t xml:space="preserve">ESCADA ROLANTE, LARGURA DOS DEGRAUS DE 1,0 METRO, COM DESNÍVEL DE 4,90 METROS, VELOCIDADE DE 0,5 m/s E CAPACIDADE DE 9.000 PESSOAS/HORA  </t>
  </si>
  <si>
    <t>IM1892</t>
  </si>
  <si>
    <t xml:space="preserve">SERVIÇO DE TOPOGRAFIA PARA ALINHAMENTO DA CHAPA METÁLICA SOLDADA NA ESTRUTURA FRONTAL DO TÚNEL  </t>
  </si>
  <si>
    <t>IM1535</t>
  </si>
  <si>
    <t xml:space="preserve">CONJUNTO CAIXA TÉCNICA P/ CÂMERA FIXA (QUADRO + TRANSFORMADOR + RÉGUA E ACESSÓRIOS)  </t>
  </si>
  <si>
    <t xml:space="preserve">BOMBA HIDRÁULICA ALTA PRESSÃO MAC  </t>
  </si>
  <si>
    <t>IM1924</t>
  </si>
  <si>
    <t xml:space="preserve">MADEIRA PARA FORMA  </t>
  </si>
  <si>
    <t>IM1300</t>
  </si>
  <si>
    <t xml:space="preserve">FORNECIMENTO,TRANSPORTE E FIXAÇÃO DE PÓRTICO TUBULAR METÁLICO VÃO DE 15,20 m  </t>
  </si>
  <si>
    <t>IM1789</t>
  </si>
  <si>
    <t xml:space="preserve">ELEVADOR ELÉTRICO SEM CASA DE MÁQUINAS - 3 PARADAS  </t>
  </si>
  <si>
    <t>IM1896</t>
  </si>
  <si>
    <t xml:space="preserve">TUBO DE AÇO CARBONO 1"  </t>
  </si>
  <si>
    <t>IM1633</t>
  </si>
  <si>
    <t xml:space="preserve">LUMINARIA DE EMERGENCIA COM UMA LÂMPADA ELETRÔNICA DE 15W-220V, À PROVA DE TEMPO, GASES, VAPORES E PÓ, COM PROTEÇÃO E GRADE DE ALUMÍNIO FUNDIDO E VIDRO TRANSPARENTE, CUSTOMIZADA ANTI VANDALISMO  </t>
  </si>
  <si>
    <t>IM1754</t>
  </si>
  <si>
    <t xml:space="preserve">PISO EM GRANITO CINZA MAUA, PLACAS - ESPESSURA 2 cm  </t>
  </si>
  <si>
    <t>IM1439</t>
  </si>
  <si>
    <t xml:space="preserve">CUBÍCULO DE MÉDIA TENSÃO “CM 8.4-8.5-8.6-”, TIPO METAL CLAD, COM SECCIONADORA, AUXILIARES E INTERLIGAÇÕES, CLASSE 15 kv, CONFORME ESPECIFICAÇÃO TÉCNICA – EQUIPAMENTO ELÉTRICO E DIAGRAMA UNIFILAR ELÉTRICO  </t>
  </si>
  <si>
    <t>IM1819</t>
  </si>
  <si>
    <t xml:space="preserve">JUNTA ELASTICA EM PVC TIPO O-22  </t>
  </si>
  <si>
    <t>IM1673</t>
  </si>
  <si>
    <t xml:space="preserve">CONJUNTO CÂMERA FIXA DIGITAL IP + LENTE 12mm + CAIXA DE PROTEÇÃO E ACESSÓRIOS  </t>
  </si>
  <si>
    <t>IM1435</t>
  </si>
  <si>
    <t xml:space="preserve">CUBÍCULO DE MÉDIA TENSÃO “CM 4.1-4.2-4.3”, TIPO METALCLAD, COM SECCIONADORA, CLASSE 15 KV, CONFORME ESPECIFICAÇÃO TÉCNICA – EQUIPAMENTO ELÉTRICO E DIAGRAMA UNIFILAR ELÉTRICO  </t>
  </si>
  <si>
    <t>IM1438</t>
  </si>
  <si>
    <t xml:space="preserve">CUBÍCULO DE MÉDIA TENSÃO “CM 8.1-8.2-8.3-”, TIPO METAL CLAD, COM SECCIONADORA, CLASSE 15 kv, CONFORME ESPECIFICAÇÃO TÉCNICA – EQUIPAMENTO ELÉTRICO E DIAGRAMA UNIFILAR ELÉTRICO  </t>
  </si>
  <si>
    <t>IM1553</t>
  </si>
  <si>
    <t>IM1119</t>
  </si>
  <si>
    <t xml:space="preserve">APARELHO DE ANCORAGEM ATIVO DE 15 FIOS 5/8" (15,2MM)  </t>
  </si>
  <si>
    <t>IM1596</t>
  </si>
  <si>
    <t xml:space="preserve">SWITCH GIGABIT ETHERNET 24 PORTAS FO + 3 OU 4 PORTAS RJ45 - COMUTAÇÃO L3  </t>
  </si>
  <si>
    <t>IM1827</t>
  </si>
  <si>
    <t xml:space="preserve">MATERIAL DE CONSUMO PERFURATRIZ  </t>
  </si>
  <si>
    <t>IM1088</t>
  </si>
  <si>
    <t xml:space="preserve">BARRA DE AÇO CA-60 5,0MM  </t>
  </si>
  <si>
    <t>IM1466</t>
  </si>
  <si>
    <t xml:space="preserve">QUADRO DE DISTRIBUIÇÃO DE FORÇA "QF-ER", 460/265V, COMPLETA COM DISJUNTORES, BOMBA DE DRENAGEM – EQUIPAMENTO ELÉTRICO E DIAGRAMA UNIFILAR  </t>
  </si>
  <si>
    <t>IM1437</t>
  </si>
  <si>
    <t xml:space="preserve">CUBÍCULO DE MÉDIA TENSÃO “CM 5-6-7”, TIPO METAL CLAD, COM SECCIONADORA, MEDIÇÃO E DISJUNTOR A VÁCUO OU SF6 EXTRAÍVEL, MEDIÇÃO E RELÉS DE PROTEÇÃO COM MÓDULO DE SAÍDA, CLASSE 15 kv, CONFORME ESPECIFICAÇÃO TÉCNICA – EQUIPAMENTO ELÉTRICO E DIAGRAMA UNIFILAR ELÉTRICO  </t>
  </si>
  <si>
    <t>IM1837</t>
  </si>
  <si>
    <t xml:space="preserve">BOMBA SUBMERSÍVEL PARA ÁGUA SERVIDA Q=150m³/h  H=20 m.c.a.  </t>
  </si>
  <si>
    <t>IM1568</t>
  </si>
  <si>
    <t xml:space="preserve">FORNECIMENTO, INSTALAÇÃO, TESTE, CONFIGURAÇÃO E COMISSIONAMENTO DE CENTRAL DE DETECÇÃO E ALARME DE INCÊNDIOS COMPOSTA DE MÓDULO DE COMUNICAÇÃO EM LAÇO E DISPLAY COM TECLADO - SATÉLITE ENDEREÇÁVEL  </t>
  </si>
  <si>
    <t>IM1328</t>
  </si>
  <si>
    <t xml:space="preserve">PREPARO DO SOLO PARA PLANTIO DE GRAMA BATATAES  </t>
  </si>
  <si>
    <t>IM1888</t>
  </si>
  <si>
    <t xml:space="preserve">CONCRETO PROJETADO  </t>
  </si>
  <si>
    <t>IM1379</t>
  </si>
  <si>
    <t xml:space="preserve">CABO DE COBRE 16 MM² - ISOLAMENTO PARA 1 KV  </t>
  </si>
  <si>
    <t>IM1760</t>
  </si>
  <si>
    <t xml:space="preserve">VIDRO LISO DE SEGURANÇA, TEMPERADO INCOLOR - ESPESSURA 10 mm  </t>
  </si>
  <si>
    <t>IM1579</t>
  </si>
  <si>
    <t xml:space="preserve">PAINEL DE MENSAGENS VARIÁVEIS EXTERNO COM DIMENSÕES MÍNIMAS DE 5,0M DE LARGURA E 2,0M DE ALTURA – MATRIZ COMPLETA (FULL MATRIX) EM TEXTO/ 3 LINHAS – LED - COR ÂMBAR COM NO MÍNIMO DE 120 PIXELS DE LARGURA E 32 PIXELS DE ALTURA.  </t>
  </si>
  <si>
    <t>IM1836</t>
  </si>
  <si>
    <t xml:space="preserve">VÁLVULA DE RETENÇÃO VERTICAL DE AÇO 8"  </t>
  </si>
  <si>
    <t>IM1563</t>
  </si>
  <si>
    <t>IM1301</t>
  </si>
  <si>
    <t xml:space="preserve">FORNECIMENTO, TRANSPORTE E FIXAÇÃO DE SEMI-PÓRTICO TUBULAR EM BALANCO VÃO DE 5,10 m  </t>
  </si>
  <si>
    <t>IM1601</t>
  </si>
  <si>
    <t xml:space="preserve">UNIDADE E CONTROLE DO ANEMÔMETRO TIPO PADRÃO RACK 19”  </t>
  </si>
  <si>
    <t>IM1578</t>
  </si>
  <si>
    <t xml:space="preserve">MÓDULOS DE DETECÇÃO AUTOMÁTICA DE INCIDENTES TIPO CARTÃO  </t>
  </si>
  <si>
    <t>IM1636</t>
  </si>
  <si>
    <t xml:space="preserve">ELETRODUTO DE AÇO GALVANIZADO A FOGO, ROSCA BSP, TIPO PESADO, CONFORME NBR-5598, COM LUVA EM UMA DAS EXTREMIDADES, FORNECIDO EM BARRAS DE 3.000MM DE COMPRIMENTO, INCLUSIVE CONEXÕES E CAIXAS, Ø1.1/4"  </t>
  </si>
  <si>
    <t>IM1498</t>
  </si>
  <si>
    <t xml:space="preserve">TRANSFORMADOR DE FORÇA TIPO SECO, BAIXA TENSÃO (TF-01), POTÊNCIA NOMINAL 300 KVA, 13,8kV440-266V, TRIFÁSICO, FORNECIDO CONFORME DOC. ESPECIFICAÇÃO TÉCNICA - EQUIPAMENTO ELÉTRICO E DIAGRA/MAS UNIFILARES  </t>
  </si>
  <si>
    <t>IM1632</t>
  </si>
  <si>
    <t xml:space="preserve">LUMINÁRIA TIPO SOBREPOR COM REFLETOR EM CHAPA DE AÇO TRATADA E PINTURA ELETROSTÁTICA BRANCA, CORPO EM POLIÉSTER REFORÇADO COM FIBRA DE VIDRO, DIFUSOR EM ACRÍLICO DE ALTO IMPACTO, PARA DUAS LÂMPADAS FLUORESCENTES TUBULARES DE 32 W, COM REATOR ALOJADO NO CORPO.  </t>
  </si>
  <si>
    <t>IM1324</t>
  </si>
  <si>
    <t xml:space="preserve">GRAMA BATATAES EM PLACAS (PASPALUM NOTATUM)  </t>
  </si>
  <si>
    <t>IM1590</t>
  </si>
  <si>
    <t xml:space="preserve">SOFTWARE E LICENÇA DE SUPERVISÃO E OPERAÇÃO PARA SER INSTALADO NA ESTAÇÃO DE TRABALHO DE TODOS OS SISTEMAS DO CCO  </t>
  </si>
  <si>
    <t>IM1123</t>
  </si>
  <si>
    <t xml:space="preserve">TUBO DE FORMA TIPO "37 TSR 15,7" OU SIMILAR  </t>
  </si>
  <si>
    <t>IM1666</t>
  </si>
  <si>
    <t xml:space="preserve">CONJUNTO CAIXA TÉCNICA (QUADRO + FONTE 5VCC + PLACA CONTROLADORA + RÉGUA E ACESSÓRIOS)  </t>
  </si>
  <si>
    <t>IM1497</t>
  </si>
  <si>
    <t xml:space="preserve">TRANSFORMADOR DE FORÇA TIPO SECO MÉDIA TENSÃO TF-03 e TF-04), MONTADO EM CUBÍCULO, FECHADO, POTÊNCIA NOMINAL 1000 KVA, TRIFÁSICO, RELAÇÃO 13800-460/265V, FORNECIDO CONFORME ESPECIFICAÇÃO TÉCNICA – EQUIPAMENTO ELÉTRICO E DIAGRAMA UNIFILAR ELÉTRICO  </t>
  </si>
  <si>
    <t>IM1436</t>
  </si>
  <si>
    <t xml:space="preserve">CUBÍCULO DE MÉDIA TENSÃO “CM 4.5-4.6”, TIPO METALCLAD, COM SECCIONADORA, AUXILIAR E INTERLIGAÇÕES, CLASSE 15 KV, CONFORME ESPECIFICAÇÃO TÉCNICA – EQUIPAMENTO ELÉTRICO E DIAGRAMA UNIFILAR ELÉTRICO  </t>
  </si>
  <si>
    <t>IM1676</t>
  </si>
  <si>
    <t xml:space="preserve">CONJUNTO SENSOR ÓPTICO DE CO, NOX E OPACÍMETRO COMPLETO E INSTALADO  </t>
  </si>
  <si>
    <t>IM1653</t>
  </si>
  <si>
    <t xml:space="preserve">CABO FLEXÍVEL - ISOLAÇÃO EM PVC-90°C - CLASSE 4 OU 5 - 0,6/1kV - 3Cx6,0mm²  </t>
  </si>
  <si>
    <t>IM1457</t>
  </si>
  <si>
    <t xml:space="preserve">POSTE DE AÇO RETO SIMPLES, DE SEÇÃO CIRCULAR, SP-21, COM SUPORTE PARA MONTAGEM DE 1 LUMINÁRIA, PARA FIXAÇÃO COM CHUMBADORES, JANELA DE INSPEÇÃO, DIÂMETRO NA EXTREMIDADE DE 60 MM, COM 12,0 METROS DE ALTURA.  </t>
  </si>
  <si>
    <t>IM1504</t>
  </si>
  <si>
    <t xml:space="preserve">UNIDADE DE ENERGIA ININTERRUPTA "NOBREAK", 20 KVA COMPLETA COM BATERIAS SELADAS, 160 AH, ENTRADA TRIFÁSICA 220/127 V, SAÍDA TRIFÁSICA 220/127V, CONFORME DOC. ESPECIFICAÇÃO TÉCNICA – EQUIPAMENTO ELÉTRICO E DIAGRAMA UNIFILAR  </t>
  </si>
  <si>
    <t>IM1389</t>
  </si>
  <si>
    <t xml:space="preserve">CABO DE COBRE NÚ, PARA ATERRAMENTO - 50 MM²  </t>
  </si>
  <si>
    <t>IM1641</t>
  </si>
  <si>
    <t xml:space="preserve">CONDUTORES DE COBRE, ISOLAÇÃO 760V, BAIXA EMISSÃO DE GASES TÓXICOS QUANDO QUEIMAR, SEÇÃO, 35MM2  </t>
  </si>
  <si>
    <t>IM1564</t>
  </si>
  <si>
    <t xml:space="preserve">FORNECIMENTO, INSTALAÇÃO, TESTE E COMISSIONAMENTO DO CONJUNTO DE TELEFONE DE EMERGÊNCIA AO USUÁRIO (CALLBOX) E CAIXA DE PROTEÇÃO .  </t>
  </si>
  <si>
    <t>IM1589</t>
  </si>
  <si>
    <t xml:space="preserve">SOFTWARE E LICENÇA CLIENTE  </t>
  </si>
  <si>
    <t>IM1507</t>
  </si>
  <si>
    <t xml:space="preserve">DUTOS SUBTERRÂNEOS - PEAD DN.100mm  </t>
  </si>
  <si>
    <t>IM1887</t>
  </si>
  <si>
    <t xml:space="preserve">ANDAIME TUBULAR  </t>
  </si>
  <si>
    <t>IM1932</t>
  </si>
  <si>
    <t xml:space="preserve">GUIA DE AÇO PARA COMBWALL  </t>
  </si>
  <si>
    <t>IM1496</t>
  </si>
  <si>
    <t xml:space="preserve">TRANSFORMADOR DE FORÇA TIPO SECO MÉDIA TENSÃO TF-01 e TF-02), MONTADO EM CUBÍCULO, FECHADO, POTÊNCIA NOMINAL 1000 KVA, TRIFÁSICO, RELAÇÃO 13800-460/265V, FORNECIDO CONFORME ESPECIFICAÇÃO TÉCNICA – EQUIPAMENTO ELÉTRICO E DIAGRAMA UNIFILAR ELÉTRICO  </t>
  </si>
  <si>
    <t>IM1903</t>
  </si>
  <si>
    <t xml:space="preserve">TUBO DE INJEÇÃO E ACESSÓRIOS, COM DIÂMETRO DE 9,0 MM E COMPRIMENTO DE 1,3 METROS  </t>
  </si>
  <si>
    <t>IM1834</t>
  </si>
  <si>
    <t xml:space="preserve">TUBO DE FºFº - PONTA E BOLSA, CLASSE K9,DN 1000MM  </t>
  </si>
  <si>
    <t>IM1674</t>
  </si>
  <si>
    <t xml:space="preserve">CONJUNTO CÂMERA FIXA DIGITAL IP + LENTE 8mm + CAIXA DE PROTEÇÃO E ACESSÓRIOS  </t>
  </si>
  <si>
    <t>IM1713</t>
  </si>
  <si>
    <t xml:space="preserve">TELHA TRAPEZOIDAL DUPLA EM AÇO GALVANIZADO - E= 0,8 mm, REVESTIMENTO B, H=40 mm - PINTADA 1 FACE - MIOLO EM POLIURETANO E=30 mm  </t>
  </si>
  <si>
    <t>IM1360</t>
  </si>
  <si>
    <t xml:space="preserve">RESERVATÓRIO (INFERIOR + SUPERIOR) ÁGUA FRIA PARA ABASTECIMENTO  </t>
  </si>
  <si>
    <t>IM1365</t>
  </si>
  <si>
    <t xml:space="preserve">ELETRODUTO RÍGIDO DE PVC EM BARRAS DE 3M, COM ROSCA, CONFORME NORMA NBR-6150 CLASSE B, BITOLA: Ø4"  </t>
  </si>
  <si>
    <t>IM1545</t>
  </si>
  <si>
    <t xml:space="preserve">CONJUNTO CÂMERA MÓVEL DIGITAL IP + LENTE C/ ZOOM MOTORIZADO + CAIXA DE PROTEÇÃO C/ MOVIMENTADOR (PAN/TILT) E ACESSÓRIOS  </t>
  </si>
  <si>
    <t>IM1303</t>
  </si>
  <si>
    <t xml:space="preserve">SINALIZAÇÃO HORIZONTAL COM TERMOPLÁSTICO - HOT-SPRAY  </t>
  </si>
  <si>
    <t>IM1543</t>
  </si>
  <si>
    <t>IM1533</t>
  </si>
  <si>
    <t>IM1434</t>
  </si>
  <si>
    <t xml:space="preserve">CUBÍCULO DE MÉDIA TENSÃO “CM 1-2-3”, TIPO METALCLAD, COM SECCIONADORA, MEDIÇÃO E DISJUNTOR A VÁCUO OU SF6 EXTRAÍVEL, MEDIÇÃO E RELÉS DE PROTEÇÃO COM MÓDULO DE SAÍDA, CLASSE 15 KV, CONFORME ESPECIFICAÇÃO TÉCNICA – EQUIPAMENTO ELÉTRICO E DIAGRAMA UNIFILAR ELÉTRICO  </t>
  </si>
  <si>
    <t>IM1675</t>
  </si>
  <si>
    <t>IM1890</t>
  </si>
  <si>
    <t xml:space="preserve">FÔRMA METÁLICA COM APLICAÇÃO DE DESMOLDANTE - SHEAR KEY  </t>
  </si>
  <si>
    <t>IM1458</t>
  </si>
  <si>
    <t xml:space="preserve">POSTE DE AÇO RETO SIMPLES, DE SEÇÃO CIRCULAR, SP-6/8, COM SUPORTE PARA MONTAGEM DE 1 LUMINÁRIA, PARA FIXAÇÃO COM CHUMBADORES, JANELA DE INSPEÇÃO, DIÂMETRO NA EXTREMIDADE DE 60 MM, COM 5,0 METROS DE ALTURA.  </t>
  </si>
  <si>
    <t>IM1738</t>
  </si>
  <si>
    <t xml:space="preserve">EMBOÇO INTERNO - ARGAMASSA MISTA DE CIMENTO, CAL E AREIA 1:4/12  </t>
  </si>
  <si>
    <t>IM1425</t>
  </si>
  <si>
    <t xml:space="preserve">CAIXA DE PASSAGEM TIPO I COM TAMPA DE CONCRETO  </t>
  </si>
  <si>
    <t>IM1295</t>
  </si>
  <si>
    <t xml:space="preserve">FORNECIMENTO E TRANSPORTE DE PLACA DE AÇO GT+GT  </t>
  </si>
  <si>
    <t>IM1806</t>
  </si>
  <si>
    <t xml:space="preserve">GUARDA CORPO E CORRIMÃO EM TUBO DE AÇO INOX  </t>
  </si>
  <si>
    <t>IM1309</t>
  </si>
  <si>
    <t xml:space="preserve">MANUTENÇÃO DE PLACA INSTITUCIONAL  </t>
  </si>
  <si>
    <t xml:space="preserve">VB    </t>
  </si>
  <si>
    <t>IM1894</t>
  </si>
  <si>
    <t xml:space="preserve">REFRIGERAÇÃO DA CONCRETAGEM - EM OPERAÇÃO  </t>
  </si>
  <si>
    <t>IM1847</t>
  </si>
  <si>
    <t xml:space="preserve">BOMBA SUBMERSÍVEL PARA ÁGUA SERVIDA Q=50m³/h  H=45 m.c.a  </t>
  </si>
  <si>
    <t>IM1302</t>
  </si>
  <si>
    <t xml:space="preserve">SINALIZAÇÃO HORIZONTAL COM RESINA VINÍLICA OU ACRÍLICA  </t>
  </si>
  <si>
    <t>IM1902</t>
  </si>
  <si>
    <t xml:space="preserve">FORNECIMENTO E APLICAÇÃO DE INJEÇÃO NA JUNTA WATERSTOP A BASE RESINA-ÉPOXI OU MASSA PLASTICA COM RESISTÊNCIA A COMPRESSÃO &gt; 85 N/mm²  </t>
  </si>
  <si>
    <t>IM1311</t>
  </si>
  <si>
    <t xml:space="preserve">FOCO SEMAFÓRICO PP'S "GCR-1057-CONJUNTO 200 CONV. BP E GCR-1056-CONJUNTO 200 CONV. CS  </t>
  </si>
  <si>
    <t>IM1542</t>
  </si>
  <si>
    <t xml:space="preserve">CONJUNTO CÂMERA FIXA DIGITAL IP + DAI + LENTE 12mm + CAIXA DE PROTEÇÃO E ACESSÓRIOS  </t>
  </si>
  <si>
    <t>IM1296</t>
  </si>
  <si>
    <t xml:space="preserve">FORNECIMENTO E TRANSPORTE DE PLACA DE AÇO GT+AI  </t>
  </si>
  <si>
    <t>IM1113</t>
  </si>
  <si>
    <t xml:space="preserve">LUVA E PINO  DE PRENSAGEM Ø25MM  </t>
  </si>
  <si>
    <t>IM1544</t>
  </si>
  <si>
    <t>IM1906</t>
  </si>
  <si>
    <t xml:space="preserve">APARELHO DE ANCORAGEM ATIVO PARA CABOS PROTENSÃO 16 CORDOALHAS Ø15,2 mm  </t>
  </si>
  <si>
    <t>IM1422</t>
  </si>
  <si>
    <t xml:space="preserve">BANCO AUTOMÁTICO DE CAPACITORES PARA CORREÇÃO DE FATOR DE POTÊNCIA "CT-01", 440V, TRIFÁSICO, 200KVAR, MONTADO EM ARMÁRIOS METÁLICOS APROPRIADOS, COMPLETO CONF. ESPECIFICAÇÃO TECNICA E DIAGRAMA ELÉTRICO.  </t>
  </si>
  <si>
    <t>IM1842</t>
  </si>
  <si>
    <t xml:space="preserve">TUBO DE AÇO CARBONO EXTREMIDADE CHANFRADA, PRETO, SEM COSTURA, PROTEGIDO COM FITA ANTI-CORROSIVA, ASTM A-106 GRB, SCH-40 - Ø150 mm  </t>
  </si>
  <si>
    <t>IM1820</t>
  </si>
  <si>
    <t xml:space="preserve">JUNTA ELÁSTICA EM PVC TIPO O-32  </t>
  </si>
  <si>
    <t>IM1534</t>
  </si>
  <si>
    <t xml:space="preserve">CONJUNTO CAIXA TÉCNICA P/ CALLBOX (QUADRO + TRANSFORMADOR + RÉGUA E ACESSÓRIOS)  </t>
  </si>
  <si>
    <t>IM1648</t>
  </si>
  <si>
    <t xml:space="preserve">CONDUTORES DE COBRE, ISOLAÇÃO 760V, BAIXA EMISSÃO DE GASES TÓXICOS QUANDO QUEIMAR, SEÇÃO: 35MM2 SILICONE  </t>
  </si>
  <si>
    <t>IM1130</t>
  </si>
  <si>
    <t xml:space="preserve">TUBO DE CONCRETO D= 0,60m CLASSE PA-3  </t>
  </si>
  <si>
    <t>IM1711</t>
  </si>
  <si>
    <t xml:space="preserve">MONTAGEM DE ESTRUTURA METÁLICA PARA COBERTURA  </t>
  </si>
  <si>
    <t xml:space="preserve">TÁBUA DE 1ª 2,5 CM X 15,0 CM  </t>
  </si>
  <si>
    <t xml:space="preserve">FILLER  </t>
  </si>
  <si>
    <t>IM1833</t>
  </si>
  <si>
    <t xml:space="preserve">TUBO DE FºFº - PONTA E BOLSA, CLASSE K9,DN 800MM  </t>
  </si>
  <si>
    <t>IM1454</t>
  </si>
  <si>
    <t xml:space="preserve">LUMINÁRIA PÚBLICA LE120, DE LED (POTÊNCIA DE 190 A 210W) - 200W  </t>
  </si>
  <si>
    <t>IM1680</t>
  </si>
  <si>
    <t xml:space="preserve">FORNECIMENTO, INSTALAÇÃO, CONFIGURAÇÃO, TESTE E COMISSIONAMENTO DE DETECTOR DE FUMAÇA ÓPTICO EM TETO ENDEREÇÁVEL.  </t>
  </si>
  <si>
    <t>IM1655</t>
  </si>
  <si>
    <t xml:space="preserve">APOIO DE FIXAÇÃO DA CÂMERA FIXA INTERNO EM TÚNEL  </t>
  </si>
  <si>
    <t>IM1112</t>
  </si>
  <si>
    <t xml:space="preserve">LUVA E PINO  DE PRENSAGEM Ø20MM  </t>
  </si>
  <si>
    <t>IM1375</t>
  </si>
  <si>
    <t xml:space="preserve">CABO 120MM² - ISOLAMENTO PARA 0,7KV - CLASSE 4 FLEXÍVEL  </t>
  </si>
  <si>
    <t>IM1621</t>
  </si>
  <si>
    <t xml:space="preserve">PINTURA TUBULAÇÃO AÇO GALVANIZADO Ø 100 mm - VERMELHO SEGURANÇA  </t>
  </si>
  <si>
    <t>IM1325</t>
  </si>
  <si>
    <t xml:space="preserve">GRAMA SÃO CARLOS EM PLACAS (ANOXONOPUS OBTUSIFOLIUS)  </t>
  </si>
  <si>
    <t>IM1739</t>
  </si>
  <si>
    <t xml:space="preserve">EMBOÇO INTERNO DESEMPENADO PARA PINTURA - ARGAMASSA MISTA DE CIMENTO, CAL E AREIA 1:3/12  </t>
  </si>
  <si>
    <t>IM1411</t>
  </si>
  <si>
    <t>IM1304</t>
  </si>
  <si>
    <t xml:space="preserve">SINALIZAÇÃO HORIZONTAL COM TERMOPLÁSTICO - EXTRUDADO  </t>
  </si>
  <si>
    <t>IM1689</t>
  </si>
  <si>
    <t xml:space="preserve">PAINEL DE MENSAGENS VARIÁVEIS INFORMATIVO (PMI) INTERNO COM DIMENSÕES MÍNIMAS DE 1,5M DE LARGURA E 0,3M DE ALTURA – MATRIZ COMPLETA (FULL MATRIX) EM TEXTO/ 1 LINHA – LED - COR ÂMBAR  </t>
  </si>
  <si>
    <t>IM1384</t>
  </si>
  <si>
    <t xml:space="preserve">CABO DE COBRE 95 MM² - ISOLAMENTO PARA 1 KV  </t>
  </si>
  <si>
    <t>IM1506</t>
  </si>
  <si>
    <t>IM1605</t>
  </si>
  <si>
    <t xml:space="preserve">CIMENTADO COMUM, DESEMPENADO E ALISADO - ESPESSURA 20 mm  </t>
  </si>
  <si>
    <t>IM1597</t>
  </si>
  <si>
    <t xml:space="preserve">SWITCH GIGABIT ETHERNET 24 PORTAS RJ-45 + 3 OU 4 PORTAS MINI GBIC OU MÓDULO SFP - COMUTAÇÃO L3  </t>
  </si>
  <si>
    <t>IM1361</t>
  </si>
  <si>
    <t xml:space="preserve">CARRETEL DE MANGUEIRA SEMI-RÍGIDA (MANGOTINHO) L=30M E Ø25MM  </t>
  </si>
  <si>
    <t>IM1419</t>
  </si>
  <si>
    <t>IM1755</t>
  </si>
  <si>
    <t xml:space="preserve">PISO VINÍLICO CROMA OU SIMILAR - E=3,2 mm, EXCLUSIVE ARGAMASSA REGULARIZAÇÃO DA BASE  </t>
  </si>
  <si>
    <t>IM1635</t>
  </si>
  <si>
    <t xml:space="preserve">ELETRODUTO DE AÇO GALVANIZADO A FOGO, ROSCA BSP, TIPO PESADO, CONFORME NBR-5598, COM LUVA EM UMA DAS EXTREMIDADES, FORNECIDO EM BARRAS DE 3.000MM DE COMPRIMENTO, INCLUSIVE CONEXÕES E CAIXAS, Ø3/4"  </t>
  </si>
  <si>
    <t>IM1576</t>
  </si>
  <si>
    <t xml:space="preserve">INTERFACE ÓPTICA TIPO MÓDULO P/ ETHERNET TCP/IP  </t>
  </si>
  <si>
    <t>IM1381</t>
  </si>
  <si>
    <t xml:space="preserve">CABO DE COBRE 35 MM² - ISOLAMENTO PARA 1 KV  </t>
  </si>
  <si>
    <t>IM1099</t>
  </si>
  <si>
    <t xml:space="preserve">MATERIAL ELÉTRICO - CONDUTORES E PAINEIS  </t>
  </si>
  <si>
    <t>IM1529</t>
  </si>
  <si>
    <t xml:space="preserve">CENTRAL DE COMUNICAÇÃO DE BOMBEIROS  </t>
  </si>
  <si>
    <t>IM1527</t>
  </si>
  <si>
    <t xml:space="preserve">CAIXAS DE PASSAGEM - TIPO PI (700X700X1000mm)  </t>
  </si>
  <si>
    <t>IM1640</t>
  </si>
  <si>
    <t xml:space="preserve">CONDUTORES DE COBRE, ISOLAÇÃO 760V, BAIXA EMISSÃO DE GASES TÓXICOS QUANDO QUEIMAR, SEÇÃO, 25MM2  </t>
  </si>
  <si>
    <t>IM1865</t>
  </si>
  <si>
    <t xml:space="preserve">FURO EM CONCRETO Ø40mm PARA CHUMBADORES DE ø32  </t>
  </si>
  <si>
    <t>IM1480</t>
  </si>
  <si>
    <t xml:space="preserve">QUADRO DE DISTRIBUIÇÃO PARCIAL DE TENSÃO ESTABILIZADA PARA COMANDO "QDE-4.1.1, QDE-4.1.2, QDE-4.1.3, QDE-4.2.1, QDE-4.2.2 e QDE-4.2.3", 220/127V, COMPLETO COM DISJUNTORES, CONFORME DOC. ESPECIFICAÇÃO TÉCNICA – EQUIPAMENTO ELÉTRICO E DIAGRAMA UNIFILAR.  </t>
  </si>
  <si>
    <t>IM1418</t>
  </si>
  <si>
    <t xml:space="preserve">CABO FLEXÍVEL ISOLAMENTO DE PVC 1KV, BAIXA EMISSÃO DE GASES TÓXICOS, SEÇÃO: 5/CØ1,5MM²  </t>
  </si>
  <si>
    <t>IM1925</t>
  </si>
  <si>
    <t xml:space="preserve">MATERIAIS DIVERSOS  </t>
  </si>
  <si>
    <t>IM1479</t>
  </si>
  <si>
    <t xml:space="preserve">QUADRO DE DISTRIBUIÇÃO PARCIAL DE TENSÃO ESTABILIZADA PARA COMANDO "QDE-2.1.1, QDE-2.1.2, QDE-2.1.3, QDE-2.2.1, QDE-2.2.2 e QDE-2.2.3", 220/127V, COMPLETO COM DISJUNTORES, CONFORME DOC. ESPECIFICAÇÃO TÉCNICA – EQUIPAMENTO ELÉTRICO E DIAGRAMA UNIFILAR.  </t>
  </si>
  <si>
    <t>IM1452</t>
  </si>
  <si>
    <t xml:space="preserve">LUMINÁRIA PÚBLICA LE111, DE LED (POTÊNCIA DE 109 A 121W) -100W  </t>
  </si>
  <si>
    <t>IM1907</t>
  </si>
  <si>
    <t xml:space="preserve">ALVEOLIT - ESPESSURA DE 20MM  </t>
  </si>
  <si>
    <t>IM1404</t>
  </si>
  <si>
    <t xml:space="preserve">ELETRODUTO DE AÇO GALVANIZADO A FOGO, ROSCA BSP, TIPO PESADO, CONFORME NBR-5598, COM LUVA EM UMA DAS EXTREMIDADES, FORNECIDO EM BARRAS DE 3000 MM DE COMPRIMENTO, BITOLA Ø3”  </t>
  </si>
  <si>
    <t>IM1769</t>
  </si>
  <si>
    <t xml:space="preserve">FP.01 - GRADIL DE FERRO PERFILADO, TIPO PARQUE SEM MURETA - GP-5/DEPAVE  </t>
  </si>
  <si>
    <t>IM1594</t>
  </si>
  <si>
    <t xml:space="preserve">SUBBASTIDOR PARA MÓDULOS DE DETECÇÃO AUTOMÁTICA DE INCIDENTES PADRÃO RACK 19"  </t>
  </si>
  <si>
    <t>IM1549</t>
  </si>
  <si>
    <t xml:space="preserve">CONJUNTO DE CENTRAL DE MEGAFONIA (MATRIZ), COMPLETO E INSTALADO, COMPOSTO DE CPU PADRÃO 19" E CONSOLE DE SOM.  </t>
  </si>
  <si>
    <t>IM1390</t>
  </si>
  <si>
    <t>IM1681</t>
  </si>
  <si>
    <t xml:space="preserve">FORNECIMENTO, INSTALAÇÃO, TESTE E COMISSIONAMENTO DE TELEFONE DE EMERGÊNCIA P/ BOMBEIRO.  </t>
  </si>
  <si>
    <t>IM1860</t>
  </si>
  <si>
    <t xml:space="preserve">TELA NYLON P/ REVESTIMENTO POÇO FILTRANTE  </t>
  </si>
  <si>
    <t>IM1592</t>
  </si>
  <si>
    <t xml:space="preserve">SOFTWARE E LICENÇA PARA INTEGRAR E COMUNICAR COM OS CALL BOXES, INSTALADO NA ESTAÇÃO 2 DE TODOS OS SISTEMAS.  </t>
  </si>
  <si>
    <t>IM1719</t>
  </si>
  <si>
    <t xml:space="preserve">CA.09 - CAIXILHO EM ALUMÍNIO ANODIZADO - MAXIMAR  </t>
  </si>
  <si>
    <t>IM1788</t>
  </si>
  <si>
    <t xml:space="preserve">ELEVADOR ELÉTRICO SEM CASA DE MÁQUINAS - 2 PARADAS  </t>
  </si>
  <si>
    <t>IM1560</t>
  </si>
  <si>
    <t>IM1625</t>
  </si>
  <si>
    <t>IM1658</t>
  </si>
  <si>
    <t xml:space="preserve">CABO AFT POLARIZADO 1P X 14AWG BLINDADO - LAÇO DE COMUNICAÇÃO  </t>
  </si>
  <si>
    <t>IM1314</t>
  </si>
  <si>
    <t xml:space="preserve">POSTE COMPOSTO PARA SINALIZAÇÃO, DE ACORDO COM A CET-29  </t>
  </si>
  <si>
    <t>IM1307</t>
  </si>
  <si>
    <t xml:space="preserve">SUPORTE DE PLACAS DE SOLO ECOLÓGICO E COLAPSIVEL 75X75 mm  </t>
  </si>
  <si>
    <t>IM1427</t>
  </si>
  <si>
    <t xml:space="preserve">CAIXA PARA REDE DE DUTOS, TIPO "F" COM TAMPA DE CONCRETO  </t>
  </si>
  <si>
    <t>IM1111</t>
  </si>
  <si>
    <t xml:space="preserve">LUVA E PINO  DE PRENSAGEM Ø16MM  </t>
  </si>
  <si>
    <t>IM1367</t>
  </si>
  <si>
    <t xml:space="preserve">CONDUITE SEMI-FLEXIVEL CORRUGADO, FABRICADO EM POLIETILENO DE ALTA DENSIDADE (PEAD), Ø4”.  </t>
  </si>
  <si>
    <t>IM1356</t>
  </si>
  <si>
    <t>IM1567</t>
  </si>
  <si>
    <t xml:space="preserve">FORNECIMENTO, INSTALAÇÃO, TESTE, CONFIGURAÇÃO E COMISSIONAMENTO DE CENTRAL DE DETECÇÃO E ALARME DE INCÊNDIO (PRINCIPAL/ MESTRE), COMPOSTA DE CENTRAL DE LAÇO DE INCÊNDIO (CLASSE A) E DISPLAY COM TECLADO MODELO, COM CAPACIDADE MÍNIMA DE 4 LAÇOS INTELIGENTES ENDEREÇÁVEIS.  </t>
  </si>
  <si>
    <t>IM1720</t>
  </si>
  <si>
    <t xml:space="preserve">CA.17 - CAIXILHO EM ALUMÍNIO ANODIZADO - DE CORRER  </t>
  </si>
  <si>
    <t>IM1659</t>
  </si>
  <si>
    <t xml:space="preserve">CABO DE ÁUDIO POLARIZADO - 2 X 2,5mm² / 12 AWG BLD  </t>
  </si>
  <si>
    <t xml:space="preserve">PROTETOR DE CURA DO CONCRETO  </t>
  </si>
  <si>
    <t>IM1602</t>
  </si>
  <si>
    <t xml:space="preserve">VIDEO WALL 2 X 2 DISPLAYS DE LED COM BORDA FINA DE 46"  </t>
  </si>
  <si>
    <t>IM1528</t>
  </si>
  <si>
    <t xml:space="preserve">CENTRAL DE ATENDIMENTO AO USUÁRIO, COMPOSTA DE ESTAÇÃO DE CHAMADA DE MESA E MICROFONE PRIORITÁRIO (CENTRAL DE ATENDIMENTO AO USUÁRIO)  </t>
  </si>
  <si>
    <t>IM1556</t>
  </si>
  <si>
    <t xml:space="preserve">DISTRIBUIDOR INTERNO ÓPTICO COMPLETO DE 144 FIBRAS EM RACK DE 19"  </t>
  </si>
  <si>
    <t>IM1462</t>
  </si>
  <si>
    <t xml:space="preserve">QUADRO DE DISTRIBUIÇÃO DE FORÇA "QFBD-R2, R3 e R5", 460/265V, COMPLETA COM DISJUNTORES, BOMBA DE DRENAGEM – EQUIPAMENTO ELÉTRICO E DIAGRAMA UNIFILAR  </t>
  </si>
  <si>
    <t>IM1463</t>
  </si>
  <si>
    <t xml:space="preserve">QUADRO DE DISTRIBUIÇÃO DE FORÇA "QFBD-R6, R7 e R5.1", 460/265V, COMPLETA COM DISJUNTORES, BOMBA DE DRENAGEM – EQUIPAMENTO ELÉTRICO E DIAGRAMA UNIFILAR  </t>
  </si>
  <si>
    <t>IM1591</t>
  </si>
  <si>
    <t xml:space="preserve">SOFTWARE E LICENÇA DE SUPERVISÃO E CONTROLE - SCADA  </t>
  </si>
  <si>
    <t>IM1742</t>
  </si>
  <si>
    <t xml:space="preserve">EMBOÇO EXTERNO - ARGAMASSA DE CIMENTO E AREIA 1:3  </t>
  </si>
  <si>
    <t>IM1405</t>
  </si>
  <si>
    <t xml:space="preserve">ELETRODUTO DE AÇO GALVANIZADO A FOGO, ROSCA BSP, TIPO PESADO, CONFORME NBR-5598, COM LUVA EM UMA DAS EXTREMIDADES, FORNECIDO EM BARRAS DE 3000 MM DE COMPRIMENTO, BITOLA Ø4”  </t>
  </si>
  <si>
    <t>IM1523</t>
  </si>
  <si>
    <t>IM1310</t>
  </si>
  <si>
    <t xml:space="preserve">BPC - BRAÇO PROJETADO EM COLUNA (SINALIZAÇÃO VERTICAL) - PP DA CET-SP - "A2-191-DSV3 - COLUNA E BRAÇO 5x5,25  </t>
  </si>
  <si>
    <t>IM1688</t>
  </si>
  <si>
    <t xml:space="preserve">PAINEL DE MENSAGENS VARIÁVEIS INTERNO COM DIMENSÕES MÍNIMAS DE 4,0M DE LARGURA E 0,4M DE ALTURA – MATRIZ COMPLETA (FULL MATRIX) EM TEXTO/ 2 LINHAS - LED – COR ÂMBAR  </t>
  </si>
  <si>
    <t xml:space="preserve">PREGOS DE FERRO 18X30  </t>
  </si>
  <si>
    <t>IM1584</t>
  </si>
  <si>
    <t xml:space="preserve">RACK 19" DE 44U, COM ACESSÓRIOS DE FIXAÇÃO E VENTILADOR, COM PORTA FRONTAL COM VISOR VIDRO/ACRÍLICO, PLACAS DE FECHAMENTO LATERAIS COM ALETAS DE VENTILAÇÃO, PLACA TRASEIRA REMOVÍVEL E BANDEJAS DESLIZANTE.  </t>
  </si>
  <si>
    <t xml:space="preserve">CIMENTO PORTLAND CP II-32  </t>
  </si>
  <si>
    <t>IM1650</t>
  </si>
  <si>
    <t xml:space="preserve">ELETROCALHA PARA CABOS, COM TAMPA EM CHAPA DE AÇO GALVANIZADO A FOGO, TIPO PESADO, COMPRIMENTO DE 3000 MM: 400 X 100 COM 1 DIVISÓRIA (ILUMINAÇÃO)  </t>
  </si>
  <si>
    <t>IM1667</t>
  </si>
  <si>
    <t>IM1687</t>
  </si>
  <si>
    <t xml:space="preserve">INTERFACE REMOTA DO CONJUNTO DO SENSOR DE CO, NOX E OPACÍMETRO COMPLETO E INSTALADO  </t>
  </si>
  <si>
    <t>IM1546</t>
  </si>
  <si>
    <t xml:space="preserve">CONJUNTO COM 02 CANCELAS AUTOMÁTICAS COM BRAÇOS ARTICULÁVEIS E COMANDO ELETRÔNICO, COMPLETO E INSTALADO  </t>
  </si>
  <si>
    <t>IM1908</t>
  </si>
  <si>
    <t xml:space="preserve">PROTEÇÃO CATÓDICA, ATRAVÉS DO SISTEMA DE ANODO DE SACRIFÍCIO DE ALUMÍNIO, PARA OS ELEMENTOS ESTRUTURAIS APARENTES DE AÇO LOCALIZADOS NAS JUNTAS DE IMERSÃO  </t>
  </si>
  <si>
    <t>IM1814</t>
  </si>
  <si>
    <t xml:space="preserve">BOMBA HIDRÁULICA AP-500 (220V TRIFÁSICO)  </t>
  </si>
  <si>
    <t xml:space="preserve">DIA   </t>
  </si>
  <si>
    <t>IM1399</t>
  </si>
  <si>
    <t xml:space="preserve">SE-R1 E SE-R4, SUBESTAÇÃO POSTO SIMPLIFICADO COM TRANSFORMADOR ABRIGADO DE 300 KVA, 13,8KV-460/265V MEDIÇÃO EM BAIXA TENSÃO PARA ILUMINAÇÃO DA PASSAGEM INFERIOR E RESERVATÓRIO  </t>
  </si>
  <si>
    <t>IM1593</t>
  </si>
  <si>
    <t xml:space="preserve">SUB-BASTIDOR DE 19” PARA 15 INTERFACES ÓPTICAS COM FONTES DE ALIMENTAÇÃO, COMPLETO E INSTALADO  </t>
  </si>
  <si>
    <t>IM1536</t>
  </si>
  <si>
    <t xml:space="preserve">CONJUNTO CAIXA TÉCNICA P/ CÂMERA MÓVEL (QUADRO + TRANSFORMADOR + RÉGUA E ACESSÓRIOS)  </t>
  </si>
  <si>
    <t>IM1530</t>
  </si>
  <si>
    <t xml:space="preserve">CENTRAL DE TELEFONIA - PABX IP  </t>
  </si>
  <si>
    <t>IM1520</t>
  </si>
  <si>
    <t>IM1758</t>
  </si>
  <si>
    <t xml:space="preserve">ACABAMENTO PARA DEGRAU DE ESCADA EM PISO CIMENTÍCIO, VIBROPRENSADO A 240 TON - ALTA RESISTÊNCIA - ESPESSURA 2 cm - ANTIDERRAPANTE - LAVAGGIO - SELADO  </t>
  </si>
  <si>
    <t>IM1580</t>
  </si>
  <si>
    <t>IM1649</t>
  </si>
  <si>
    <t xml:space="preserve">LUMINARIA BLINDADA COM UMA LÂMPADA ELETRÔNICA DE 25W-220V, À PROVA DE TEMPO, GASES, VAPORES E PÓ, COM PROTEÇÃO E GRADE DE ALUMÍNIO FUNDIDO E VIDRO TRANSPARENTE, CUSTOMIZADA ANTI VANDALISMO  </t>
  </si>
  <si>
    <t>IM1131</t>
  </si>
  <si>
    <t xml:space="preserve">TUBO DE CONCRETO D= 0,60m CLASSE PA-4  </t>
  </si>
  <si>
    <t xml:space="preserve">DENTE P/ FRESADORA W-1900  </t>
  </si>
  <si>
    <t>IM1429</t>
  </si>
  <si>
    <t xml:space="preserve">CONJUNTO DE SEGURANÇA DIAZED COMPOSTO DE BASE, PARAFUSOS DE AJUSTE, FUSÍVEL 4A RÁPIDO, ANEL DE PROTEÇÃO E TAMPA  PARA TENSÕES DE 500V.  </t>
  </si>
  <si>
    <t>IM1127</t>
  </si>
  <si>
    <t xml:space="preserve">TUBO DE CONCRETO D= 0,50m CLASSE PA-3  </t>
  </si>
  <si>
    <t>IM1886</t>
  </si>
  <si>
    <t xml:space="preserve">MEDIDOR TRIORTOGONAL DE JUNTAS COM RELÓGIO COMPARADOR  </t>
  </si>
  <si>
    <t>IM1312</t>
  </si>
  <si>
    <t xml:space="preserve">BRAÇO PROJETADO (SINALIZAÇÃO SEMAFÓRICA) - PP'S DA CET - "CET-21, CET-22, CET-28, CET-28 e CET-36".  </t>
  </si>
  <si>
    <t>IM1582</t>
  </si>
  <si>
    <t xml:space="preserve">POSTE DE AÇO GALVANIZADO, TIPO RETO COM BASE E APOIO, H = 5,5 M PARA FIXAÇÃO DOS SENSORES  </t>
  </si>
  <si>
    <t>IM1348</t>
  </si>
  <si>
    <t xml:space="preserve">MANGUEIRA DE FIBRA SINTÉTICA COM REVESTIMENTO INTERNO DE BORRACHA, COM UNIÃO STORZ NAS DUAS EXTREMINDADES - Ø2 1/2" COM COMPRIMENTO DE 30 METROS  </t>
  </si>
  <si>
    <t>IM1915</t>
  </si>
  <si>
    <t xml:space="preserve">PRANCHÃO DE MADEIRA  </t>
  </si>
  <si>
    <t>IM1895</t>
  </si>
  <si>
    <t xml:space="preserve">REFRIGERAÇÃO DA CONCRETAGEM - STAND BY  </t>
  </si>
  <si>
    <t>IM1684</t>
  </si>
  <si>
    <t xml:space="preserve">FORNECIMENTO, INSTALAÇÃO, TESTE, CONFIGURAÇÃO E COMISSIONAMENTO DE AVISADOR AUDIOVISUAL DE EVACUAÇÃO DE EMERGÊNCIA + MÓDULO DE CONTROLE ENDEREÇÁVEL + FONTE SEGURA 24VCC.  </t>
  </si>
  <si>
    <t>IM1813</t>
  </si>
  <si>
    <t xml:space="preserve">PRENSA AP-900  </t>
  </si>
  <si>
    <t>IM1517</t>
  </si>
  <si>
    <t xml:space="preserve">BALIZADORES DE FAIXAS – SETA/ XIS  </t>
  </si>
  <si>
    <t>IM1428</t>
  </si>
  <si>
    <t xml:space="preserve">CONJUNTO DE 4 CHUMBADORES AÇO ZINCADO 7/8" X 500MM COM PA SP-176/8/21  </t>
  </si>
  <si>
    <t>IM1712</t>
  </si>
  <si>
    <t xml:space="preserve">TELHAS DE ALUMÍNIO PERFIL TRAPEZOIDAL - ESPESSURA 0,8 mm  </t>
  </si>
  <si>
    <t xml:space="preserve">PRANCHÃO 7,5 X 30,0 CM  </t>
  </si>
  <si>
    <t>IM1460</t>
  </si>
  <si>
    <t xml:space="preserve">QUADRO DE DISTRIBUIÇÃO DE FORÇA "QFBD-01", 460/265V, COMPLETA COM DISJUNTORES, BOMBA DE DRENAGEM – EQUIPAMENTO ELÉTRICO E DIAGRAMA UNIFILAR  </t>
  </si>
  <si>
    <t>IM1461</t>
  </si>
  <si>
    <t xml:space="preserve">QUADRO DE DISTRIBUIÇÃO DE FORÇA "QFBD-08/09/10/11", 460/265V, COMPLETA COM DISJUNTORES, BOMBA DE DRENAGEM – EQUIPAMENTO ELÉTRICO E DIAGRAMA UNIFILAR  </t>
  </si>
  <si>
    <t>IM1490</t>
  </si>
  <si>
    <t xml:space="preserve">QUADROS DE LUZ TUNEL QL-1.1 E QL-2.1-2.2, QL-2.3 GALERIA COMPLETA COM DISJUNTORES, CONFORME DOC. ESPECIFICAÇÃO TÉCNICA – EQUIPAMENTO ELÉTRICO E DIAGRAMA UNIFILAR.  </t>
  </si>
  <si>
    <t>IM1491</t>
  </si>
  <si>
    <t xml:space="preserve">QUADROS DE LUZ TUNEL QL-3.1 E QL-4.1 4.2, QL-4.3 GALERIA COMPLETA COM DISJUNTORES, CONFORME DOC. ESPECIFICAÇÃO TÉCNICA – EQUIPAMENTO ELÉTRICO E DIAGRAMA UNIFILAR.  </t>
  </si>
  <si>
    <t>IM1118</t>
  </si>
  <si>
    <t xml:space="preserve">APARELHO DE ANCORAGEM ATIVO DE 12 FIOS 5/8" (15,2MM)  </t>
  </si>
  <si>
    <t>IM1631</t>
  </si>
  <si>
    <t xml:space="preserve">GRELHA DE ALUMÍNIO- MODELO AT-DG-525 X 1225 DA TROX OU EQUIVALENTE  </t>
  </si>
  <si>
    <t>IM1660</t>
  </si>
  <si>
    <t xml:space="preserve">CABO DE SINAL AFT – 1P X 12AWG BLINDADO - LAÇO DE INCÊNDIO - CLASSE A  </t>
  </si>
  <si>
    <t>IM1305</t>
  </si>
  <si>
    <t xml:space="preserve">TACHA MONODIRECIONAL COM REFLETIVO PLÁSTICO  </t>
  </si>
  <si>
    <t>IM1516</t>
  </si>
  <si>
    <t xml:space="preserve">APOIO PARA FIXAÇÃO DO CONJUNTO DE BALIZADORES (CONJUNTO COM 3 BALIZADORES)  </t>
  </si>
  <si>
    <t>IM1519</t>
  </si>
  <si>
    <t>IM1770</t>
  </si>
  <si>
    <t xml:space="preserve">FP.02 - GRADIL DE FERRO PERFILADO, TIPO PARQUE COM MURETA - GPM-1/DEPAVE  </t>
  </si>
  <si>
    <t>IM1747</t>
  </si>
  <si>
    <t xml:space="preserve">FORRO EM RÉGUA DE PVC 200 mm - INCLUSIVE PERFIS DE FIXAÇÃO E ACABAMENTO  </t>
  </si>
  <si>
    <t>IM1424</t>
  </si>
  <si>
    <t xml:space="preserve">CAIXA DE PASSAGEM TIPO F COM TAMPA DE CONCRETO  </t>
  </si>
  <si>
    <t>IM1577</t>
  </si>
  <si>
    <t>IM1864</t>
  </si>
  <si>
    <t xml:space="preserve">GEOFORMA TEXTIL TENSORIZADA TIPO COLCHÃO - ESPESSURA DE 15CM  </t>
  </si>
  <si>
    <t>IM1831</t>
  </si>
  <si>
    <t xml:space="preserve">TELAR E TAMPÃO DE FERRO FUNDIDO  </t>
  </si>
  <si>
    <t>IM1790</t>
  </si>
  <si>
    <t xml:space="preserve">FORRO EM ALUMÍNIO  </t>
  </si>
  <si>
    <t>IM1566</t>
  </si>
  <si>
    <t>IM1551</t>
  </si>
  <si>
    <t xml:space="preserve">CONJUNTO SEMÁFORO INTERMITENTE COM 02 LÂMPADAS LED E SUPORTE DE FIXAÇÃO E ACESSÓRIOS, INTEGRADO COM COMANDO ELETRÔNICO DAS CANCELAS, COMPLETO E INSTALADO  </t>
  </si>
  <si>
    <t>IM1570</t>
  </si>
  <si>
    <t xml:space="preserve">FORNECIMENTO, MONTAGEM, TESTE, CONFIGURAÇÃO E COMISSIONAMENTO DE SENSOR DE ABERTURA DE PORTA.  </t>
  </si>
  <si>
    <t>IM1110</t>
  </si>
  <si>
    <t xml:space="preserve">LUVA E PINO  DE PRENSAGEM Ø12,5MM  </t>
  </si>
  <si>
    <t>IM1129</t>
  </si>
  <si>
    <t xml:space="preserve">TUBO DE CONCRETO D= 0,60m CLASSE PA-2  </t>
  </si>
  <si>
    <t>IM1383</t>
  </si>
  <si>
    <t xml:space="preserve">CABO DE COBRE 70 MM² - ISOLAMENTO PARA 1 KV  </t>
  </si>
  <si>
    <t>IM1313</t>
  </si>
  <si>
    <t xml:space="preserve">POSTE SIMPLES PARA SINALIZAÇÃO, DE ACORDO COM A CET-22  </t>
  </si>
  <si>
    <t>IM1812</t>
  </si>
  <si>
    <t xml:space="preserve">PRENSA AP-400  </t>
  </si>
  <si>
    <t>IM1885</t>
  </si>
  <si>
    <t xml:space="preserve">LONA DE POLIETILENO 200 micras  </t>
  </si>
  <si>
    <t>IM1797</t>
  </si>
  <si>
    <t xml:space="preserve">JUNTA/RETRAÇÃO COM LÁBIOS POLIMÉRICOS 15 ATÉ 40 mm  </t>
  </si>
  <si>
    <t xml:space="preserve">PONTALETES D=15 CM (TRONCO P/ ESC.)  </t>
  </si>
  <si>
    <t>IM1651</t>
  </si>
  <si>
    <t xml:space="preserve">TOMADA 2P+T 250v EM CONDULETE 1.1/4"  </t>
  </si>
  <si>
    <t>IM1521</t>
  </si>
  <si>
    <t>IM1385</t>
  </si>
  <si>
    <t xml:space="preserve">CABO DE COBRE 150 MM² - ISOLAMENTO PARA 1 KV  </t>
  </si>
  <si>
    <t>IM1618</t>
  </si>
  <si>
    <t>IM1647</t>
  </si>
  <si>
    <t xml:space="preserve">CONDUTORES DE COBRE, ISOLAÇÃO 760V, BAIXA EMISSÃO DE GASES TÓXICOS QUANDO QUEIMAR, SEÇÃO: 16MM2 SILICONE  </t>
  </si>
  <si>
    <t>IM1315</t>
  </si>
  <si>
    <t xml:space="preserve">FORNECIMENTO E INSTALAÇÃO DE CONTROLADOR SEMAFÓRICO DIGITAL  </t>
  </si>
  <si>
    <t>IM1515</t>
  </si>
  <si>
    <t xml:space="preserve">APOIO PARA FIXAÇÃO DO CONJUNTO DE BALIZADORES (CONJUNTO COM 2 BALIZADORES)  </t>
  </si>
  <si>
    <t>IM1668</t>
  </si>
  <si>
    <t>IM1029</t>
  </si>
  <si>
    <t>IM1133</t>
  </si>
  <si>
    <t xml:space="preserve">TUBO DE CONCRETO D= 0,80m CLASSE PA-3  </t>
  </si>
  <si>
    <t>IM1571</t>
  </si>
  <si>
    <t xml:space="preserve">GERENCIADOR DE PROCESSAMENTO DE IMAGENS  </t>
  </si>
  <si>
    <t>IM1104</t>
  </si>
  <si>
    <t xml:space="preserve">MOURÃO DE CONCRETO PRÉ-FABRICADO 9,5x10x250CM  </t>
  </si>
  <si>
    <t>IM1759</t>
  </si>
  <si>
    <t xml:space="preserve">VIDRO LISO COMUM, TRANSPARENTE INCOLOR - ESPESSURA 6 mm  </t>
  </si>
  <si>
    <t>IM1840</t>
  </si>
  <si>
    <t xml:space="preserve">SISTEMAS DE FIXAÇÃO PARA TUBULAÇÃO (CHUMBADORES E SUPORTES)  </t>
  </si>
  <si>
    <t>IM1852</t>
  </si>
  <si>
    <t xml:space="preserve">TÁBUA DE 3ª 2,5 CM X 30,0 CM  </t>
  </si>
  <si>
    <t>IM1342</t>
  </si>
  <si>
    <t xml:space="preserve">VÁLVULA DE RETENÇÃO EM BRONZE OU LATÃO, CLASSE 200LBS, MONTAGEM NA HORIZONTAL - Ø100MM  </t>
  </si>
  <si>
    <t>IM1846</t>
  </si>
  <si>
    <t>IM1552</t>
  </si>
  <si>
    <t>IM1656</t>
  </si>
  <si>
    <t xml:space="preserve">APOIO DE FIXAÇÃO DA CÂMERA MÓVEL INTERNO EM TÚNEL  </t>
  </si>
  <si>
    <t>IM1766</t>
  </si>
  <si>
    <t>IM1397</t>
  </si>
  <si>
    <t xml:space="preserve">HASTE PARA TERRA FABRICADA EM NÚCLEO DE AÇO COBERTURA DE COBRE COMPLETAMENTE SOLDADO A MESMA DIMENSÃO Ø5/8” X 3000 MM  </t>
  </si>
  <si>
    <t>IM1829</t>
  </si>
  <si>
    <t xml:space="preserve">TUBO DE FºFº - PONTA E BOLSA, CLASSE K7,DN 150MM  </t>
  </si>
  <si>
    <t>IM1526</t>
  </si>
  <si>
    <t xml:space="preserve">CABO VM 0,6/1KV(PT/VM) - 1X 2C X2,5 MM² - ALIMENTAÇÃO 24VCC  </t>
  </si>
  <si>
    <t>IM1121</t>
  </si>
  <si>
    <t xml:space="preserve">TUBO PEAD (HDPE) D = 200mm  </t>
  </si>
  <si>
    <t>IM1487</t>
  </si>
  <si>
    <t xml:space="preserve">QUADROS DE LUZ PREDIO, QL-2.4 AO 4.9 COMPLETA COM DISJUNTORES, CONFORME DOC. ESPECIFICAÇÃO TÉCNICA – EQUIPAMENTO ELÉTRICO E DIAGRAMA UNIFILAR.  </t>
  </si>
  <si>
    <t>IM1799</t>
  </si>
  <si>
    <t>IM1718</t>
  </si>
  <si>
    <t xml:space="preserve">PA.16 - PORTA EM ALUMÍNIO ANODIZADO, VENEZIANA - ABRIR, 1 FOLHA  </t>
  </si>
  <si>
    <t>IM1851</t>
  </si>
  <si>
    <t>IM1587</t>
  </si>
  <si>
    <t xml:space="preserve">SERVIDOR EM REDE DE GERENCIAMENTO DE TRÁFEGO  </t>
  </si>
  <si>
    <t>IM1588</t>
  </si>
  <si>
    <t xml:space="preserve">SERVIDOR PRINCIPAL  </t>
  </si>
  <si>
    <t>IM1569</t>
  </si>
  <si>
    <t xml:space="preserve">FORNECIMENTO, MONTAGEM, TESTE, CONFIGURAÇÃO E COMISSIONAMENTO DE MÓDULO MONITOR ENDEREÇÁVEL.  </t>
  </si>
  <si>
    <t>IM1721</t>
  </si>
  <si>
    <t xml:space="preserve">EP.06 - GRADE DE PROTEÇÃO EM FERRO REDONDO  </t>
  </si>
  <si>
    <t>IM1299</t>
  </si>
  <si>
    <t xml:space="preserve">COLOCAÇÃO DE PLACA AÉREA EM PÓRTICOS OU SEMI-PÓRTICO  </t>
  </si>
  <si>
    <t>IM1117</t>
  </si>
  <si>
    <t xml:space="preserve">APARELHO DE ANCORAGEM PARA CABOS PROTENSÃO ATIVA 12 FIOS - 12,7mm  </t>
  </si>
  <si>
    <t>IM1737</t>
  </si>
  <si>
    <t xml:space="preserve">CHAPISCO COMUM - ARGAMASSA DE CIMENTO E AREIA 1:3 - (REVESTIMENTO PAREDE INTERNA)  </t>
  </si>
  <si>
    <t>IM1540</t>
  </si>
  <si>
    <t xml:space="preserve">CONJUNTO CAIXA TÉCNICA PARA CONJUNTO SENSOR CO, NOX E OPACÍMETRO (QUADRO + FONTE DE ALIMENTAÇÃO + RÉGUA E ACESSÓRIOS)  </t>
  </si>
  <si>
    <t>IM1386</t>
  </si>
  <si>
    <t xml:space="preserve">CABO DE COBRE 185 MM² - ISOLAMENTO PARA 1 KV  </t>
  </si>
  <si>
    <t>IM1740</t>
  </si>
  <si>
    <t xml:space="preserve">AZULEJOS, JUNTA AMARRAÇÃO OU A PRUMO - ASSENTES COM ARGAMASSA COLANTE  </t>
  </si>
  <si>
    <t xml:space="preserve">PORTA DENTE P/ FRESADORA W-1900  </t>
  </si>
  <si>
    <t>IM1350</t>
  </si>
  <si>
    <t xml:space="preserve">TAMPA METÁLICA COM DIMENSÕES 1,0X1,0M COM VISOR DE VIDRO E SUPORTE METÁLICO PARA FIXAÇÃO NO ABRIGO DE CONCRETO  </t>
  </si>
  <si>
    <t>IM1128</t>
  </si>
  <si>
    <t xml:space="preserve">TUBO DE CONCRETO D= 0,50m CLASSE PA-4  </t>
  </si>
  <si>
    <t>IM1559</t>
  </si>
  <si>
    <t xml:space="preserve">FORNECIMENTO, INSTALAÇÃO, CONFIGURAÇÃO, TESTE E COMISSIONAMENTO DE ACIONADOR MANUAL ENDEREÇÁVEL.  </t>
  </si>
  <si>
    <t>IM1858</t>
  </si>
  <si>
    <t xml:space="preserve">ARGAMASSA DE CIMENTO E AREIA  </t>
  </si>
  <si>
    <t>IM1400</t>
  </si>
  <si>
    <t xml:space="preserve">SE-R8/9, SE-R10 E SE-R11, SUBESTAÇÃO POSTO SIMPLIFICADO COM TRANSFORMADOR ABRIGADO DE 300 KVA, 13,8KV-460/265V MEDIÇÃO EM BAIXA TENSÃO PARA ILUMINAÇÃO DA PASSAGEM INFERIOR E RESERVATÓRIO  </t>
  </si>
  <si>
    <t>IM1402</t>
  </si>
  <si>
    <t>IM1757</t>
  </si>
  <si>
    <t xml:space="preserve">ACABAMENTO PARA DEGRAU EM PISO CIMENTÍCIO, VIBRO-PRENSADO A 240 TON - ALTA RESISTÊNCIA - ESPESSURA 2 cm - LISO E ENCERADO  </t>
  </si>
  <si>
    <t>IM1690</t>
  </si>
  <si>
    <t xml:space="preserve">SUPORTE PARA PAINEL DE MENSAGENS VARIÁVEIS INTERNO  </t>
  </si>
  <si>
    <t>IM1488</t>
  </si>
  <si>
    <t xml:space="preserve">QUADROS DE LUZ PREDIO, QL-4.4 AO 4.8 COMPLETA COM DISJUNTORES, CONFORME DOC. ESPECIFICAÇÃO TÉCNICA – EQUIPAMENTO ELÉTRICO E DIAGRAMA UNIFILAR.  </t>
  </si>
  <si>
    <t>IM1626</t>
  </si>
  <si>
    <t xml:space="preserve">ABRIGO DE COMBATE A INCÊNDIO, TAMPA METÁLICA COM DIMENSÕES 1,20 X 0,90 X 0,30 M E SUPORTE METÁLICO PARA FIXAÇÃO EMBUTIDO NO CONCRETO  </t>
  </si>
  <si>
    <t>IM1779</t>
  </si>
  <si>
    <t xml:space="preserve">LAJOTA PRÉ-MOLDADA DE CONCRETO E=7 cm - JUNTA DE GRAMA  </t>
  </si>
  <si>
    <t>IM1856</t>
  </si>
  <si>
    <t xml:space="preserve">GRELHA DE CONCRETO 10X44X120CM - FCK 20 MPA  </t>
  </si>
  <si>
    <t>IM1583</t>
  </si>
  <si>
    <t xml:space="preserve">POSTE DE AÇO GALVANIZADO, TIPO RETO PARA CÂMERA EXTERNA H= 6,0 M  </t>
  </si>
  <si>
    <t>IM1467</t>
  </si>
  <si>
    <t xml:space="preserve">QUADRO DE DISTRIBUIÇÃO DE FORÇA "QGBT-01", 460/265V, COMPLETA COM DISJUNTORES, CONFORME DOC. ESPECIFICAÇÃO TÉCNICA – EQUIPAMENTO ELÉTRICO E DIAGRAMA UNIFILAR  </t>
  </si>
  <si>
    <t>IM1474</t>
  </si>
  <si>
    <t xml:space="preserve">QUADRO DE DISTRIBUIÇÃO DE FORÇA "QGLF", 220/127V, COMPLETA COM DISJUNTORES, CONFORME DOC. ESPECIFICAÇÃO TÉCNICA – EQUIPAMENTO ELÉTRICO E DIAGRAMA UNIFILAR  </t>
  </si>
  <si>
    <t>IM1370</t>
  </si>
  <si>
    <t xml:space="preserve">CABO 16MM² - ISOLAMENTO PARA 0,7K - CLASSE 4 FLEXÍVEL  </t>
  </si>
  <si>
    <t>IM1672</t>
  </si>
  <si>
    <t xml:space="preserve">BAGUETE LIMITADOR DE POLIETILENO  </t>
  </si>
  <si>
    <t>IM1420</t>
  </si>
  <si>
    <t xml:space="preserve">CABO DE COBRE SINGELO, TÊMPERA MOLE, ENCORDOAMENTO CLASSE 5, CLASSE DE TENSÃO 450/750 V, ANTICHAMA, BITOLA # 2,5 mm²  </t>
  </si>
  <si>
    <t>IM1306</t>
  </si>
  <si>
    <t xml:space="preserve">SUPORTE TUBULAR GALVANIZADO 2 1/2"  </t>
  </si>
  <si>
    <t>IM1706</t>
  </si>
  <si>
    <t xml:space="preserve">MANTA ASFÁLTICA ESPESSURA DE 4 mm COM VÉU DE POLIÉSTER COLADA A MAÇARICO  </t>
  </si>
  <si>
    <t>IM1105</t>
  </si>
  <si>
    <t xml:space="preserve">PLACA DE CONCRETO PARA MOURÃO 7x125x50CM  </t>
  </si>
  <si>
    <t>IM1109</t>
  </si>
  <si>
    <t xml:space="preserve">LUVA E PINO  DE PRENSAGEM Ø10MM  </t>
  </si>
  <si>
    <t>IM1455</t>
  </si>
  <si>
    <t xml:space="preserve">LUMINARIA REFLETOR PENDENTE COM UMA LÂMPADA VAPOR METÁLICA 250W/220V, À PROVA DE TEMPO, GASES, VAPORES E PÓ  </t>
  </si>
  <si>
    <t>IM1126</t>
  </si>
  <si>
    <t xml:space="preserve">TUBO DE CONCRETO D= 0,50m CLASSE PA-2  </t>
  </si>
  <si>
    <t>IM1329</t>
  </si>
  <si>
    <t xml:space="preserve">GRAMA EM PLACA SEM ADUBO  </t>
  </si>
  <si>
    <t>IM1562</t>
  </si>
  <si>
    <t>IM1575</t>
  </si>
  <si>
    <t xml:space="preserve">INTERFACE ÓPTICA TIPO MÓDULO P/ 4-20mA/ 0-10VDC  </t>
  </si>
  <si>
    <t>IM1380</t>
  </si>
  <si>
    <t xml:space="preserve">CABO DE COBRE 25 MM² - ISOLAMENTO PARA 1 KV  </t>
  </si>
  <si>
    <t>IM1122</t>
  </si>
  <si>
    <t xml:space="preserve">TUBO ANTIVANDALISMO  </t>
  </si>
  <si>
    <t>IM1327</t>
  </si>
  <si>
    <t xml:space="preserve">ORLA DE SEPARAÇÃO EM CONCRETO NC.26  </t>
  </si>
  <si>
    <t>IM1900</t>
  </si>
  <si>
    <t xml:space="preserve">APLICAÇÃO DE PRODUTO DESMOLDANTE A BASE DE ÓLEOS MINERAIS NAS JUNTAS SHEAR KEY  </t>
  </si>
  <si>
    <t>IM1403</t>
  </si>
  <si>
    <t xml:space="preserve">ELETRODUTO DE AÇO GALVANIZADO A FOGO, ROSCA BSP, TIPO PESADO, CONFORME NBR-5598, COM LUVA EM UMA DAS EXTREMIDADES, FORNECIDO EM BARRAS DE 3.000MM DE COMPRIMENTO, INCLUSIVE CONEXÕES E CAIXAS, Ø2"  </t>
  </si>
  <si>
    <t>IM1557</t>
  </si>
  <si>
    <t xml:space="preserve">ESTAÇÃO DE OPERAÇÃO E CONTROLE DE CFTV COMPOSTO DE 2 MONITORES LED 24", 1 CPU, 1 TECLADO E 1 MOUSE  </t>
  </si>
  <si>
    <t>IM1613</t>
  </si>
  <si>
    <t xml:space="preserve">TÊ DE REDUÇÃO DE AÇO CARBONO Ø100X75MM  </t>
  </si>
  <si>
    <t>IM1787</t>
  </si>
  <si>
    <t xml:space="preserve">PORTA CORTA-FOGO P90 - 1,05 X 2,10 m, COM DOBRADIÇAS E MOLAS SEM FERRAGEM  </t>
  </si>
  <si>
    <t xml:space="preserve">APOIO DO PORTA DENTE FREZAD. W 200  </t>
  </si>
  <si>
    <t>IM1610</t>
  </si>
  <si>
    <t xml:space="preserve">TUBO DE AÇO CARBONO EXTREMIDADE CHANFRADA, PRETO, SEM COSTURA,ASTM -120, SCH-40 - Ø75 mm  </t>
  </si>
  <si>
    <t>IM1637</t>
  </si>
  <si>
    <t>IM1753</t>
  </si>
  <si>
    <t xml:space="preserve">PISO PODOTÁTIL, ALERTA OU DIRECIONAL, EM BORRACHA SINTÉTICA ASSENTES COM ARGAMASSA  </t>
  </si>
  <si>
    <t>IM1628</t>
  </si>
  <si>
    <t xml:space="preserve">PONTALETES D=20 CM (TRONCO P/ ESC.)  </t>
  </si>
  <si>
    <t xml:space="preserve">SELANTE ASFÁLTICO POLIMERIZADO  </t>
  </si>
  <si>
    <t>IM1600</t>
  </si>
  <si>
    <t xml:space="preserve">UNIDADE CENTRAL DE CALL BOX  </t>
  </si>
  <si>
    <t>IM1679</t>
  </si>
  <si>
    <t>IM1108</t>
  </si>
  <si>
    <t xml:space="preserve">LUVA E PINO  DE PRENSAGEM Ø8,0MM  </t>
  </si>
  <si>
    <t>IM1417</t>
  </si>
  <si>
    <t xml:space="preserve">CABO FLEXÍVEL ISOLAMENTO DE PVC 1KV, BAIXA EMISSÃO DE GASES TÓXICOS, SEÇÃO: 12/CØ1,5MM²  </t>
  </si>
  <si>
    <t>IM1762</t>
  </si>
  <si>
    <t xml:space="preserve">TINTA ACRÍLICA - CONCRETO OU REBOCO SEM MASSA CORRIDA  </t>
  </si>
  <si>
    <t>IM1531</t>
  </si>
  <si>
    <t xml:space="preserve">CERTIFICAÇÃO DE REDE LÓGICA - ATÉ 50 PONTOS  </t>
  </si>
  <si>
    <t>IM1505</t>
  </si>
  <si>
    <t xml:space="preserve">CABO FLEXÍVEL - ISOLAÇÃO EM PVC-90°C - CLASSE 4 OU 5 - 0,6/1kV - 3Cx2,5mm²  </t>
  </si>
  <si>
    <t>IM1771</t>
  </si>
  <si>
    <t xml:space="preserve">FP.06 - GRADIL/PEITORIL DE FERRO PERFILADO H=1,00 m  </t>
  </si>
  <si>
    <t>IM1353</t>
  </si>
  <si>
    <t xml:space="preserve">BOMBA CENTRÍFUGA Hman = 40 mca Q=600l/min  </t>
  </si>
  <si>
    <t>IM1686</t>
  </si>
  <si>
    <t>IM1574</t>
  </si>
  <si>
    <t xml:space="preserve">INTERFACE ÓPTICA TIPO CARTÃO P/ 4-20mA/ 0-10VDC  </t>
  </si>
  <si>
    <t>IM1745</t>
  </si>
  <si>
    <t xml:space="preserve">FORRO FIBRA MINERAL MODELADO ÚMIDA - ACABAMENTO SUPERFÍCIE PINTURA VINÍLICA A BASE DE LÁTEX BRANCA - ESPESSURA 13 mm, NRC=0,50, CAC=MÍNIMO 35  </t>
  </si>
  <si>
    <t>IM1489</t>
  </si>
  <si>
    <t xml:space="preserve">QUADROS DE LUZ QL-SA1, 220/127V, COMPLETA COM DISJUNTORES, CONFORME DOC. ESPECIFICAÇÃO TÉCNICA – EQUIPAMENTO ELÉTRICO E DIAGRAMA UNIFILAR.  </t>
  </si>
  <si>
    <t>IM1308</t>
  </si>
  <si>
    <t xml:space="preserve">CONFECÇÃO, MONTAGEM E INSTALAÇÃO DE PLACA INSTITUCIONAL  </t>
  </si>
  <si>
    <t>IM1494</t>
  </si>
  <si>
    <t xml:space="preserve">TANQUE DE OLEO DIESEL EXTERNO PARA 1.000 LITROS  </t>
  </si>
  <si>
    <t>IM1717</t>
  </si>
  <si>
    <t xml:space="preserve">PF-28 - PORTA EM PERFIL DE CHAPA DOBRADA, VENEZIANA, ABRIR 2 FOLHAS  </t>
  </si>
  <si>
    <t>IM1664</t>
  </si>
  <si>
    <t>IM1326</t>
  </si>
  <si>
    <t xml:space="preserve">NR.10 - ORLA PARA ÁRVORE EM PARALELEPÍPEDO - 1,20 X 1,20 m  </t>
  </si>
  <si>
    <t>IM1622</t>
  </si>
  <si>
    <t xml:space="preserve">TÊ DE AÇO CARBONO FORJADO ASTM A-234 PARA 200LBS - Ø65MM  </t>
  </si>
  <si>
    <t>IM1743</t>
  </si>
  <si>
    <t xml:space="preserve">REVESTIMENTO COM GRAFIATTO  </t>
  </si>
  <si>
    <t>IM1518</t>
  </si>
  <si>
    <t xml:space="preserve">CONJUNTO SINALIZAÇÃO INDICADOR DE SAÍDA LED DE 5W COMPLETO E INSTALADO  </t>
  </si>
  <si>
    <t>IM1741</t>
  </si>
  <si>
    <t xml:space="preserve">CHAPISCO COMUM - ARGAMASSA DE CIMENTO E AREIA 1:3 - (REVESTIMENTO PAREDE EXTERNA)  </t>
  </si>
  <si>
    <t>IM1395</t>
  </si>
  <si>
    <t xml:space="preserve">CARTUCHO PARA CONEXÃO DE SOLDA EXOTÉRMICA COMPLETA COM MOLDE, ACENDEDOR E CARTUCHOS CABO/CABO  </t>
  </si>
  <si>
    <t>IM1746</t>
  </si>
  <si>
    <t xml:space="preserve">FORRO DE GESSO COMUM - PLACA CONVENCIONAL (FORNECIMENTO E INSTALAÇÃO)  </t>
  </si>
  <si>
    <t>IM1538</t>
  </si>
  <si>
    <t xml:space="preserve">CONJUNTO CAIXA TÉCNICA P/ PMV (QUADRO + TRANSFORMADOR + RÉGUA E ACESSÓRIOS)  </t>
  </si>
  <si>
    <t>IM1343</t>
  </si>
  <si>
    <t xml:space="preserve">VÁLVULA DE GLOBO ANGULAR 45º EM BRONZE, CLASSE 200 LBS, VEDAÇÃO EM BORRACHA ETILENO-PROPILENO, VOLANTE METÁLICO E HASTE ASCENDENTE - Ø2½"  </t>
  </si>
  <si>
    <t>IM1693</t>
  </si>
  <si>
    <t xml:space="preserve">BLOCOS VAZADOS DE CONCRETO - 14 cm  </t>
  </si>
  <si>
    <t>IM1801</t>
  </si>
  <si>
    <t xml:space="preserve">CAIXA DE INSPEÇÃO EM ALVENARIA DE TIJOLO MACIÇO 60X60X60CM, REVESTIDA INTERNAMENTE COM BARRA LISA (CIMENTO E AREIA, TRAÇO 1:4) E=2,0CM, COM TAMPA PRE-MOLDADA DE CONCRETO E FUNDO DE CONCRETO 15 MPA TIPO C - ESCAVAÇÃO E CONFECÇÃO  </t>
  </si>
  <si>
    <t>IM1107</t>
  </si>
  <si>
    <t xml:space="preserve">LUVA E PINO DE PRENSAGEM Ø6,3MM  </t>
  </si>
  <si>
    <t>IM1042</t>
  </si>
  <si>
    <t xml:space="preserve"> CONCRETO FCK 20 MPA  - COMERCIAL  </t>
  </si>
  <si>
    <t>IM1464</t>
  </si>
  <si>
    <t xml:space="preserve">QUADRO DE DISTRIBUIÇÃO DE FORÇA "QFBI-01", 460/265V, COMPLETA COM DISJUNTORES, BOMBA DE DRENAGEM – EQUIPAMENTO ELÉTRICO E DIAGRAMA UNIFILAR  </t>
  </si>
  <si>
    <t>IM1465</t>
  </si>
  <si>
    <t xml:space="preserve">QUADRO DE DISTRIBUIÇÃO DE FORÇA "QF-EL", 460/265V, COMPLETA COM DISJUNTORES, BOMBA DE DRENAGEM – EQUIPAMENTO ELÉTRICO E DIAGRAMA UNIFILAR  </t>
  </si>
  <si>
    <t>IM1475</t>
  </si>
  <si>
    <t xml:space="preserve">QUADRO DE DISTRIBUIÇÃO DE FORÇA "QGLF-2.1 E 2.2" 220/127V, COMPLETO COM DISJUNTORES, CONFORME DOC. ESPECIFICAÇÃO TÉCNICA – EQUIPAMENTO ELÉTRICO E DIAGRAMA UNIFILAR.  </t>
  </si>
  <si>
    <t>IM1476</t>
  </si>
  <si>
    <t xml:space="preserve">QUADRO DE DISTRIBUIÇÃO DE FORÇA "QGLF-4.1 E 4.2" 220/127V, COMPLETO COM DISJUNTORES, CONFORME DOC. ESPECIFICAÇÃO TÉCNICA – EQUIPAMENTO ELÉTRICO E DIAGRAMA UNIFILAR.  </t>
  </si>
  <si>
    <t>IM1477</t>
  </si>
  <si>
    <t xml:space="preserve">QUADRO DE DISTRIBUIÇÃO PARCIAL DE TENSÃO ESTABILIZADA DE EMERGÊNCIA "QDE 2.1-2.2" 220/127V, COMPLETO COM DISJUNTORES, CONFORME DOC. ESPECIFICAÇÃO TÉCNICA – EQUIPAMENTO ELÉTRICO E DIAGRAMA UNIFILAR.  </t>
  </si>
  <si>
    <t>IM1478</t>
  </si>
  <si>
    <t xml:space="preserve">QUADRO DE DISTRIBUIÇÃO PARCIAL DE TENSÃO ESTABILIZADA DE EMERGÊNCIA "QDE 4.1-4.2" 220/127V, COMPLETO COM DISJUNTORES, CONFORME DOC. ESPECIFICAÇÃO TÉCNICA – EQUIPAMENTO ELÉTRICO E DIAGRAMA UNIFILAR.  </t>
  </si>
  <si>
    <t>IM1492</t>
  </si>
  <si>
    <t xml:space="preserve">QUADROS DE LUZ, QL-TIPICO, COMPLETA COM DISJUNTORES, CONFORME DOC. ESPECIFICAÇÃO TÉCNICA – EQUIPAMENTO ELÉTRICO E DIAGRAMA UNIFILAR.  </t>
  </si>
  <si>
    <t>IM1493</t>
  </si>
  <si>
    <t xml:space="preserve">QUADROS DE LUZ, QL-TIPICO, PASSAGEM INFERIOR COMPLETA COM DISJUNTORES, CONFORME DOC. ESPECIFICAÇÃO TÉCNICA – EQUIPAMENTO ELÉTRICO E DIAGRAMA UNIFILAR.  </t>
  </si>
  <si>
    <t>IM1844</t>
  </si>
  <si>
    <t xml:space="preserve">VÁLVULA DE GAVETA DE AÇO Ø6"  </t>
  </si>
  <si>
    <t>IM1512</t>
  </si>
  <si>
    <t>IM1446</t>
  </si>
  <si>
    <t xml:space="preserve">FIO OU CABO DE COBRE TERMOPLÁSTICO, COM ISOLAMENTO PARA 1000V SEÇÃO DE 16.0 MM²  </t>
  </si>
  <si>
    <t>IM1665</t>
  </si>
  <si>
    <t xml:space="preserve">CONJUNTO ANEMÔMETRO COMPLETO E INSTALADO COM CABO DE INTERLIGAÇÃO  </t>
  </si>
  <si>
    <t>IM1671</t>
  </si>
  <si>
    <t xml:space="preserve">CONJUNTO CAIXA TÉCNICA PARA ANEMÔMETRO (QUADRO + FONTE DE ALIMENTAÇÃO 5 VCC + RÉGUA E ACESSÓRIOS)  </t>
  </si>
  <si>
    <t>IM1707</t>
  </si>
  <si>
    <t xml:space="preserve">REGULARIZAÇÃO COM ARGAMASSA DE CIMENTO E AREIA - TRAÇO 1:3, ESPESSURA MÉDIA 30 mm  </t>
  </si>
  <si>
    <t>IM1125</t>
  </si>
  <si>
    <t xml:space="preserve">SERVIÇO DE TENSIONAMENTO DE CORDOALHAS  </t>
  </si>
  <si>
    <t>IM1694</t>
  </si>
  <si>
    <t xml:space="preserve">BLOCOS VAZADOS DE CONCRETO - 19 cm  </t>
  </si>
  <si>
    <t>IM1685</t>
  </si>
  <si>
    <t>IM1774</t>
  </si>
  <si>
    <t xml:space="preserve">GRADIL DE FERRO GALVANIZADO ELETROFUNDIDO - BARRA 25X2 mm - MALHA 65X132 mm - MONTANTE COM DISTÂNCIA DE 1650 mm - SEM PINTURA  </t>
  </si>
  <si>
    <t>IM1661</t>
  </si>
  <si>
    <t xml:space="preserve">CABO FLEXÍVEL - ISOLAÇÃO EM PVC 90°C - CLASSE 4 OU 5 - 450/750V - 1C X 0,50mm² BLINDADO  </t>
  </si>
  <si>
    <t>IM1695</t>
  </si>
  <si>
    <t xml:space="preserve">BLOCOS VAZADOS DE CONCRETO APARENTE - 14 cm  </t>
  </si>
  <si>
    <t>IM1522</t>
  </si>
  <si>
    <t>IM1845</t>
  </si>
  <si>
    <t xml:space="preserve">VÁLVULA DE RETENÇÃO VERTICAL DE AÇO 6"  </t>
  </si>
  <si>
    <t>IM1373</t>
  </si>
  <si>
    <t xml:space="preserve">CABO 70MM² - ISOLAMENTO PARA 0,7KV - CLASSE 4 FLEXÍVEL  </t>
  </si>
  <si>
    <t>IM1558</t>
  </si>
  <si>
    <t xml:space="preserve">ESTAÇÃO DE TRABALHO - CENTRO DE OPERAÇÃO E SUPERVISÃO E CONTROLE COMPOSTA DE 2 MONITORES LED 24”, 1 CPU, 1 TECLADO, 1 MOUSE  </t>
  </si>
  <si>
    <t>IM1388</t>
  </si>
  <si>
    <t xml:space="preserve">CABO DE ENERGIA MULTIPOLAR, CLASSE DE TENSÃO 0,6/1KV, COM CONDUTORES DE COBRE, TÊMPERA MOLE, ISOLAÇÃO E COBERTURA EM PVC (70°C), NA SEGUINTE FORMAÇÃO: 1X3/C Ø2,5 MM²  </t>
  </si>
  <si>
    <t>IM1134</t>
  </si>
  <si>
    <t xml:space="preserve">TUBO DE CONCRETO D= 0,80m CLASSE PA-4  </t>
  </si>
  <si>
    <t>IM1132</t>
  </si>
  <si>
    <t xml:space="preserve">TUBO DE CONCRETO D= 0,80m CLASSE PA-2  </t>
  </si>
  <si>
    <t>IM1539</t>
  </si>
  <si>
    <t>IM1341</t>
  </si>
  <si>
    <t xml:space="preserve">LUVA DE REDUÇÃO DE AÇO CARBONO Ø75X65MM  </t>
  </si>
  <si>
    <t>IM1298</t>
  </si>
  <si>
    <t xml:space="preserve">COLOCAÇAO DE PLACA EM SUPÕRTE DE MADEIRA/METÁLICO - SOLO  </t>
  </si>
  <si>
    <t>IM1525</t>
  </si>
  <si>
    <t xml:space="preserve">CABO STP – CAT6A – 4P x 24AWG  </t>
  </si>
  <si>
    <t>IM1550</t>
  </si>
  <si>
    <t xml:space="preserve">CONJUNTO DE SENSORES DE DETECÇÃO DE ALTURA, COMPOSTO DE 02 TX E 02 RX, CAIXA DE PROTEÇÃO IP 67 E SUPORTE DE FIXAÇÃO, COMPLETO E INSTALADO.  </t>
  </si>
  <si>
    <t>IM1839</t>
  </si>
  <si>
    <t xml:space="preserve">GRELHA DE FºFº 0,41 X 0,41  </t>
  </si>
  <si>
    <t>IM1853</t>
  </si>
  <si>
    <t>IM1615</t>
  </si>
  <si>
    <t>IM1318</t>
  </si>
  <si>
    <t xml:space="preserve">PROTETOR TIPO PARQUE PARA ÁRVORES  </t>
  </si>
  <si>
    <t>IM1700</t>
  </si>
  <si>
    <t xml:space="preserve">PLACAS DE GRANILITE - 50 mm DE ESPESSURA  </t>
  </si>
  <si>
    <t>IM1319</t>
  </si>
  <si>
    <t xml:space="preserve">IPÊ AMARELO (TABEBUIA CHRYSOTRICHA)  </t>
  </si>
  <si>
    <t>IM1781</t>
  </si>
  <si>
    <t xml:space="preserve">REBAIXAMENTO DE GUIA  </t>
  </si>
  <si>
    <t>IM1614</t>
  </si>
  <si>
    <t>IM1511</t>
  </si>
  <si>
    <t xml:space="preserve">APOIO DE FIXAÇÃO DA CÂMERA FIXA INTERNO EM PAREDE  </t>
  </si>
  <si>
    <t>IM1499</t>
  </si>
  <si>
    <t xml:space="preserve">TRANSFORMADOR DE FORÇA TIPO SECO, BAIXA TENSÃO (TF-02), POTÊNCIA NOMINAL 50 KVA, 440-220/127V, TRIFÁSICO, FORNECIDO CONFORME DOC. ESPECIFICAÇÃO TÉCNICA - EQUIPAMENTO ELÉTRICO E DIAGRAMAS UNIFILARES  </t>
  </si>
  <si>
    <t>IM1669</t>
  </si>
  <si>
    <t>IM1335</t>
  </si>
  <si>
    <t xml:space="preserve">CONJUNTO MOTOR-BOMBA - ATÉ 2HP  </t>
  </si>
  <si>
    <t>IM1358</t>
  </si>
  <si>
    <t xml:space="preserve">LUVA DE REDUÇÃO DE AÇO CARBONO Ø65X32MM  </t>
  </si>
  <si>
    <t>IM1374</t>
  </si>
  <si>
    <t xml:space="preserve">CABO 95MM² - ISOLAMENTO PARA 0,7KV - CLASSE 4 FLEXÍVEL  </t>
  </si>
  <si>
    <t>IM1798</t>
  </si>
  <si>
    <t xml:space="preserve">ENCHIMENTO COM CONCRETO CELULAR  </t>
  </si>
  <si>
    <t>IM1330</t>
  </si>
  <si>
    <t xml:space="preserve">TUBO DE PVC RÍGIDO, SOLDÁVEL (LINHA ÁGUA) - 25MM (3/4")  </t>
  </si>
  <si>
    <t>IM1585</t>
  </si>
  <si>
    <t xml:space="preserve">SERVIDOR DE ARMAZENAMENTO DE IMAGENS - STORAGE  </t>
  </si>
  <si>
    <t>IM1394</t>
  </si>
  <si>
    <t xml:space="preserve">BARRA CHATA DE ALUMÍNIO TIPO FITA 1/4" X 3/4"  </t>
  </si>
  <si>
    <t>IM1586</t>
  </si>
  <si>
    <t xml:space="preserve">SERVIDOR DE IMPRESSÃO  </t>
  </si>
  <si>
    <t>IM1670</t>
  </si>
  <si>
    <t>IM1751</t>
  </si>
  <si>
    <t xml:space="preserve">PISO CERÂMICO ESMALTADO (PEI-5) - ASSENTADO COM ARGAMASSA COLANTE  </t>
  </si>
  <si>
    <t>IM1320</t>
  </si>
  <si>
    <t xml:space="preserve">IPÊ ROSA (TABEBUIA AVELLANEDAE)  </t>
  </si>
  <si>
    <t>IM1692</t>
  </si>
  <si>
    <t xml:space="preserve">TIJOLOS DE VIDRO - TIJOLINHO, 19X19 cm  </t>
  </si>
  <si>
    <t>IM1595</t>
  </si>
  <si>
    <t>IM1691</t>
  </si>
  <si>
    <t xml:space="preserve">TIJOLOS DE VIDRO - CANELADO, 19X19 cm  </t>
  </si>
  <si>
    <t>IM1849</t>
  </si>
  <si>
    <t xml:space="preserve">VÁLVULA DE GAVETA DE AÇO Ø4"  </t>
  </si>
  <si>
    <t>IM1752</t>
  </si>
  <si>
    <t xml:space="preserve">PISO PODOTÁTIL, ALERTA OU DIRECIONAL, EM BORRACHA SINTÉTICA ASSENTES COM COLA  </t>
  </si>
  <si>
    <t>IM1646</t>
  </si>
  <si>
    <t xml:space="preserve">ELETRODUTO FLEXÍVEL DE AÇO GALVANIZADO COM CAPA DE PVC COM CONECTORES MACHO E FÊMEA, TIPO SELATUBO, NAS SEÇÕES: Ø2” X 1500MM  </t>
  </si>
  <si>
    <t>IM1352</t>
  </si>
  <si>
    <t xml:space="preserve">VÁLVULA GAVETA EM AÇO CARBONO FLANGEADA, PARA 200LBS, Ø4”  </t>
  </si>
  <si>
    <t>IM1349</t>
  </si>
  <si>
    <t xml:space="preserve">ESGUICHO TIPO JATO SÓLIDO X NEBLINA - Ø2 1/2"  </t>
  </si>
  <si>
    <t>IM1709</t>
  </si>
  <si>
    <t xml:space="preserve">PROTEÇÃO MECÂNICA COM ARGAMASSA DE CIMENTO E AREIA - TRAÇO 1:7, ESPESSURA MÉDIA 30 mm  </t>
  </si>
  <si>
    <t>IM1412</t>
  </si>
  <si>
    <t xml:space="preserve">PLUGUE 2P+T 250v  </t>
  </si>
  <si>
    <t>IM1697</t>
  </si>
  <si>
    <t xml:space="preserve">ELEMENTO VAZADO DE CONCRETO - TIPO NEO-REX N.19C OU SIMILAR  </t>
  </si>
  <si>
    <t>IM1848</t>
  </si>
  <si>
    <t>IM1901</t>
  </si>
  <si>
    <t xml:space="preserve">FORNECIMENTO DE ACESSÓRIOS DE INSTALAÇÃO E MANGUEIRA FLEXIVEL PEAD-PN16, DIÂMETRO 25 mm PRESSÃO DE TRABALHO DE 200kg/cm²  </t>
  </si>
  <si>
    <t>IM1702</t>
  </si>
  <si>
    <t xml:space="preserve">CONDUTOR EM TUBO DE PVC RÍGIDO, PONTA E BOLSA - 150MM (6")  </t>
  </si>
  <si>
    <t>IM1537</t>
  </si>
  <si>
    <t xml:space="preserve">CONJUNTO CAIXA TÉCNICA P/ DETECÇÃO DE ALTURA (QUADRO + TRANSFORMADOR + CARTÃO CONTROLADOR + RÉGUA E ACESSÓRIOS)  </t>
  </si>
  <si>
    <t>IM1345</t>
  </si>
  <si>
    <t xml:space="preserve">TAMPÃO DE FERRO FUNDIDO COM INSCRIÇÃO INCÊNDIO 40X60CM  </t>
  </si>
  <si>
    <t>IM1410</t>
  </si>
  <si>
    <t xml:space="preserve">CONDUTORES DE COBRE, ISOLAÇÃO 760V, BAIXA EMISSÃO DE GASES TÓXICOS QUANDO QUEIMAR, SEÇÃO, 10MM2  </t>
  </si>
  <si>
    <t>IM1612</t>
  </si>
  <si>
    <t xml:space="preserve">TUBO DE AÇO CARBONO EXTREMIDADE CHANFRADA, PRETO, SEM COSTURA, ASTM -120, SCH-40 - Ø65MM  </t>
  </si>
  <si>
    <t>IM1321</t>
  </si>
  <si>
    <t xml:space="preserve">SIBIPIRUNA (CAESALPINIA PELTOPHOROIDES)  </t>
  </si>
  <si>
    <t>IM1392</t>
  </si>
  <si>
    <t xml:space="preserve">POÇO DE INSPEÇÃO DO ATERRAMENTO, DIMENSÃO (Ø250X250) MM COM TAMPA DE FERRO FUNDIDO, GALVANIZADO A FOGO  </t>
  </si>
  <si>
    <t>IM1336</t>
  </si>
  <si>
    <t xml:space="preserve">EXTINTOR PORTÁTIL DE PÓ QUÍMICO - BC-20B  </t>
  </si>
  <si>
    <t>IM1652</t>
  </si>
  <si>
    <t>IM1775</t>
  </si>
  <si>
    <t xml:space="preserve">CONCRETO DESEMPENADO E RIPADO (PMSP-DL.1009/47), 335 kg CIM/m³ - 7 cm  </t>
  </si>
  <si>
    <t>IM1609</t>
  </si>
  <si>
    <t>IM1763</t>
  </si>
  <si>
    <t xml:space="preserve">TINTA ACRÍLICA - REBOCO COM MASSA CORRIDA  </t>
  </si>
  <si>
    <t>IM1623</t>
  </si>
  <si>
    <t>IM1376</t>
  </si>
  <si>
    <t xml:space="preserve">CABO DE COBRE 4 MM² - ISOLAMENTO PARA 1 KV  </t>
  </si>
  <si>
    <t>IM1897</t>
  </si>
  <si>
    <t xml:space="preserve">CURVA DE AÇO CARBONO 1"  </t>
  </si>
  <si>
    <t>IM1598</t>
  </si>
  <si>
    <t xml:space="preserve">TECLADO JOYSTICK P/ CFTV  </t>
  </si>
  <si>
    <t>IM1323</t>
  </si>
  <si>
    <t xml:space="preserve">QUARESMEIRA (TIBOUCHINA GRANULOSA)  </t>
  </si>
  <si>
    <t>IM1532</t>
  </si>
  <si>
    <t>IM1617</t>
  </si>
  <si>
    <t xml:space="preserve">ADAPTADOR DE LATÃO STORZ - Ø2 1/2"  </t>
  </si>
  <si>
    <t>IM1619</t>
  </si>
  <si>
    <t>IM1339</t>
  </si>
  <si>
    <t>IM1795</t>
  </si>
  <si>
    <t xml:space="preserve">TORNEIRA DE MESA COM ACIONAMENTO MANUAL E FECHAMENTO AUTOMÁTICO  </t>
  </si>
  <si>
    <t>IM1726</t>
  </si>
  <si>
    <t xml:space="preserve">LAVATÓRIO DE LOUÇA INDIVIDUAL PARA PORTADORES DE DEFICIÊNCIA FÍSICA  </t>
  </si>
  <si>
    <t xml:space="preserve">INDENIZAÇÃO DE JAZIDA  </t>
  </si>
  <si>
    <t>IM1832</t>
  </si>
  <si>
    <t xml:space="preserve">GRELHA FERRO FUNDIDO BOCA LOBO GRS135  </t>
  </si>
  <si>
    <t>IM1393</t>
  </si>
  <si>
    <t xml:space="preserve">BARRA DE AÇO CA-25, DIÂMETRO 1/2" PARA SER EMBUTIDA DENTRO DA ARMADURA DA COLUNA OU PAREDE DE CONCRETO  </t>
  </si>
  <si>
    <t>IM1724</t>
  </si>
  <si>
    <t xml:space="preserve">BACIA SANITÁRIA ALTEADA PARA PORTADORES DE DEFICIÊNCIA FÍSICA  </t>
  </si>
  <si>
    <t>IM1340</t>
  </si>
  <si>
    <t>IM1408</t>
  </si>
  <si>
    <t xml:space="preserve">CABO DE COBRE SINGELO, TÊMPERA MOLE, ENCORDOAMENTO CLASSE 2, CLASSE DE TENSÃO 8,7/15KVV, COM ISOLAÇÃO EM BORRACHA ETILENO-PROPILENO EPR (90°C), CAPA EXTERNA EM PVC (70°C), SEÇÃO: Ø25MM²  </t>
  </si>
  <si>
    <t>IM1378</t>
  </si>
  <si>
    <t xml:space="preserve">CABO DE COBRE 10 MM² - ISOLAMENTO PARA 1 KV  </t>
  </si>
  <si>
    <t>IM1736</t>
  </si>
  <si>
    <t xml:space="preserve">TAMPO PARA BANCADA ÚMIDA - GRANITO CINZA MAUA POLIDO - ESPESSURA 2 cm  </t>
  </si>
  <si>
    <t>IM1821</t>
  </si>
  <si>
    <t xml:space="preserve">JUNTA ELÁSTICA EM PVC TIPO O-33  </t>
  </si>
  <si>
    <t>IM1764</t>
  </si>
  <si>
    <t xml:space="preserve">TINTA ACRÍLICA TEXTURADA  </t>
  </si>
  <si>
    <t>IM1561</t>
  </si>
  <si>
    <t xml:space="preserve">FORNECIMENTO, INSTALAÇÃO, CONFIGURAÇÃO, TESTE E COMISSIONAMENTO DE DETECTOR TÉRMICO PONTUAL EM TETO ENDEREÇÁVEL.  </t>
  </si>
  <si>
    <t>IM1334</t>
  </si>
  <si>
    <t xml:space="preserve">TUBO DE PVC RÍGIDO, SOLDÁVEL (LINHA ÁGUA) - 60MM (2")  </t>
  </si>
  <si>
    <t>IM1708</t>
  </si>
  <si>
    <t xml:space="preserve">PINTURA PROTETORA COM TINTA BETUMINOSA (PARA ARGAMASSA IMPERMEÁVEL) - 2 DEMÃOS  </t>
  </si>
  <si>
    <t>IM1750</t>
  </si>
  <si>
    <t xml:space="preserve">ARGAMASSA DE ALTA RESISTÊNCIA, TIPO MÉDIO - ESPESSURA 12 mm  </t>
  </si>
  <si>
    <t>IM1509</t>
  </si>
  <si>
    <t xml:space="preserve">APOIO DE FIXAÇÃO DA CÂMERA FIXA EXTERNO EM PAREDE  </t>
  </si>
  <si>
    <t>IM1513</t>
  </si>
  <si>
    <t xml:space="preserve">APOIO DE FIXAÇÃO DA CÂMERA MÓVEL EXTERNO  </t>
  </si>
  <si>
    <t>IM1391</t>
  </si>
  <si>
    <t>IM1346</t>
  </si>
  <si>
    <t xml:space="preserve">TAMPÃO DE LATÃO STORZ - Ø 2 1/2"  </t>
  </si>
  <si>
    <t>IM1359</t>
  </si>
  <si>
    <t xml:space="preserve">LUVA DE REDUÇÃO DE AÇO CARBONO Ø32X25MM  </t>
  </si>
  <si>
    <t>IM1337</t>
  </si>
  <si>
    <t>IM1791</t>
  </si>
  <si>
    <t xml:space="preserve">CAIXA SIFONADA EM PVC 100X100X50MM SIMPLES - FORNECIMENTO E INSTALAÇÃO  </t>
  </si>
  <si>
    <t>IM1805</t>
  </si>
  <si>
    <t xml:space="preserve">TUBO DE PVC JS ESGOTO PREDIAL DN 100MM, INCLUSIVE CONEXÕES - FORNECIMENTO E INSTALAÇÃO  </t>
  </si>
  <si>
    <t>IM1714</t>
  </si>
  <si>
    <t xml:space="preserve">PM.02 - PORTA LISA COMUM/ ENCABEÇADA, REVESTIDA COM LAMINADO MELAMÍNICO (PARA INSTALAÇÃO SANITÁRIA) - 62X165 cm  </t>
  </si>
  <si>
    <t>IM1382</t>
  </si>
  <si>
    <t xml:space="preserve">CABO DE COBRE 50 MM² - ISOLAMENTO PARA 1 KV  </t>
  </si>
  <si>
    <t>IM1573</t>
  </si>
  <si>
    <t xml:space="preserve">IMPRESSORA MATRICIAL DE PONTOS - 180 COLUNAS  </t>
  </si>
  <si>
    <t>IM1347</t>
  </si>
  <si>
    <t>IM1698</t>
  </si>
  <si>
    <t xml:space="preserve">ELEMENTO VAZADO DE CONCRETO - TIPO NEO-REX N.23A OU SIMILAR  </t>
  </si>
  <si>
    <t>IM1483</t>
  </si>
  <si>
    <t xml:space="preserve">QUADRO PARA VENTILADORES "QCV-1, QCV-2 QCV-3 e QCV-4" 460V, COMPLETO COM DISJUNTORES, CHAVES SECCIONADORAS, FUSÍVEIS, CONTATORES, SOFTSTARTER, FILTRO DE HARMÔNICOS, CONFORME ESPECIFICAÇÃO TÉCNICA – EQUIPAMENTO ELÉTRICO E DIAGRAMA UNIFILAR  </t>
  </si>
  <si>
    <t>IM1354</t>
  </si>
  <si>
    <t xml:space="preserve">BOMBA "JOCKEY" CENTRÍFUGA Hman = 45 mca Q=20l/min  </t>
  </si>
  <si>
    <t>IM1891</t>
  </si>
  <si>
    <t xml:space="preserve">FÔRMA METÁLICA COM APLICAÇÃO DE DESMOLDANTE - NICHO DE MACAQUEAMENTO  </t>
  </si>
  <si>
    <t>IM1510</t>
  </si>
  <si>
    <t xml:space="preserve">APOIO DE FIXAÇÃO DA CÂMERA FIXA EXTERNO EM POSTE C/ PÁRA-RAIO  </t>
  </si>
  <si>
    <t>IM1699</t>
  </si>
  <si>
    <t xml:space="preserve">ELEMENTO VAZADO DE CONCRETO - TIPO NEO-REX N.78A OU SIMILAR  </t>
  </si>
  <si>
    <t>IM1603</t>
  </si>
  <si>
    <t>IM1398</t>
  </si>
  <si>
    <t xml:space="preserve">HASTES DE TERRA NUCLEO DE AÇO COPPERWELD 3/4"X2,40M  </t>
  </si>
  <si>
    <t>IM1500</t>
  </si>
  <si>
    <t xml:space="preserve">TRANSFORMADOR DE FORÇA TIPO SECO, BAIXA TENSÃO (TF-2.1), BLINDADO, POTÊNCIA NOMINAL 112,5KVA, 440-220/127V, TRIFÁSICO, FORNECIDO CONFORME DOC. ESPECIFICAÇÃO TÉCNICA - EQUIPAMENTO ELÉTRICO E DIAGRAMAS UNIFILARES  </t>
  </si>
  <si>
    <t>IM1501</t>
  </si>
  <si>
    <t xml:space="preserve">TRANSFORMADOR DE FORÇA TIPO SECO, BAIXA TENSÃO (TF-2.2), BLINDADO, POTÊNCIA NOMINAL 225KVA, 440-220/127V, TRIFÁSICO, FORNECIDO CONFORME DOC. ESPECIFICAÇÃO TÉCNICA - EQUIPAMENTO ELÉTRICO E DIAGRAMAS UNIFILARES  </t>
  </si>
  <si>
    <t>IM1502</t>
  </si>
  <si>
    <t xml:space="preserve">TRANSFORMADOR DE FORÇA TIPO SECO, BAIXA TENSÃO (TF-4.1), BLINDADO, POTÊNCIA NOMINAL 112,5KVA, 440-220/127V, TRIFÁSICO, FORNECIDO CONFORME DOC. ESPECIFICAÇÃO TÉCNICA - EQUIPAMENTO ELÉTRICO E DIAGRAMAS UNIFILARES  </t>
  </si>
  <si>
    <t>IM1503</t>
  </si>
  <si>
    <t xml:space="preserve">TRANSFORMADOR DE FORÇA TIPO SECO, BAIXA TENSÃO (TF-4.2), BLINDADO, POTÊNCIA NOMINAL 225KVA, 440-220/127V, TRIFÁSICO, FORNECIDO CONFORME DOC. ESPECIFICAÇÃO TÉCNICA - EQUIPAMENTO ELÉTRICO E DIAGRAMAS UNIFILARES  </t>
  </si>
  <si>
    <t>IM1616</t>
  </si>
  <si>
    <t>IM1704</t>
  </si>
  <si>
    <t xml:space="preserve">ARGAMASSA IMPERMEABILIZANTE DE CIMENTO E AREIA (REBOCO IMPERMEÁVEL) - TRAÇO 1:3, ESPESSURA DE 20 mm  </t>
  </si>
  <si>
    <t>IM1703</t>
  </si>
  <si>
    <t xml:space="preserve">CONDUTOR EM TUBO DE PVC RÍGIDO, PONTA E BOLSA - 200MM (8")  </t>
  </si>
  <si>
    <t>IM1468</t>
  </si>
  <si>
    <t xml:space="preserve">QUADRO DE DISTRIBUIÇÃO DE FORÇA "QGBT-1E ", 460/265V, COMPLETA COM DISJUNTORES, CONFORME DOC. ESPECIFICAÇÃO TÉCNICA – EQUIPAMENTO ELÉTRICO E DIAGRAMA UNIFILAR  </t>
  </si>
  <si>
    <t>IM1469</t>
  </si>
  <si>
    <t xml:space="preserve">QUADRO DE DISTRIBUIÇÃO DE FORÇA "QGBT-2E", 460/265V, COMPLETA COM DISJUNTORES, CONFORME DOC. ESPECIFICAÇÃO TÉCNICA – EQUIPAMENTO ELÉTRICO E DIAGRAMA UNIFILAR  </t>
  </si>
  <si>
    <t>IM1470</t>
  </si>
  <si>
    <t xml:space="preserve">QUADRO DE DISTRIBUIÇÃO DE FORÇA "QGBT-2N", 460/265V, COMPLETA COM DISJUNTORES, CONFORME DOC. ESPECIFICAÇÃO TÉCNICA – EQUIPAMENTO ELÉTRICO E DIAGRAMA UNIFILAR  </t>
  </si>
  <si>
    <t>IM1471</t>
  </si>
  <si>
    <t xml:space="preserve">QUADRO DE DISTRIBUIÇÃO DE FORÇA "QGBT-3E ", 460/265V, COMPLETA COM DISJUNTORES, CONFORME DOC. ESPECIFICAÇÃO TÉCNICA – EQUIPAMENTO ELÉTRICO E DIAGRAMA UNIFILAR  </t>
  </si>
  <si>
    <t>IM1472</t>
  </si>
  <si>
    <t xml:space="preserve">QUADRO DE DISTRIBUIÇÃO DE FORÇA "QGBT-4E", 460/265V, COMPLETA COM DISJUNTORES, CONFORME DOC. ESPECIFICAÇÃO TÉCNICA – EQUIPAMENTO ELÉTRICO E DIAGRAMA UNIFILAR  </t>
  </si>
  <si>
    <t>IM1473</t>
  </si>
  <si>
    <t xml:space="preserve">QUADRO DE DISTRIBUIÇÃO DE FORÇA "QGBT-4N", 460/265V, COMPLETA COM DISJUNTORES, CONFORME DOC. ESPECIFICAÇÃO TÉCNICA – EQUIPAMENTO ELÉTRICO E DIAGRAMA UNIFILAR  </t>
  </si>
  <si>
    <t>IM1485</t>
  </si>
  <si>
    <t xml:space="preserve">QUADROS DE FORÇA AR CONDICIONADO QL-AC1, COMPLETA COM DISJUNTORES, CONFORME DOC. ESPECIFICAÇÃO TÉCNICA – EQUIPAMENTO ELÉTRICO E DIAGRAMA UNIFILAR.  </t>
  </si>
  <si>
    <t>IM1486</t>
  </si>
  <si>
    <t xml:space="preserve">QUADROS DE FORÇA AR CONDICIONADO QL-AC2, COMPLETA COM DISJUNTORES, CONFORME DOC. ESPECIFICAÇÃO TÉCNICA – EQUIPAMENTO ELÉTRICO E DIAGRAMA UNIFILAR.  </t>
  </si>
  <si>
    <t>IM1572</t>
  </si>
  <si>
    <t xml:space="preserve">IMPRESSORA LASER / COLOR  </t>
  </si>
  <si>
    <t>IM1723</t>
  </si>
  <si>
    <t xml:space="preserve">BACIA SANITÁRIA SIFONADA, DE LOUÇA BRANCA  </t>
  </si>
  <si>
    <t>IM1696</t>
  </si>
  <si>
    <t xml:space="preserve">BLOCOS VAZADOS DE CONCRETO APARENTE - 19 cm  </t>
  </si>
  <si>
    <t>IM1484</t>
  </si>
  <si>
    <t xml:space="preserve">QUADRO PARA VENTILADORES "QCV-11, QCV-12 e QCV-13" 460V, COMPLETO COM DISJUNTORES, CHAVES SECCIONADORAS, FUSÍVEIS, CONTATORES, SOFTSTARTER, FILTRO DE HARMÔNICOS, CONFORME ESPECIFICAÇÃO TÉCNICA – EQUIPAMENTO ELÉTRICO E DIAGRAMA UNIFILAR  </t>
  </si>
  <si>
    <t>IM1921</t>
  </si>
  <si>
    <t xml:space="preserve">FORNECIMENTO DE AÇO CA-25, CORTADO E DOBRADO  </t>
  </si>
  <si>
    <t>IM1716</t>
  </si>
  <si>
    <t xml:space="preserve">PF-23 - PORTA EM PERFIL DE CHAPA DOBRADA, VENEZIANA, ABRIR 1 FOLHA  </t>
  </si>
  <si>
    <t>IM1624</t>
  </si>
  <si>
    <t>IM1407</t>
  </si>
  <si>
    <t xml:space="preserve">LEITO PARA CABOS, PERFILADO DE AÇO GALVANIZADO TIPO LEVE,COMPRIMENTO 3000 MM, ABA DE 100 MM, LARGURA DE 900 MM  </t>
  </si>
  <si>
    <t>IM1414</t>
  </si>
  <si>
    <t xml:space="preserve">LUMINARIA DE EMERGENCIA COM UMA LÂMPADA ELETRÔNICA DE 34W-220V, À PROVA DE TEMPO, GASES, VAPORES E PÓ, COM PROTEÇÃO E GRADE DE ALUMÍNIO FUNDIDO E VIDRO TRANSPARENTE, CUSTOMIZADA ANTI VANDALISMO  </t>
  </si>
  <si>
    <t>IM1772</t>
  </si>
  <si>
    <t xml:space="preserve">PP.38 - PORTÃO DE FERRO PERFILADO, TIPO PARQUE (GP.5/GPM1) 2,00 m, 1 FOLHA  </t>
  </si>
  <si>
    <t>IM1773</t>
  </si>
  <si>
    <t xml:space="preserve">PP.39/PP.40 - PORTÃO DE FERRO PERFILADO TIPO PARQUE (GP.5/GPM1) 3,0 m, 1 OU 2 FOLHAS  </t>
  </si>
  <si>
    <t>IM1735</t>
  </si>
  <si>
    <t xml:space="preserve">FRONTÃO OU TESTEIRA DE GRANITO CINZA MAUA - ALTURA ATÉ 10 cm  </t>
  </si>
  <si>
    <t xml:space="preserve">GÁS PROPANO  </t>
  </si>
  <si>
    <t>IM1749</t>
  </si>
  <si>
    <t>IM1620</t>
  </si>
  <si>
    <t xml:space="preserve">PINTURA TUBULAÇÃO AÇO GALVANIZADO Ø 75 mm - VERMELHO SEGURANÇA  </t>
  </si>
  <si>
    <t>IM1727</t>
  </si>
  <si>
    <t xml:space="preserve">LAVATÓRIO OVAL DE EMBUTIR, LOUÇA BRANCA - EXCLUSIVE TORNEIRA  </t>
  </si>
  <si>
    <t>IM1768</t>
  </si>
  <si>
    <t xml:space="preserve">ESMALTE SINTÉTICO - ESQUADRIAS E PEÇAS DE SERRALHERIA  </t>
  </si>
  <si>
    <t>IM1701</t>
  </si>
  <si>
    <t xml:space="preserve">CONDUTOR EM TUBO DE PVC RÍGIDO, PONTA E BOLSA - 100MM (4")  </t>
  </si>
  <si>
    <t>IM1705</t>
  </si>
  <si>
    <t xml:space="preserve">CIMENTO IMPERMEABILIZANTE DE CRISTALIZAÇÃO - ESTRUTUTURA ENTERRADA  </t>
  </si>
  <si>
    <t>IM1357</t>
  </si>
  <si>
    <t>IM1426</t>
  </si>
  <si>
    <t xml:space="preserve">CAIXA PARA REDE DE DUTOS, DIMENSÕES 30 X 30 X 40 CM  </t>
  </si>
  <si>
    <t>IM1317</t>
  </si>
  <si>
    <t xml:space="preserve">TUTOR E AMARILHO PARA ÁRVORES  </t>
  </si>
  <si>
    <t>IM1322</t>
  </si>
  <si>
    <t xml:space="preserve">PALMEIRA IMPERIAL (ROY STONEAOLERACEA)  </t>
  </si>
  <si>
    <t>IM1482</t>
  </si>
  <si>
    <t xml:space="preserve">QUADRO PARA VENTILADORES "QCV" 460 V, COMPLETA COM DISJUNTORES, CHAVES SECCIONADORAS, FUSÍVEIS, CONTATORES, SOFT STARTERS, FILTRO DE HARMÔNICOS, CONFORME ESPECIFICAÇÃO TÉCNICA – EQUIPAMENTO ELÉTRICO E DIAGRAMA UNIFILAR  </t>
  </si>
  <si>
    <t>IM1355</t>
  </si>
  <si>
    <t>IM1514</t>
  </si>
  <si>
    <t>IM1368</t>
  </si>
  <si>
    <t xml:space="preserve">CABO 4MM² - ISOLAMENTO PARA 0,7KV - CLASSE 4 FLEXÍVEL  </t>
  </si>
  <si>
    <t>IM1495</t>
  </si>
  <si>
    <t xml:space="preserve">TOMADA 2P+T 20A - 250V EM CX 4"x2"  </t>
  </si>
  <si>
    <t>IM1443</t>
  </si>
  <si>
    <t xml:space="preserve">ELETRODUTO DE FERRO GALVANIZADO,TIPO LEVE,DIAMETRO DE 2", INCLUSIVE CONEXOES E EMENDAS,EXCLUSIVE ABERTURA E FECHAMENTO DE RASGO. FORNECIMENTO E ASSENTAMENTO  </t>
  </si>
  <si>
    <t>IM1733</t>
  </si>
  <si>
    <t xml:space="preserve">PAPELEIRA DE LOUÇA BRANCA - 15X15 cm  </t>
  </si>
  <si>
    <t>IM1599</t>
  </si>
  <si>
    <t xml:space="preserve">TECLADO, MONITOR 17", MOUSE - KVM  </t>
  </si>
  <si>
    <t>IM1638</t>
  </si>
  <si>
    <t xml:space="preserve">CONDUTORES DE COBRE, ISOLAÇÃO 760V, BAIXA EMISSÃO DE GASES TÓXICOS QUANDO QUEIMAR, SEÇÃO: 3/C#1,5MM²  </t>
  </si>
  <si>
    <t>IM1372</t>
  </si>
  <si>
    <t xml:space="preserve">CABO 50MM² - ISOLAMENTO PARA 0,7KV - CLASSE 4 FLEXÍVEL  </t>
  </si>
  <si>
    <t>IM1369</t>
  </si>
  <si>
    <t xml:space="preserve">CABO 10MM² - ISOLAMENTO PARA 0,7K - CLASSE 4 FLEXÍVEL  </t>
  </si>
  <si>
    <t>IM1366</t>
  </si>
  <si>
    <t xml:space="preserve">ELETRODUTO DE AÇO GALVANIZADO A FOGO, TIPO SEMI-PESADO/ MÉDIO - 2" X 3M  </t>
  </si>
  <si>
    <t>IM1761</t>
  </si>
  <si>
    <t xml:space="preserve">TINTA PVA (LÁTEX) - REBOCO COM MASSA CORRIDA  </t>
  </si>
  <si>
    <t>IM1444</t>
  </si>
  <si>
    <t xml:space="preserve">ELETRODUTO PEAD, COR PRETA, DIAM. 4", MARCA REF. KANAFLEX OU EQUIVALENTE  </t>
  </si>
  <si>
    <t>IM1344</t>
  </si>
  <si>
    <t xml:space="preserve">TÊ DE AÇO CARBONO FORJADO ASTM A-234 PARA 200LBS - Ø100MM  </t>
  </si>
  <si>
    <t>IM1803</t>
  </si>
  <si>
    <t xml:space="preserve">TUBO DE PVC JS ESGOTO PREDIAL DN 50MM, INCLUSIVE CONEXÕES - FORNECIMENTO E INSTALAÇÃO  </t>
  </si>
  <si>
    <t>IM1782</t>
  </si>
  <si>
    <t xml:space="preserve">BARRA DE APOIO PARA LAVATÓRIO - EM "U" (BARRAS COM DIÂMETRO ENTRE 3,0 E 4,5 cm)  </t>
  </si>
  <si>
    <t>IM1456</t>
  </si>
  <si>
    <t xml:space="preserve">PLACA DE ATERRAMENTO COM PINO EM LIGA DE COBRE FUNDIDO E SUPERFÍCIE ESTANHADA, COM PARAFUSOS PARA INTERLIGAÇÕES DE AÇO INOX A SER EMBUTIDA NA ESTRUTURA DE CONCRETO E PINO SOLDADO A BARRA DE AÇO  </t>
  </si>
  <si>
    <t>IM1729</t>
  </si>
  <si>
    <t xml:space="preserve">TANQUE DE LOUÇA BRANCA, COM COLUNA, CAPACIDADE MÍNIMA 35L - EXCLUSIVE TORNEIRA  </t>
  </si>
  <si>
    <t>IM1783</t>
  </si>
  <si>
    <t xml:space="preserve">BARRA DE APOIO PARA DEFICIENTES L=45 cm (BARRAS COM DIÂMETRO ENTRE 3,0 E 4,5 cm)  </t>
  </si>
  <si>
    <t>IM1804</t>
  </si>
  <si>
    <t xml:space="preserve">TUBO DE PVC JS ESGOTO PREDIAL DN 75MM, INCLUSIVE CONEXÕES - FORNECIMENTO E INSTALAÇÃO  </t>
  </si>
  <si>
    <t>IM1731</t>
  </si>
  <si>
    <t xml:space="preserve">CUBA DUPLA DE AÇO INOXIDÁVEL CHAPA 20 - 700X400X150 mm  </t>
  </si>
  <si>
    <t>IM1734</t>
  </si>
  <si>
    <t xml:space="preserve">DISPENSER PAPEL TOALHA, DE PAREDE, MANUAL, PARA SANITÁRIOS - ABS - ALTO IMPACTO - AUTO CORTE  </t>
  </si>
  <si>
    <t>IM1406</t>
  </si>
  <si>
    <t xml:space="preserve">LEITO PARA CABOS, PERFILADO DE AÇO GALVANIZADO TIPO LEVE,COMPRIMENTO 3000 MM, ABA DE 100 MM, LARGURA DE 400 MM  </t>
  </si>
  <si>
    <t>IM1413</t>
  </si>
  <si>
    <t xml:space="preserve">LUMINARIA DE EMERGENCIA COM UMA LÂMPADA ELETRÔNICA DE 28W-220V, À PROVA DE TEMPO, GASES, VAPORES E PÓ, COM PROTEÇÃO E GRADE DE ALUMÍNIO FUNDIDO E VIDRO TRANSPARENTE, CUSTOMIZADA ANTI VANDALISMO  </t>
  </si>
  <si>
    <t>IM1786</t>
  </si>
  <si>
    <t xml:space="preserve">BARRA DE APOIO PARA LAVATÓRIO EM "L" - PPDF  </t>
  </si>
  <si>
    <t>IM1732</t>
  </si>
  <si>
    <t xml:space="preserve">BEBEDOURO ELÉTRICO COM SISTEMA DE REFRIGERAÇÃO E DUAS SAÍDAS - 80L  </t>
  </si>
  <si>
    <t>IM1450</t>
  </si>
  <si>
    <t xml:space="preserve">HASTE COBREADA PARA ATERRAMENTO DIÂMETRO 5/8" X 2,4M ( FORNECIMENTO E INSTALAÇÃO)  </t>
  </si>
  <si>
    <t xml:space="preserve">DESMOLDANTE  </t>
  </si>
  <si>
    <t>IM1645</t>
  </si>
  <si>
    <t xml:space="preserve">ELETRODUTO FLEXÍVEL DE AÇO GALVANIZADO COM CAPA DE PVC COM CONECTORES MACHO E FÊMEA, TIPO SELATUBO, NAS SEÇÕES: Ø3/4” X 1500MM  </t>
  </si>
  <si>
    <t>IM1785</t>
  </si>
  <si>
    <t xml:space="preserve">BARRA DE APOIO PARA DEFICIENTES L=90 cm (BARRAS COM DIÂMETRO ENTRE 3,0 E 4,5 cm)  </t>
  </si>
  <si>
    <t>IM1351</t>
  </si>
  <si>
    <t xml:space="preserve">MANÔMETRO INDUSTRIAL EM INOX, SAÍDA INFERIOR, MOSTRADOR Ø 100MM, ROSCA 1/2" NPT, ESCALA 0 A 20 KGF/CM², EXATIDÃO DE 1,5%, COM PREENCHIMENTO DE GLICERINA.  </t>
  </si>
  <si>
    <t>IM1800</t>
  </si>
  <si>
    <t xml:space="preserve">CAIXA DE GORDURA SIMPLES EM CONCRETO PRE-MOLDADO DN40MM COM TAMPA - FORNECIMENTO E INSTALAÇÃO  </t>
  </si>
  <si>
    <t>IM1722</t>
  </si>
  <si>
    <t xml:space="preserve">TUBO LEVE PVC RIGIDO D=300MM  </t>
  </si>
  <si>
    <t>IM1421</t>
  </si>
  <si>
    <t xml:space="preserve">TERMINAL AÉREO EM AÇO GALVANIZADO A FOGO ( H = 300mm X Ø3/8” ), COM FIXAÇÃO HORIZONTAL, SEM BANDEIRINHA.  </t>
  </si>
  <si>
    <t>IM1784</t>
  </si>
  <si>
    <t xml:space="preserve">BARRA DE APOIO PARA DEFICIENTES L=80 cm (BARRAS COM DIÂMETRO ENTRE 3,0 E 4,5 cm)  </t>
  </si>
  <si>
    <t>IM1715</t>
  </si>
  <si>
    <t xml:space="preserve">PM.03 - PORTA LISA ESPECIAL/ SÓLIDA PARA BOX, PARA PORTADORES DE DEFICIÊNCIA FÍSICA - 82X170 cm  </t>
  </si>
  <si>
    <t>IM1657</t>
  </si>
  <si>
    <t>IM1725</t>
  </si>
  <si>
    <t xml:space="preserve">LAVATÓRIO DE LOUÇA BRANCA, SEM COLUNA, CAPACIDADE MÍNIMA 5L, EXCLUSIVE TORNEIRA  </t>
  </si>
  <si>
    <t>IM1728</t>
  </si>
  <si>
    <t xml:space="preserve">MICTÓRIO INDIVIDUAL DE LOUÇA BRANCA, TIPO BACIA - DE CENTRO  </t>
  </si>
  <si>
    <t>IM1802</t>
  </si>
  <si>
    <t xml:space="preserve">TUBO DE PVC JS ESGOTO PREDIAL DN 40MM, INCLUSIVE CONEXÕES - FORNECIMENTO E INSTALAÇÃO  </t>
  </si>
  <si>
    <t>IM1442</t>
  </si>
  <si>
    <t xml:space="preserve">DISJUNTOR TRIPOLAR 50 A - NORMA DIN  </t>
  </si>
  <si>
    <t>IM1377</t>
  </si>
  <si>
    <t xml:space="preserve">CABO DE COBRE 6 MM² - ISOLAMENTO PARA 1 KV  </t>
  </si>
  <si>
    <t>IM1796</t>
  </si>
  <si>
    <t xml:space="preserve">BICA ALTA ARTICULÁVEL DE MESA - 1/2"  </t>
  </si>
  <si>
    <t>IM1333</t>
  </si>
  <si>
    <t xml:space="preserve">TUBO DE PVC RÍGIDO, SOLDÁVEL (LINHA ÁGUA) - 50MM (1 1/2")  </t>
  </si>
  <si>
    <t>IM1401</t>
  </si>
  <si>
    <t xml:space="preserve">ELETRODUTOS DE AÇO GALVANIZADO A FOGO, ROSCA BSP, TIPO PESADO, CONFORME NBR-5624, COM LUVA EM UMA DAS EXTREMIDADES, FORNECIDO EM BARRAS DE 3.000MM DE COMPRIMENTO, INCLUSIVE CONEXÕES E CAIXAS, Ø 4"  </t>
  </si>
  <si>
    <t>IM1371</t>
  </si>
  <si>
    <t xml:space="preserve">CABO 25MM² - ISOLAMENTO PARA 0,7KV - CLASSE 4 FLEXÍVEL  </t>
  </si>
  <si>
    <t>IM1430</t>
  </si>
  <si>
    <t xml:space="preserve">CONJUNTO DE TOMADAS PARA TELEFONE(RJ-11), EM CX. 4"x4" EMBUTIDA.  </t>
  </si>
  <si>
    <t xml:space="preserve">DISCO DIAM. SERRA ASFALTO SD8-034  </t>
  </si>
  <si>
    <t>IM1730</t>
  </si>
  <si>
    <t xml:space="preserve">CUBA SIMPLES DE AÇO INOXIDÁVEL CHAPA 20 - 500X400X200 mm  </t>
  </si>
  <si>
    <t>IM1481</t>
  </si>
  <si>
    <t xml:space="preserve">QUADRO PARA MEDIDOR PADRÃO CPFL  </t>
  </si>
  <si>
    <t>IM1416</t>
  </si>
  <si>
    <t>IM1898</t>
  </si>
  <si>
    <t xml:space="preserve">PLUGUE DE AÇO CARBONO 1"  </t>
  </si>
  <si>
    <t>IM1432</t>
  </si>
  <si>
    <t xml:space="preserve">CONJUNTO EQUIPADO COM 01 INTERRUPTOR SIMPLES BIPOLAR-10A - 250 V EM CX 4"x2"  </t>
  </si>
  <si>
    <t>IM1332</t>
  </si>
  <si>
    <t xml:space="preserve">TUBO DE PVC RÍGIDO, SOLDÁVEL (LINHA ÁGUA) - 40MM (1 1/4")  </t>
  </si>
  <si>
    <t>IM1415</t>
  </si>
  <si>
    <t>IM1440</t>
  </si>
  <si>
    <t xml:space="preserve">CURVA DE 90° EM AÇO GALVANIZADO A FOGO, PARA ELETRODUTOS, ROSCA BSP, NAS SEGUINTES BITOLAS: Ø 4"  </t>
  </si>
  <si>
    <t>IM1441</t>
  </si>
  <si>
    <t xml:space="preserve">CURVA DE 90° EM AÇO GALVANIZADO A FOGO, PARA ELETRODUTOS, ROSCA BSP, NAS SEGUINTES BITOLAS: Ø1.1/4"  </t>
  </si>
  <si>
    <t>IM1767</t>
  </si>
  <si>
    <t xml:space="preserve">ESMALTE SINTÉTICO - ESQUADRIAS E PEÇAS DE MARCENARIA, COM EMASSAMENTO  </t>
  </si>
  <si>
    <t>IM1423</t>
  </si>
  <si>
    <t xml:space="preserve">BARRA DE TERRA DE EQUALIZAÇÃO DE COBRE ESTANHADA, DIMENSÃO 1 1/2”X1/4”X300 MM COMPLETA COM PARAFUSOS, PORCAS E ARRUELAS DE LATÃO  </t>
  </si>
  <si>
    <t>IM1124</t>
  </si>
  <si>
    <t xml:space="preserve">PLACA DE ANCORAGEM "37 TSR 15,7" OU SIMILAR  </t>
  </si>
  <si>
    <t>IM1331</t>
  </si>
  <si>
    <t xml:space="preserve">TUBO DE PVC RÍGIDO, SOLDÁVEL (LINHA ÁGUA) - 32MM (1")  </t>
  </si>
  <si>
    <t>IM1451</t>
  </si>
  <si>
    <t xml:space="preserve">LUMINARIA ARANDELA BLINDADA COM UMA LÂMPADA ELETRÔNICA 25W/220V, À PROVA DE TEMPO, GASES, VAPORES E PÓ  </t>
  </si>
  <si>
    <t>IM1433</t>
  </si>
  <si>
    <t xml:space="preserve">CONJUNTO EQUIPADO COM 02 INTERRUPTORES SIMPLES BIPOLAR-10A - 250 V EM CX 4"x4"  </t>
  </si>
  <si>
    <t>IM1431</t>
  </si>
  <si>
    <t xml:space="preserve">CONJUNTO EQUIPADO COM 01 INTERRUPTOR INTERMEDIÁRIO BIPOLAR-10A - 250 V EM CX 4"x2"  </t>
  </si>
  <si>
    <t>IM1878</t>
  </si>
  <si>
    <t xml:space="preserve">RESINA DE ANCORAGEM  </t>
  </si>
  <si>
    <t xml:space="preserve">ASFALTO DILUÍDO CM-30  </t>
  </si>
  <si>
    <t>IM1035</t>
  </si>
  <si>
    <t xml:space="preserve">MERGULHADORES DE INSPEÇÃO -EQUIPE COMPOSTA POR 4 MERGULHADORES, 2 SUBMERSOS E 2 EM TERRA  </t>
  </si>
  <si>
    <t>IM1043</t>
  </si>
  <si>
    <t xml:space="preserve"> CONCRETO FCK 25 MPA  - COMERCIAL  </t>
  </si>
  <si>
    <t>IM1045</t>
  </si>
  <si>
    <t xml:space="preserve"> CONCRETO FCK 35 MPA  - COMERCIAL  </t>
  </si>
  <si>
    <t>IM1046</t>
  </si>
  <si>
    <t xml:space="preserve"> CONCRETO FCK 40 MPA, 24GPA - COMERCIAL  </t>
  </si>
  <si>
    <t>IM1049</t>
  </si>
  <si>
    <t xml:space="preserve">TAXA PARA BOMBEAMENTO DO CONCRETO  </t>
  </si>
  <si>
    <t>IM1061</t>
  </si>
  <si>
    <t xml:space="preserve">EXECUÇÃO DE PAREDE DIAFRAGMA EM SOLO COM CLAMSHELL HIDRAULICO ESP. 1,00M  </t>
  </si>
  <si>
    <t>IM1062</t>
  </si>
  <si>
    <t xml:space="preserve">EXECUÇÃO DE PAREDE DIAFRAGMA EM ROCHA ALTERADA COM HIDROFRESA ESP. 1,00M  </t>
  </si>
  <si>
    <t>IM1065</t>
  </si>
  <si>
    <t xml:space="preserve"> PERFURAÇÃO DE COLUNA JET GROUTING EM SOLO NATURAL  </t>
  </si>
  <si>
    <t>IM1077</t>
  </si>
  <si>
    <t xml:space="preserve">CONTROLE TECNOLOGICO DO CONCRETO  </t>
  </si>
  <si>
    <t>IM1080</t>
  </si>
  <si>
    <t xml:space="preserve">ADITIVO - METACAULIM  </t>
  </si>
  <si>
    <t>IM1084</t>
  </si>
  <si>
    <t xml:space="preserve">SE - MONTAGEM MANUAL DE ARMADURA &lt; 50KG/M³ - PROD. 13KG/H  </t>
  </si>
  <si>
    <t>IM1085</t>
  </si>
  <si>
    <t xml:space="preserve">SE - MONTAGEM MANUAL DE ARMADURA (50-100)KG/M³  </t>
  </si>
  <si>
    <t>IM1086</t>
  </si>
  <si>
    <t xml:space="preserve">SE - MONTAGEM MANUAL DE ARMADURA &gt;150KG/M³ - PROD. 30KG/H  </t>
  </si>
  <si>
    <t>IM1087</t>
  </si>
  <si>
    <t xml:space="preserve">BARRA DE AÇO CA-60 4,2MM  </t>
  </si>
  <si>
    <t>IM1090</t>
  </si>
  <si>
    <t xml:space="preserve">BARRA DE AÇO CA-50 6,3MM  </t>
  </si>
  <si>
    <t>IM1092</t>
  </si>
  <si>
    <t xml:space="preserve">BARRA DE AÇO CA-50 10,0MM  </t>
  </si>
  <si>
    <t>IM1094</t>
  </si>
  <si>
    <t xml:space="preserve">BARRA DE AÇO CA-50 32,0MM  </t>
  </si>
  <si>
    <t>IM1095</t>
  </si>
  <si>
    <t xml:space="preserve">ADICIONAL PARA VOLUME FALTANTE  </t>
  </si>
  <si>
    <t>IM1096</t>
  </si>
  <si>
    <t xml:space="preserve">ADICIONAL PARA CONCRETAGEM NOTURNA E SABADOS  </t>
  </si>
  <si>
    <t>IM1097</t>
  </si>
  <si>
    <t xml:space="preserve">ADICIONAL PARA CONCRETAGEM AOS DOMINGOS  </t>
  </si>
  <si>
    <t>IM1269</t>
  </si>
  <si>
    <t xml:space="preserve">EXECUÇÃO DE PAREDE DIAFRAGMA EM SOLO COM CLAMSHELL HIDRAULICO ESP. 0,60M  </t>
  </si>
  <si>
    <t>IM1270</t>
  </si>
  <si>
    <t xml:space="preserve">EXECUÇÃO DE PAREDE DIAFRAGMA EM SOLO COM CLAMSHELL HIDRAULICO ESP. 0,80M  </t>
  </si>
  <si>
    <t>IM1282</t>
  </si>
  <si>
    <t xml:space="preserve">PERFURAÇÃO DE ESTACÃO EM SOLO Ø = 1,20M  - SUBCONTRA  </t>
  </si>
  <si>
    <t>IM1283</t>
  </si>
  <si>
    <t xml:space="preserve">PERFURAÇÃO DE ESTACÃO EM SOLO Ø = 1,40M  - SUBCONTRA  </t>
  </si>
  <si>
    <t>IM1284</t>
  </si>
  <si>
    <t xml:space="preserve">PERFURAÇÃO DE ESTACÃO EM SOLO Ø = 1,60M  - SUBCONTRA  </t>
  </si>
  <si>
    <t>IM1285</t>
  </si>
  <si>
    <t xml:space="preserve">PERFURAÇÃO DE ESTACÃO EM SOLO Ø = 1,80M  - SUBCONTRA  </t>
  </si>
  <si>
    <t>IM1286</t>
  </si>
  <si>
    <t xml:space="preserve">PERFURAÇÃO DE ESTACÃO EM SOLO Ø = 0,70M  - SUBCONTRA  </t>
  </si>
  <si>
    <t>IM1287</t>
  </si>
  <si>
    <t xml:space="preserve">PERFURAÇÃO DE ESTACÃO EM SOLO Ø = 0,80M  - SUBCONTRA  </t>
  </si>
  <si>
    <t>IM1288</t>
  </si>
  <si>
    <t xml:space="preserve">PERFURAÇÃO DE ESTACÃO EM ROCHA Ø = 0,80M  - SUBCONTRA  </t>
  </si>
  <si>
    <t>IM1289</t>
  </si>
  <si>
    <t xml:space="preserve">PERFURAÇÃO DE ESTACÃO EM ROCHA Ø = 1,20M  - SUBCONTRA  </t>
  </si>
  <si>
    <t>IM1290</t>
  </si>
  <si>
    <t xml:space="preserve">PERFURAÇÃO DE ESTACÃO EM ROCHA Ø = 1,40M  - SUBCONTRA  </t>
  </si>
  <si>
    <t>IM1291</t>
  </si>
  <si>
    <t xml:space="preserve">PERFURAÇÃO DE ESTACÃO EM ROCHA Ø = 1,60M  - SUBCONTRA  </t>
  </si>
  <si>
    <t>IM1292</t>
  </si>
  <si>
    <t xml:space="preserve">PERFURAÇÃO DE ESTACÃO EM ROCHA Ø = 1,80M  - SUBCONTRA  </t>
  </si>
  <si>
    <t>IM1294</t>
  </si>
  <si>
    <t xml:space="preserve">POSICIONAMENTO DE ARMADURA EM ESTACÃO  </t>
  </si>
  <si>
    <t>IM1926</t>
  </si>
  <si>
    <t xml:space="preserve">ROLETE  </t>
  </si>
  <si>
    <t>IM1927</t>
  </si>
  <si>
    <t xml:space="preserve">TERNA  </t>
  </si>
  <si>
    <t>IM1928</t>
  </si>
  <si>
    <t xml:space="preserve">MATERIAL DE FIXAÇÃO  </t>
  </si>
  <si>
    <t>IM1935</t>
  </si>
  <si>
    <t xml:space="preserve">FORNITURA DI LAMIERINO DA RECUPERARE  </t>
  </si>
  <si>
    <t>IM1936</t>
  </si>
  <si>
    <t xml:space="preserve">TAMPA DO TUBO DE DRENO  </t>
  </si>
  <si>
    <t>IM1937</t>
  </si>
  <si>
    <t xml:space="preserve">CALZA IN GEOTESSUTO #100  </t>
  </si>
  <si>
    <t>IM1938</t>
  </si>
  <si>
    <t xml:space="preserve">TUBO DE DRENO PVC MICROPERFURADO Ø50MM  </t>
  </si>
  <si>
    <t>IM1939</t>
  </si>
  <si>
    <t xml:space="preserve">FORNITURA DI MANICOTTI DI GIUNZIONE  </t>
  </si>
  <si>
    <t>IM1941</t>
  </si>
  <si>
    <t xml:space="preserve">TUBO DE ALIMENTAÇÃO DE Ø30CM  </t>
  </si>
  <si>
    <t>IM1942</t>
  </si>
  <si>
    <t xml:space="preserve">TELA #100 VOLTA  </t>
  </si>
  <si>
    <t xml:space="preserve">TRANSPORTE - CIMENTO PORTLAND CP II-32  </t>
  </si>
  <si>
    <t xml:space="preserve">TKM   </t>
  </si>
  <si>
    <t xml:space="preserve">AREIA EXTRAÍDA COM ESCAVADEIRA HIDRÁULICA  </t>
  </si>
  <si>
    <t xml:space="preserve">TRANSPORTE - AREIA COMERCIAL  </t>
  </si>
  <si>
    <t xml:space="preserve">BRITA PRODUZIDA EM CENTRAL DE BRITAGEM DE 80 M3/H  </t>
  </si>
  <si>
    <t xml:space="preserve">TRANSPORTE - BRITA COMERCIAL  </t>
  </si>
  <si>
    <t xml:space="preserve">USINAGEM DE CBUQ (BINDER)  </t>
  </si>
  <si>
    <t xml:space="preserve">USINAGEM DE CBUQ (CAPA DE ROLAMENTO) AC/BC  </t>
  </si>
  <si>
    <t xml:space="preserve">MADEIRA  </t>
  </si>
  <si>
    <t xml:space="preserve">RACHÃO OU PEDRA-DE-MÃO COMERCIAL (CONT E REST)/ PC  </t>
  </si>
  <si>
    <t xml:space="preserve">MATERIAL FRESADO  </t>
  </si>
  <si>
    <t xml:space="preserve">FORNECIMENTO DE AÇO CA-25  </t>
  </si>
  <si>
    <t xml:space="preserve">SERVENTE  </t>
  </si>
  <si>
    <t>IH1001</t>
  </si>
  <si>
    <t xml:space="preserve">ARMADOR  - DIA / NOITE  </t>
  </si>
  <si>
    <t xml:space="preserve">ARMADOR  </t>
  </si>
  <si>
    <t xml:space="preserve">ENCARREG. DE PAVIMENTAÇÃO  </t>
  </si>
  <si>
    <t>IH1021</t>
  </si>
  <si>
    <t xml:space="preserve">OPERADOR DE EQUIP. PESADO - 2 TURNOS  </t>
  </si>
  <si>
    <t>IH1015</t>
  </si>
  <si>
    <t xml:space="preserve">FEITOR  - 2 TURNOS  </t>
  </si>
  <si>
    <t>IH1020</t>
  </si>
  <si>
    <t xml:space="preserve">AJUDANTE -2 TURNOS  </t>
  </si>
  <si>
    <t>IH1005</t>
  </si>
  <si>
    <t xml:space="preserve">AJUDANTE DE ELETRICISTA  </t>
  </si>
  <si>
    <t>IH1018</t>
  </si>
  <si>
    <t xml:space="preserve">PEDREIRO - 2 TURNOS  </t>
  </si>
  <si>
    <t xml:space="preserve">ENCARREGADO DE TURMA  </t>
  </si>
  <si>
    <t>IH1016</t>
  </si>
  <si>
    <t xml:space="preserve">SERVENTE - 2 TURNOS  </t>
  </si>
  <si>
    <t>IH1004</t>
  </si>
  <si>
    <t xml:space="preserve">ELETRICISTA  </t>
  </si>
  <si>
    <t xml:space="preserve">MOTORISTA DE CAMINHÃO  </t>
  </si>
  <si>
    <t xml:space="preserve">PEDREIRO  </t>
  </si>
  <si>
    <t xml:space="preserve">AJUDANTE  </t>
  </si>
  <si>
    <t xml:space="preserve">CARPINTEIRO - 2 TURNOS  </t>
  </si>
  <si>
    <t xml:space="preserve">CARPINTEIRO  </t>
  </si>
  <si>
    <t>IH1000</t>
  </si>
  <si>
    <t xml:space="preserve">ENCANADOR  </t>
  </si>
  <si>
    <t xml:space="preserve">OPERADOR DE EQUIPAMENTO LEVE 1  </t>
  </si>
  <si>
    <t>IH1008</t>
  </si>
  <si>
    <t xml:space="preserve">OPERADOR DE GRUA - ESPECIALIZADO - 2 TURNOS  </t>
  </si>
  <si>
    <t>IH1012</t>
  </si>
  <si>
    <t xml:space="preserve">FEITOR DE TURMA  </t>
  </si>
  <si>
    <t>IH1026</t>
  </si>
  <si>
    <t xml:space="preserve">MOTORISTA DE CAMINHÃO - 2 TURNOS  </t>
  </si>
  <si>
    <t>IH1011</t>
  </si>
  <si>
    <t xml:space="preserve">MECANICO - 2 TURNOS  </t>
  </si>
  <si>
    <t>IH1007</t>
  </si>
  <si>
    <t xml:space="preserve">OPERADOR DE CLAMSHELL - ESPECIALIZADO - 2 TURNOS  </t>
  </si>
  <si>
    <t xml:space="preserve">OPERADOR DE EQUIP. PESADO  </t>
  </si>
  <si>
    <t>IH1014</t>
  </si>
  <si>
    <t xml:space="preserve">OPERADOR IMPIANTISTA (SPECIALIZZATO) - 2 TURNOS  </t>
  </si>
  <si>
    <t>IH1024</t>
  </si>
  <si>
    <t xml:space="preserve">OPERADOR DE EQUIPAMENTO LEVE 1 - 2 TURNOS  </t>
  </si>
  <si>
    <t>IH1025</t>
  </si>
  <si>
    <t xml:space="preserve">SOLDADOR - 2 TURNOS  </t>
  </si>
  <si>
    <t>IH1003</t>
  </si>
  <si>
    <t xml:space="preserve">ENCARREGADO  - ELÉTRICA  </t>
  </si>
  <si>
    <t xml:space="preserve">OPERADOR DE EQUIPAMENTO LEVE 2  </t>
  </si>
  <si>
    <t>IH1013</t>
  </si>
  <si>
    <t xml:space="preserve">OPERADOR PERFURATRIZ  - ESPECIALIZADO - 2 TURNOS  </t>
  </si>
  <si>
    <t>IH1009</t>
  </si>
  <si>
    <t xml:space="preserve">OPERADOR DE BOMBA LAMA BETONITA - ESPECIALIZADO - 2 TURNOS  </t>
  </si>
  <si>
    <t xml:space="preserve">SOLDADOR  </t>
  </si>
  <si>
    <t xml:space="preserve">OPERADOR DE EQUIP. ESPECIAL  </t>
  </si>
  <si>
    <t>IH1022</t>
  </si>
  <si>
    <t xml:space="preserve">OPERADOR DE KELLY - 2 TURNOS  </t>
  </si>
  <si>
    <t>IH1029</t>
  </si>
  <si>
    <t xml:space="preserve">AJUTANTI MEZZI MARITIMI  </t>
  </si>
  <si>
    <t>IH1006</t>
  </si>
  <si>
    <t xml:space="preserve">OPERADOR DE HIDROFRESA - SUPER ESPECIALIZADO - 2 TURNOS  </t>
  </si>
  <si>
    <t xml:space="preserve">ENCARREGADO DE USINA  </t>
  </si>
  <si>
    <t>IH1027</t>
  </si>
  <si>
    <t xml:space="preserve">OPERADOR MARTELO VIBRATÓRIO- ESPECIALIZADO - 2 TURNOS  </t>
  </si>
  <si>
    <t>IH1002</t>
  </si>
  <si>
    <t xml:space="preserve">OPERADOR DE USINA / CENTRAL - 2 TURNOS  </t>
  </si>
  <si>
    <t xml:space="preserve">MONTADOR  </t>
  </si>
  <si>
    <t>IH1028</t>
  </si>
  <si>
    <t xml:space="preserve">OPERATI MEZZI MARITIMI  </t>
  </si>
  <si>
    <t>IE5084</t>
  </si>
  <si>
    <t xml:space="preserve">MARINE EQUIPEMENT FOR DRAGAGEM - 15  </t>
  </si>
  <si>
    <t xml:space="preserve">CAMINHÃO BASCULANTE 25 T  </t>
  </si>
  <si>
    <t xml:space="preserve">CAMINHÃO BETONEIRA 8M³  </t>
  </si>
  <si>
    <t>IE5056</t>
  </si>
  <si>
    <t xml:space="preserve">EQUIPAMENTO PARA INJEÇÃO DE JET GROUTING  </t>
  </si>
  <si>
    <t>IE5043</t>
  </si>
  <si>
    <t xml:space="preserve">GRUPO DE ESCAVAÇÃO COM KELLY  </t>
  </si>
  <si>
    <t>IE5087</t>
  </si>
  <si>
    <t xml:space="preserve">MARINE EQUIPEMENT FOR LANCIAMENTO RACHAO  </t>
  </si>
  <si>
    <t>IE5089</t>
  </si>
  <si>
    <t xml:space="preserve">MARINE EQUIPEMENT FOR DRAGAGEM E LANÇAMENTO DE AREIA  </t>
  </si>
  <si>
    <t>IE5080</t>
  </si>
  <si>
    <t xml:space="preserve">CENTRAL DOSADORA DE CONCRETO  </t>
  </si>
  <si>
    <t>IE5078</t>
  </si>
  <si>
    <t xml:space="preserve">GRUPO DE EQUIPAMENTO HIDROFRESA  </t>
  </si>
  <si>
    <t xml:space="preserve">COMPRESSOR DE AR - 295 PCM  </t>
  </si>
  <si>
    <t>IE5075</t>
  </si>
  <si>
    <t xml:space="preserve">CAMINHÃO DUMPER 25T  </t>
  </si>
  <si>
    <t>IE5040</t>
  </si>
  <si>
    <t xml:space="preserve">PÁ CARREGADEIRA W170ZB - 183 HP  </t>
  </si>
  <si>
    <t>IE5083</t>
  </si>
  <si>
    <t xml:space="preserve">MARINE EQUIPEMENT FOR COMBIWALL  </t>
  </si>
  <si>
    <t xml:space="preserve">CAMINHÃO PIPA 18.000 LT  </t>
  </si>
  <si>
    <t xml:space="preserve">GUINDASTE SOBRE PNEUS 30T  </t>
  </si>
  <si>
    <t xml:space="preserve">GUINDASTE SOBRE ESTEIRAS 100T  </t>
  </si>
  <si>
    <t>IE5054</t>
  </si>
  <si>
    <t xml:space="preserve">SONDA PERFURATRIZ  </t>
  </si>
  <si>
    <t xml:space="preserve">USINA DE ASFALTO A QUENTE : CIFALI : CIFALI MAGNUM 120 -  </t>
  </si>
  <si>
    <t>IE5072</t>
  </si>
  <si>
    <t xml:space="preserve">GUINDASTE SOBRE ESTEIRAS 250T  </t>
  </si>
  <si>
    <t>IE5077</t>
  </si>
  <si>
    <t xml:space="preserve">TORRE DE ILUMINAÇÃO  </t>
  </si>
  <si>
    <t>IE5052</t>
  </si>
  <si>
    <t xml:space="preserve">COMPRESSOR DE AR 21,9 M3/1'  </t>
  </si>
  <si>
    <t>IE5026</t>
  </si>
  <si>
    <t xml:space="preserve">CAMINHÃO MUNCK 5T  </t>
  </si>
  <si>
    <t>IE5082</t>
  </si>
  <si>
    <t xml:space="preserve">DRIVER MARINE EQUIPEMENT FOR DRAGAGEM  </t>
  </si>
  <si>
    <t>IE5045</t>
  </si>
  <si>
    <t xml:space="preserve">DESARENADOR COMPLETO 200 M3/HR  </t>
  </si>
  <si>
    <t>IE5091</t>
  </si>
  <si>
    <t xml:space="preserve">MARTELLO VIBRO PER TUBI DI ACCIAIO + POWER PACK  </t>
  </si>
  <si>
    <t>IE5046</t>
  </si>
  <si>
    <t xml:space="preserve">MOTOBOMBA DIESEL DE AGUA SUBMERSIVEL 15 MC/HR  </t>
  </si>
  <si>
    <t>IE5049</t>
  </si>
  <si>
    <t xml:space="preserve">MOTOSOLDADOR  </t>
  </si>
  <si>
    <t>IE5031</t>
  </si>
  <si>
    <t xml:space="preserve">ESCAVADEIRA HIDRAULICA 30T  </t>
  </si>
  <si>
    <t xml:space="preserve">CARREGADEIRA DE PNEUS  - 1,91 M3, COMBUSTIVEL E OPERAÇÃO  </t>
  </si>
  <si>
    <t xml:space="preserve">GUINDASTE SOBRE PNEUS 60T  </t>
  </si>
  <si>
    <t>IE5055</t>
  </si>
  <si>
    <t xml:space="preserve">MOTOBOMBA 700HP  </t>
  </si>
  <si>
    <t>IE5039</t>
  </si>
  <si>
    <t xml:space="preserve">CAMINHÃO ABASTECEDOR 10.000LT  </t>
  </si>
  <si>
    <t>IE5050</t>
  </si>
  <si>
    <t xml:space="preserve">EXTRATOR ESTACAS PRANCHAS  </t>
  </si>
  <si>
    <t>IE5053</t>
  </si>
  <si>
    <t xml:space="preserve">CAMINHÃO TOCO 5,3 M3  </t>
  </si>
  <si>
    <t>IE5092</t>
  </si>
  <si>
    <t xml:space="preserve">MARTELLO VIBRO PER PALANCOLE + POWER PACK  </t>
  </si>
  <si>
    <t>IE5057</t>
  </si>
  <si>
    <t xml:space="preserve">GRUPO GERADOR 136 KVA  </t>
  </si>
  <si>
    <t xml:space="preserve">VIBRADOR ELETRICO  </t>
  </si>
  <si>
    <t>IE5061</t>
  </si>
  <si>
    <t xml:space="preserve">CORREIA TRANSPORTADORA  </t>
  </si>
  <si>
    <t>IE5079</t>
  </si>
  <si>
    <t xml:space="preserve">CAMINHÃO COM BOMBA DE CONCRETO  </t>
  </si>
  <si>
    <t>IE5058</t>
  </si>
  <si>
    <t xml:space="preserve">GRUPPO DI SCAVO PALI TRIVELLATI  </t>
  </si>
  <si>
    <t xml:space="preserve">GUINDASTE SOBRE ESTEIRAS 50T  </t>
  </si>
  <si>
    <t>IE5086</t>
  </si>
  <si>
    <t xml:space="preserve">DRIVER MARINE EQUIPEMENT FOR LANCIAMENTO RACHAO  </t>
  </si>
  <si>
    <t xml:space="preserve">COMPRESSOR DE AR 11 M3/1'  </t>
  </si>
  <si>
    <t>IE5038</t>
  </si>
  <si>
    <t xml:space="preserve">ROLO VIBRATORIO PÉ DE CARNEIRO VAP70PTCR 11,7T  </t>
  </si>
  <si>
    <t>IE5093</t>
  </si>
  <si>
    <t>IE5090</t>
  </si>
  <si>
    <t xml:space="preserve">DRIVER MARINE EQUIPEMENT FOR LANCIAMENTO LANÇAMENTO DE AREIA  </t>
  </si>
  <si>
    <t>IE5060</t>
  </si>
  <si>
    <t xml:space="preserve">CONJUNTO DE BRITAGEM MOVEL 100T/H  </t>
  </si>
  <si>
    <t>IE5005</t>
  </si>
  <si>
    <t xml:space="preserve">BOMBA ESTACIONARIA DE CONCRETO - AQUISIÇÃO  </t>
  </si>
  <si>
    <t>IE5088</t>
  </si>
  <si>
    <t xml:space="preserve">SOMMOZZATORE  </t>
  </si>
  <si>
    <t xml:space="preserve">GRUPO GERADOR  30 KVA  </t>
  </si>
  <si>
    <t>IE5076</t>
  </si>
  <si>
    <t xml:space="preserve">CAMINHÃO CAÇAMBA 40T  </t>
  </si>
  <si>
    <t xml:space="preserve">EQUIP. PARA SOLDA : MAX BANTAM : BANTAM 250 SERRALHEIRO -  </t>
  </si>
  <si>
    <t>IE5036</t>
  </si>
  <si>
    <t xml:space="preserve">MOTONIVELADORA RG 140B  </t>
  </si>
  <si>
    <t>IE5047</t>
  </si>
  <si>
    <t xml:space="preserve">PA CARREGADEIRA CAT 928G  </t>
  </si>
  <si>
    <t>IE5015</t>
  </si>
  <si>
    <t xml:space="preserve">MOBILIZAÇÃO DE EQUIPAMENTO DE JET GROUTING  </t>
  </si>
  <si>
    <t>IE5041</t>
  </si>
  <si>
    <t xml:space="preserve">ROLO VIBRATORIO LISO VAP70LTCR 14,9T  </t>
  </si>
  <si>
    <t>IE5008</t>
  </si>
  <si>
    <t xml:space="preserve">CAMINHÃO BETONEIRA 8M³ - AQUISIÇÃO  </t>
  </si>
  <si>
    <t>IE5016</t>
  </si>
  <si>
    <t xml:space="preserve">SILO DE CIMENTO METALICO 100T  </t>
  </si>
  <si>
    <t>IE5037</t>
  </si>
  <si>
    <t xml:space="preserve">TRATOR AGRÍCOLA  </t>
  </si>
  <si>
    <t xml:space="preserve">MARTELETE - ROMPEDOR 33 KG  </t>
  </si>
  <si>
    <t>IE5059</t>
  </si>
  <si>
    <t xml:space="preserve">GRÙ DI SERVIZIO DA 60 TON  </t>
  </si>
  <si>
    <t>IE5074</t>
  </si>
  <si>
    <t xml:space="preserve">EMPILHADEIRA  </t>
  </si>
  <si>
    <t>IE5051</t>
  </si>
  <si>
    <t xml:space="preserve">TUBO / FUNIL PARA CONCRETAGEM  </t>
  </si>
  <si>
    <t xml:space="preserve">RETROESCAVADEIRA  </t>
  </si>
  <si>
    <t>IE5033</t>
  </si>
  <si>
    <t xml:space="preserve">TRATOR DE ESTEIRA D150B HIDROSTATICO  </t>
  </si>
  <si>
    <t>IE5042</t>
  </si>
  <si>
    <t xml:space="preserve">ROLO DE PNEUS AP 26 HIDROSTATICO 24T  </t>
  </si>
  <si>
    <t>IE5001</t>
  </si>
  <si>
    <t xml:space="preserve">CENTRAL DOSADORA DE CONCRETO 100M3/H  </t>
  </si>
  <si>
    <t xml:space="preserve">EQUIP. DISTRIBUIÇÃO DE ASFALTO  </t>
  </si>
  <si>
    <t xml:space="preserve">AQUECEDOR DE FLUIDO TÉRMICO  </t>
  </si>
  <si>
    <t>IE5003</t>
  </si>
  <si>
    <t xml:space="preserve">SILO DE CIMENTO METALICO 200T  </t>
  </si>
  <si>
    <t>IE5000</t>
  </si>
  <si>
    <t xml:space="preserve">ESCAVADEIRA HIDRAULICA 2,7 M3 E385C ME- 264 HP COM ROMPEDOR  </t>
  </si>
  <si>
    <t xml:space="preserve">PÁ CARREGADEIRA 770-9S  </t>
  </si>
  <si>
    <t>IE5006</t>
  </si>
  <si>
    <t xml:space="preserve">BOMBA LANÇA DE CONCRETO COMP. 36M - AQUISIÇÃO  </t>
  </si>
  <si>
    <t xml:space="preserve">ACABADORA DE ASFALTO SOBRE PNEUS  </t>
  </si>
  <si>
    <t xml:space="preserve">FRESADORA A FRIO : WIRTGEN : W 200 -  </t>
  </si>
  <si>
    <t>IE5011</t>
  </si>
  <si>
    <t xml:space="preserve">GUINDASTE 30T - MOBILIZAÇÃO  </t>
  </si>
  <si>
    <t>IE5063</t>
  </si>
  <si>
    <t xml:space="preserve">GUINDASTE SOBRE PNEUS 120T - MOB+DESMOB.  </t>
  </si>
  <si>
    <t>IE5081</t>
  </si>
  <si>
    <t xml:space="preserve">EQUIPAMENTO MARINHO PARA COMBWALL  </t>
  </si>
  <si>
    <t xml:space="preserve">PLACA VIBRATORIA  </t>
  </si>
  <si>
    <t xml:space="preserve">MARTELETE - ROMPEDOR 28 KG  </t>
  </si>
  <si>
    <t xml:space="preserve">ROLO COMPACTADOR TANDEM LISO  </t>
  </si>
  <si>
    <t xml:space="preserve">SERRA CIRCULAR DE BANCADA  </t>
  </si>
  <si>
    <t xml:space="preserve">ROLO COMPACTADOR : CATERPILLAR : PS-360 C - DE PNEUS  </t>
  </si>
  <si>
    <t xml:space="preserve">TEXTURIZADORA E LANÇADORA  </t>
  </si>
  <si>
    <t xml:space="preserve">TANQUE DE ESTOCAGEM DE ASFALTO - 30.000 L  </t>
  </si>
  <si>
    <t>IE5022</t>
  </si>
  <si>
    <t xml:space="preserve">MOBILIZAÇÃO  DE EQUIPAMENTO  </t>
  </si>
  <si>
    <t>IE5010</t>
  </si>
  <si>
    <t xml:space="preserve">GUINDASTE SOBRE PNEUS 30 T  </t>
  </si>
  <si>
    <t xml:space="preserve">TRATOR AGRÍCOLA, COMBUSTIVEL E OPERAÇÃO  </t>
  </si>
  <si>
    <t>IE5032</t>
  </si>
  <si>
    <t xml:space="preserve">ESCAVADEIRA HIDRAULICA 45T  </t>
  </si>
  <si>
    <t>IE5062</t>
  </si>
  <si>
    <t xml:space="preserve">GUINDASTE SOBRE PNEUS 120T  </t>
  </si>
  <si>
    <t xml:space="preserve">GRUPO GERADOR 60 KVA  </t>
  </si>
  <si>
    <t xml:space="preserve">VASSOURA MECANICA (INDIRETOS)  </t>
  </si>
  <si>
    <t xml:space="preserve">DISTRIBUIDOR DE AGREGADOS  </t>
  </si>
  <si>
    <t>IE5014</t>
  </si>
  <si>
    <t xml:space="preserve">PA CARREGADEIRA - AQUISIÇÃO  </t>
  </si>
  <si>
    <t xml:space="preserve">SERRA DE DISCO DIAMANTADO  </t>
  </si>
  <si>
    <t xml:space="preserve">REGUA VIBRATORIA  </t>
  </si>
  <si>
    <t xml:space="preserve">ESPALHADORA DE CONCRETO  </t>
  </si>
  <si>
    <t xml:space="preserve">COMPRESSOR DE AR - 200 PCM  </t>
  </si>
  <si>
    <t xml:space="preserve">SELADORA DE JUNTAS  </t>
  </si>
  <si>
    <t xml:space="preserve">VASSOURA MECÂNICA REBOCÁVEL  </t>
  </si>
  <si>
    <t xml:space="preserve">JATEADORA DE AREIA : ANCO : ANCO BLAST CSS270 -  </t>
  </si>
  <si>
    <t xml:space="preserve">USINA MISTURADORA : CIFALI : - DE SOLOS 300 T/H  </t>
  </si>
  <si>
    <t xml:space="preserve">BETONEIRA - 400 L  </t>
  </si>
  <si>
    <t xml:space="preserve">TRANSPORTADOR MANUAL - GERICA 180 L  </t>
  </si>
  <si>
    <t>IE5012</t>
  </si>
  <si>
    <t xml:space="preserve">MOBILIZAÇÃO DE CLAM-SHELL  </t>
  </si>
  <si>
    <t>IE5013</t>
  </si>
  <si>
    <t xml:space="preserve">MOBILIZAÇÃO DE HIDROFRESA  </t>
  </si>
  <si>
    <t>IE5028</t>
  </si>
  <si>
    <t xml:space="preserve">CAMINHÃO BASCULANTE 10M3  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</si>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</sst>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4" formatCode="_-&quot;R$&quot;\ * #,##0.00_-;\-&quot;R$&quot;\ * #,##0.00_-;_-&quot;R$&quot;\ * &quot;-&quot;??_-;_-@_-"/>
    <numFmt numFmtId="164" formatCode="0.00000"/>
    <numFmt numFmtId="165" formatCode="_-&quot;R$&quot;\ * #,##0.000_-;\-&quot;R$&quot;\ * #,##0.000_-;_-&quot;R$&quot;\ * &quot;-&quot;??_-;_-@_-"/>
    <numFmt numFmtId="166" formatCode="0.0000000"/>
    <numFmt numFmtId="167" formatCode="0.0000"/>
    <numFmt numFmtId="168" formatCode="0.000000"/>
    <numFmt numFmtId="169" formatCode="0.000"/>
    <numFmt numFmtId="170" formatCode="#,##0.00000"/>
    <numFmt numFmtId="171" formatCode="#,##0.000000"/>
    <numFmt numFmtId="172" formatCode="#,##0.0000000"/>
    <numFmt numFmtId="173" formatCode="#,##0.000000000"/>
    <numFmt numFmtId="174" formatCode="#,##0.00000000"/>
    <numFmt numFmtId="175" formatCode="0.00000000"/>
    <numFmt numFmtId="176" formatCode="0.0000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0"/>
      <color rgb="FFFF0000"/>
      <name val="Arial"/>
      <family val="2"/>
    </font>
    <font>
      <sz val="8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0" fontId="21" fillId="0" borderId="0"/>
  </cellStyleXfs>
  <cellXfs count="405">
    <xf numFmtId="0" fontId="0" fillId="0" borderId="0" xfId="0"/>
    <xf numFmtId="164" fontId="0" fillId="0" borderId="0" xfId="0" applyNumberFormat="1"/>
    <xf numFmtId="0" fontId="0" fillId="33" borderId="0" xfId="0" applyFill="1" applyAlignment="1">
      <alignment wrapText="1"/>
    </xf>
    <xf numFmtId="49" fontId="18" fillId="0" borderId="13" xfId="0" applyNumberFormat="1" applyFont="1" applyBorder="1" applyAlignment="1">
      <alignment horizontal="center" vertical="center" wrapText="1"/>
    </xf>
    <xf numFmtId="49" fontId="18" fillId="0" borderId="13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4" fontId="18" fillId="0" borderId="14" xfId="0" applyNumberFormat="1" applyFont="1" applyBorder="1" applyAlignment="1">
      <alignment horizontal="center" vertical="center"/>
    </xf>
    <xf numFmtId="44" fontId="18" fillId="0" borderId="14" xfId="0" applyNumberFormat="1" applyFont="1" applyBorder="1" applyAlignment="1">
      <alignment horizontal="center" vertical="center" wrapText="1"/>
    </xf>
    <xf numFmtId="44" fontId="18" fillId="0" borderId="15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49" fontId="19" fillId="34" borderId="16" xfId="0" applyNumberFormat="1" applyFont="1" applyFill="1" applyBorder="1" applyAlignment="1">
      <alignment horizontal="center" vertical="center"/>
    </xf>
    <xf numFmtId="0" fontId="19" fillId="35" borderId="17" xfId="0" applyFont="1" applyFill="1" applyBorder="1" applyAlignment="1">
      <alignment horizontal="left" vertical="center"/>
    </xf>
    <xf numFmtId="0" fontId="19" fillId="34" borderId="17" xfId="0" applyFont="1" applyFill="1" applyBorder="1" applyAlignment="1">
      <alignment vertical="center"/>
    </xf>
    <xf numFmtId="4" fontId="19" fillId="34" borderId="17" xfId="0" applyNumberFormat="1" applyFont="1" applyFill="1" applyBorder="1" applyAlignment="1">
      <alignment vertical="center"/>
    </xf>
    <xf numFmtId="44" fontId="19" fillId="34" borderId="17" xfId="0" applyNumberFormat="1" applyFont="1" applyFill="1" applyBorder="1" applyAlignment="1">
      <alignment vertical="center"/>
    </xf>
    <xf numFmtId="44" fontId="19" fillId="34" borderId="18" xfId="0" applyNumberFormat="1" applyFont="1" applyFill="1" applyBorder="1" applyAlignment="1">
      <alignment vertical="center"/>
    </xf>
    <xf numFmtId="49" fontId="19" fillId="0" borderId="19" xfId="0" applyNumberFormat="1" applyFont="1" applyFill="1" applyBorder="1" applyAlignment="1">
      <alignment horizontal="center" vertical="center"/>
    </xf>
    <xf numFmtId="0" fontId="19" fillId="0" borderId="20" xfId="0" applyFont="1" applyBorder="1" applyAlignment="1">
      <alignment horizontal="left" vertical="center"/>
    </xf>
    <xf numFmtId="0" fontId="19" fillId="0" borderId="20" xfId="0" applyFont="1" applyBorder="1" applyAlignment="1">
      <alignment vertical="center"/>
    </xf>
    <xf numFmtId="4" fontId="19" fillId="0" borderId="20" xfId="42" applyNumberFormat="1" applyFont="1" applyBorder="1" applyAlignment="1">
      <alignment vertical="center"/>
    </xf>
    <xf numFmtId="44" fontId="19" fillId="0" borderId="20" xfId="42" applyNumberFormat="1" applyFont="1" applyBorder="1" applyAlignment="1">
      <alignment vertical="center"/>
    </xf>
    <xf numFmtId="165" fontId="19" fillId="0" borderId="21" xfId="0" applyNumberFormat="1" applyFont="1" applyBorder="1" applyAlignment="1">
      <alignment vertical="center"/>
    </xf>
    <xf numFmtId="49" fontId="19" fillId="0" borderId="22" xfId="0" applyNumberFormat="1" applyFont="1" applyFill="1" applyBorder="1" applyAlignment="1">
      <alignment horizontal="center" vertical="center"/>
    </xf>
    <xf numFmtId="0" fontId="19" fillId="0" borderId="23" xfId="0" applyFont="1" applyBorder="1" applyAlignment="1">
      <alignment horizontal="left" vertical="center"/>
    </xf>
    <xf numFmtId="0" fontId="19" fillId="0" borderId="23" xfId="0" applyFont="1" applyBorder="1" applyAlignment="1">
      <alignment vertical="center"/>
    </xf>
    <xf numFmtId="4" fontId="19" fillId="0" borderId="23" xfId="42" applyNumberFormat="1" applyFont="1" applyBorder="1" applyAlignment="1">
      <alignment vertical="center"/>
    </xf>
    <xf numFmtId="44" fontId="19" fillId="0" borderId="23" xfId="42" applyNumberFormat="1" applyFont="1" applyBorder="1" applyAlignment="1">
      <alignment vertical="center"/>
    </xf>
    <xf numFmtId="165" fontId="19" fillId="0" borderId="24" xfId="0" applyNumberFormat="1" applyFont="1" applyBorder="1" applyAlignment="1">
      <alignment vertical="center"/>
    </xf>
    <xf numFmtId="49" fontId="19" fillId="0" borderId="25" xfId="0" applyNumberFormat="1" applyFont="1" applyFill="1" applyBorder="1" applyAlignment="1">
      <alignment horizontal="center" vertical="center"/>
    </xf>
    <xf numFmtId="0" fontId="19" fillId="0" borderId="26" xfId="0" applyFont="1" applyBorder="1" applyAlignment="1">
      <alignment horizontal="left" vertical="center"/>
    </xf>
    <xf numFmtId="0" fontId="19" fillId="0" borderId="26" xfId="0" applyFont="1" applyBorder="1" applyAlignment="1">
      <alignment vertical="center"/>
    </xf>
    <xf numFmtId="4" fontId="19" fillId="0" borderId="26" xfId="42" applyNumberFormat="1" applyFont="1" applyBorder="1" applyAlignment="1">
      <alignment vertical="center"/>
    </xf>
    <xf numFmtId="44" fontId="19" fillId="0" borderId="26" xfId="42" applyNumberFormat="1" applyFont="1" applyBorder="1" applyAlignment="1">
      <alignment vertical="center"/>
    </xf>
    <xf numFmtId="165" fontId="19" fillId="0" borderId="27" xfId="0" applyNumberFormat="1" applyFont="1" applyBorder="1" applyAlignment="1">
      <alignment vertical="center"/>
    </xf>
    <xf numFmtId="49" fontId="19" fillId="34" borderId="13" xfId="0" applyNumberFormat="1" applyFont="1" applyFill="1" applyBorder="1" applyAlignment="1">
      <alignment horizontal="center" vertical="center"/>
    </xf>
    <xf numFmtId="0" fontId="19" fillId="35" borderId="14" xfId="0" applyFont="1" applyFill="1" applyBorder="1" applyAlignment="1">
      <alignment horizontal="left" vertical="center"/>
    </xf>
    <xf numFmtId="0" fontId="19" fillId="34" borderId="14" xfId="0" applyFont="1" applyFill="1" applyBorder="1" applyAlignment="1">
      <alignment vertical="center"/>
    </xf>
    <xf numFmtId="4" fontId="19" fillId="34" borderId="14" xfId="0" applyNumberFormat="1" applyFont="1" applyFill="1" applyBorder="1" applyAlignment="1">
      <alignment vertical="center"/>
    </xf>
    <xf numFmtId="44" fontId="19" fillId="34" borderId="14" xfId="0" applyNumberFormat="1" applyFont="1" applyFill="1" applyBorder="1" applyAlignment="1">
      <alignment vertical="center"/>
    </xf>
    <xf numFmtId="44" fontId="19" fillId="34" borderId="15" xfId="0" applyNumberFormat="1" applyFont="1" applyFill="1" applyBorder="1" applyAlignment="1">
      <alignment vertical="center"/>
    </xf>
    <xf numFmtId="49" fontId="19" fillId="0" borderId="19" xfId="0" applyNumberFormat="1" applyFont="1" applyBorder="1" applyAlignment="1">
      <alignment horizontal="center" vertical="center"/>
    </xf>
    <xf numFmtId="4" fontId="19" fillId="0" borderId="20" xfId="0" applyNumberFormat="1" applyFont="1" applyBorder="1" applyAlignment="1">
      <alignment vertical="center"/>
    </xf>
    <xf numFmtId="44" fontId="19" fillId="0" borderId="20" xfId="0" applyNumberFormat="1" applyFont="1" applyBorder="1" applyAlignment="1">
      <alignment vertical="center"/>
    </xf>
    <xf numFmtId="44" fontId="19" fillId="0" borderId="21" xfId="0" applyNumberFormat="1" applyFont="1" applyBorder="1" applyAlignment="1">
      <alignment vertical="center"/>
    </xf>
    <xf numFmtId="49" fontId="19" fillId="0" borderId="22" xfId="0" applyNumberFormat="1" applyFont="1" applyBorder="1" applyAlignment="1">
      <alignment horizontal="center" vertical="center"/>
    </xf>
    <xf numFmtId="4" fontId="19" fillId="0" borderId="23" xfId="0" applyNumberFormat="1" applyFont="1" applyBorder="1" applyAlignment="1">
      <alignment vertical="center"/>
    </xf>
    <xf numFmtId="44" fontId="19" fillId="0" borderId="23" xfId="0" applyNumberFormat="1" applyFont="1" applyBorder="1" applyAlignment="1">
      <alignment vertical="center"/>
    </xf>
    <xf numFmtId="44" fontId="19" fillId="0" borderId="24" xfId="0" applyNumberFormat="1" applyFont="1" applyBorder="1" applyAlignment="1">
      <alignment vertical="center"/>
    </xf>
    <xf numFmtId="49" fontId="19" fillId="0" borderId="25" xfId="0" applyNumberFormat="1" applyFont="1" applyBorder="1" applyAlignment="1">
      <alignment horizontal="center" vertical="center"/>
    </xf>
    <xf numFmtId="4" fontId="19" fillId="0" borderId="26" xfId="0" applyNumberFormat="1" applyFont="1" applyBorder="1" applyAlignment="1">
      <alignment vertical="center"/>
    </xf>
    <xf numFmtId="44" fontId="19" fillId="0" borderId="26" xfId="0" applyNumberFormat="1" applyFont="1" applyBorder="1" applyAlignment="1">
      <alignment vertical="center"/>
    </xf>
    <xf numFmtId="44" fontId="19" fillId="0" borderId="27" xfId="0" applyNumberFormat="1" applyFont="1" applyBorder="1" applyAlignment="1">
      <alignment vertical="center"/>
    </xf>
    <xf numFmtId="0" fontId="19" fillId="0" borderId="14" xfId="0" applyFont="1" applyBorder="1" applyAlignment="1">
      <alignment horizontal="left" vertical="center"/>
    </xf>
    <xf numFmtId="0" fontId="19" fillId="0" borderId="14" xfId="0" applyFont="1" applyFill="1" applyBorder="1" applyAlignment="1">
      <alignment horizontal="left" vertical="center"/>
    </xf>
    <xf numFmtId="0" fontId="19" fillId="0" borderId="20" xfId="0" applyFont="1" applyFill="1" applyBorder="1" applyAlignment="1">
      <alignment horizontal="left" vertical="center"/>
    </xf>
    <xf numFmtId="0" fontId="19" fillId="0" borderId="20" xfId="0" applyFont="1" applyFill="1" applyBorder="1" applyAlignment="1">
      <alignment vertical="center"/>
    </xf>
    <xf numFmtId="4" fontId="19" fillId="0" borderId="20" xfId="0" applyNumberFormat="1" applyFont="1" applyFill="1" applyBorder="1" applyAlignment="1">
      <alignment vertical="center"/>
    </xf>
    <xf numFmtId="44" fontId="19" fillId="0" borderId="20" xfId="0" applyNumberFormat="1" applyFont="1" applyFill="1" applyBorder="1" applyAlignment="1">
      <alignment vertical="center"/>
    </xf>
    <xf numFmtId="44" fontId="19" fillId="0" borderId="21" xfId="0" applyNumberFormat="1" applyFont="1" applyFill="1" applyBorder="1" applyAlignment="1">
      <alignment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3" xfId="0" applyFont="1" applyFill="1" applyBorder="1" applyAlignment="1">
      <alignment vertical="center"/>
    </xf>
    <xf numFmtId="4" fontId="19" fillId="0" borderId="23" xfId="0" applyNumberFormat="1" applyFont="1" applyFill="1" applyBorder="1" applyAlignment="1">
      <alignment vertical="center"/>
    </xf>
    <xf numFmtId="44" fontId="19" fillId="0" borderId="23" xfId="0" applyNumberFormat="1" applyFont="1" applyFill="1" applyBorder="1" applyAlignment="1">
      <alignment vertical="center"/>
    </xf>
    <xf numFmtId="44" fontId="19" fillId="0" borderId="24" xfId="0" applyNumberFormat="1" applyFont="1" applyFill="1" applyBorder="1" applyAlignment="1">
      <alignment vertical="center"/>
    </xf>
    <xf numFmtId="49" fontId="19" fillId="0" borderId="23" xfId="0" applyNumberFormat="1" applyFont="1" applyFill="1" applyBorder="1" applyAlignment="1">
      <alignment horizontal="left" vertical="center"/>
    </xf>
    <xf numFmtId="0" fontId="19" fillId="0" borderId="0" xfId="0" applyFont="1" applyFill="1" applyAlignment="1">
      <alignment vertical="center"/>
    </xf>
    <xf numFmtId="0" fontId="19" fillId="0" borderId="26" xfId="0" applyFont="1" applyFill="1" applyBorder="1" applyAlignment="1">
      <alignment horizontal="left" vertical="center"/>
    </xf>
    <xf numFmtId="0" fontId="19" fillId="0" borderId="26" xfId="0" applyFont="1" applyFill="1" applyBorder="1" applyAlignment="1">
      <alignment vertical="center"/>
    </xf>
    <xf numFmtId="4" fontId="19" fillId="0" borderId="26" xfId="0" applyNumberFormat="1" applyFont="1" applyFill="1" applyBorder="1" applyAlignment="1">
      <alignment vertical="center"/>
    </xf>
    <xf numFmtId="44" fontId="19" fillId="0" borderId="26" xfId="0" applyNumberFormat="1" applyFont="1" applyFill="1" applyBorder="1" applyAlignment="1">
      <alignment vertical="center"/>
    </xf>
    <xf numFmtId="44" fontId="19" fillId="0" borderId="27" xfId="0" applyNumberFormat="1" applyFont="1" applyFill="1" applyBorder="1" applyAlignment="1">
      <alignment vertical="center"/>
    </xf>
    <xf numFmtId="2" fontId="19" fillId="0" borderId="23" xfId="0" applyNumberFormat="1" applyFont="1" applyBorder="1" applyAlignment="1">
      <alignment vertical="center"/>
    </xf>
    <xf numFmtId="49" fontId="19" fillId="36" borderId="19" xfId="0" applyNumberFormat="1" applyFont="1" applyFill="1" applyBorder="1" applyAlignment="1">
      <alignment horizontal="center" vertical="center"/>
    </xf>
    <xf numFmtId="0" fontId="19" fillId="36" borderId="20" xfId="0" applyFont="1" applyFill="1" applyBorder="1" applyAlignment="1">
      <alignment horizontal="left" vertical="center"/>
    </xf>
    <xf numFmtId="0" fontId="19" fillId="36" borderId="20" xfId="0" applyFont="1" applyFill="1" applyBorder="1" applyAlignment="1">
      <alignment vertical="center"/>
    </xf>
    <xf numFmtId="49" fontId="19" fillId="36" borderId="22" xfId="0" applyNumberFormat="1" applyFont="1" applyFill="1" applyBorder="1" applyAlignment="1">
      <alignment horizontal="center" vertical="center"/>
    </xf>
    <xf numFmtId="0" fontId="19" fillId="36" borderId="23" xfId="0" applyFont="1" applyFill="1" applyBorder="1" applyAlignment="1">
      <alignment horizontal="left" vertical="center"/>
    </xf>
    <xf numFmtId="0" fontId="19" fillId="36" borderId="23" xfId="0" applyFont="1" applyFill="1" applyBorder="1" applyAlignment="1">
      <alignment vertical="center"/>
    </xf>
    <xf numFmtId="49" fontId="19" fillId="0" borderId="28" xfId="0" applyNumberFormat="1" applyFont="1" applyBorder="1" applyAlignment="1">
      <alignment horizontal="center" vertical="center"/>
    </xf>
    <xf numFmtId="0" fontId="19" fillId="0" borderId="29" xfId="0" applyFont="1" applyBorder="1" applyAlignment="1">
      <alignment horizontal="left" vertical="center"/>
    </xf>
    <xf numFmtId="0" fontId="19" fillId="0" borderId="29" xfId="0" applyFont="1" applyBorder="1" applyAlignment="1">
      <alignment vertical="center"/>
    </xf>
    <xf numFmtId="4" fontId="19" fillId="0" borderId="29" xfId="0" applyNumberFormat="1" applyFont="1" applyBorder="1" applyAlignment="1">
      <alignment vertical="center"/>
    </xf>
    <xf numFmtId="44" fontId="19" fillId="0" borderId="29" xfId="0" applyNumberFormat="1" applyFont="1" applyBorder="1" applyAlignment="1">
      <alignment vertical="center"/>
    </xf>
    <xf numFmtId="44" fontId="19" fillId="0" borderId="30" xfId="0" applyNumberFormat="1" applyFont="1" applyBorder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4" fontId="19" fillId="0" borderId="0" xfId="0" applyNumberFormat="1" applyFont="1" applyAlignment="1">
      <alignment vertical="center"/>
    </xf>
    <xf numFmtId="44" fontId="19" fillId="0" borderId="0" xfId="0" applyNumberFormat="1" applyFont="1" applyAlignment="1">
      <alignment vertical="center"/>
    </xf>
    <xf numFmtId="49" fontId="19" fillId="37" borderId="13" xfId="0" applyNumberFormat="1" applyFont="1" applyFill="1" applyBorder="1" applyAlignment="1">
      <alignment horizontal="center" vertical="center"/>
    </xf>
    <xf numFmtId="0" fontId="19" fillId="37" borderId="14" xfId="0" applyFont="1" applyFill="1" applyBorder="1" applyAlignment="1">
      <alignment vertical="center"/>
    </xf>
    <xf numFmtId="4" fontId="19" fillId="37" borderId="14" xfId="0" applyNumberFormat="1" applyFont="1" applyFill="1" applyBorder="1" applyAlignment="1">
      <alignment vertical="center"/>
    </xf>
    <xf numFmtId="44" fontId="19" fillId="37" borderId="14" xfId="0" applyNumberFormat="1" applyFont="1" applyFill="1" applyBorder="1" applyAlignment="1">
      <alignment vertical="center"/>
    </xf>
    <xf numFmtId="44" fontId="19" fillId="37" borderId="15" xfId="0" applyNumberFormat="1" applyFont="1" applyFill="1" applyBorder="1" applyAlignment="1">
      <alignment vertical="center"/>
    </xf>
    <xf numFmtId="49" fontId="19" fillId="0" borderId="31" xfId="0" applyNumberFormat="1" applyFont="1" applyBorder="1" applyAlignment="1">
      <alignment horizontal="center" vertical="center"/>
    </xf>
    <xf numFmtId="0" fontId="19" fillId="0" borderId="32" xfId="0" applyFont="1" applyBorder="1" applyAlignment="1">
      <alignment horizontal="left" vertical="center"/>
    </xf>
    <xf numFmtId="0" fontId="19" fillId="0" borderId="32" xfId="0" applyFont="1" applyBorder="1" applyAlignment="1">
      <alignment vertical="center"/>
    </xf>
    <xf numFmtId="4" fontId="19" fillId="0" borderId="32" xfId="0" applyNumberFormat="1" applyFont="1" applyBorder="1" applyAlignment="1">
      <alignment vertical="center"/>
    </xf>
    <xf numFmtId="44" fontId="19" fillId="0" borderId="32" xfId="0" applyNumberFormat="1" applyFont="1" applyBorder="1" applyAlignment="1">
      <alignment vertical="center"/>
    </xf>
    <xf numFmtId="44" fontId="19" fillId="0" borderId="33" xfId="0" applyNumberFormat="1" applyFont="1" applyBorder="1" applyAlignment="1">
      <alignment vertical="center"/>
    </xf>
    <xf numFmtId="49" fontId="19" fillId="38" borderId="13" xfId="0" applyNumberFormat="1" applyFont="1" applyFill="1" applyBorder="1" applyAlignment="1">
      <alignment horizontal="center" vertical="center"/>
    </xf>
    <xf numFmtId="0" fontId="19" fillId="38" borderId="14" xfId="0" applyFont="1" applyFill="1" applyBorder="1" applyAlignment="1">
      <alignment vertical="center"/>
    </xf>
    <xf numFmtId="4" fontId="19" fillId="38" borderId="14" xfId="0" applyNumberFormat="1" applyFont="1" applyFill="1" applyBorder="1" applyAlignment="1">
      <alignment vertical="center"/>
    </xf>
    <xf numFmtId="44" fontId="19" fillId="38" borderId="14" xfId="0" applyNumberFormat="1" applyFont="1" applyFill="1" applyBorder="1" applyAlignment="1">
      <alignment vertical="center"/>
    </xf>
    <xf numFmtId="44" fontId="19" fillId="38" borderId="15" xfId="0" applyNumberFormat="1" applyFont="1" applyFill="1" applyBorder="1" applyAlignment="1">
      <alignment vertical="center"/>
    </xf>
    <xf numFmtId="0" fontId="19" fillId="0" borderId="29" xfId="0" applyFont="1" applyFill="1" applyBorder="1" applyAlignment="1">
      <alignment vertical="center"/>
    </xf>
    <xf numFmtId="49" fontId="19" fillId="39" borderId="13" xfId="0" applyNumberFormat="1" applyFont="1" applyFill="1" applyBorder="1" applyAlignment="1">
      <alignment horizontal="center" vertical="center"/>
    </xf>
    <xf numFmtId="0" fontId="19" fillId="39" borderId="14" xfId="0" applyFont="1" applyFill="1" applyBorder="1" applyAlignment="1">
      <alignment vertical="center"/>
    </xf>
    <xf numFmtId="4" fontId="19" fillId="39" borderId="14" xfId="0" applyNumberFormat="1" applyFont="1" applyFill="1" applyBorder="1" applyAlignment="1">
      <alignment vertical="center"/>
    </xf>
    <xf numFmtId="44" fontId="19" fillId="39" borderId="14" xfId="0" applyNumberFormat="1" applyFont="1" applyFill="1" applyBorder="1" applyAlignment="1">
      <alignment vertical="center"/>
    </xf>
    <xf numFmtId="44" fontId="19" fillId="39" borderId="15" xfId="0" applyNumberFormat="1" applyFont="1" applyFill="1" applyBorder="1" applyAlignment="1">
      <alignment vertical="center"/>
    </xf>
    <xf numFmtId="0" fontId="19" fillId="0" borderId="0" xfId="0" applyFont="1" applyAlignment="1">
      <alignment vertical="center" wrapText="1"/>
    </xf>
    <xf numFmtId="4" fontId="19" fillId="0" borderId="0" xfId="0" applyNumberFormat="1" applyFont="1" applyAlignment="1">
      <alignment vertical="center" wrapText="1"/>
    </xf>
    <xf numFmtId="0" fontId="19" fillId="0" borderId="0" xfId="0" applyFont="1"/>
    <xf numFmtId="49" fontId="19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/>
    <xf numFmtId="4" fontId="19" fillId="0" borderId="0" xfId="0" applyNumberFormat="1" applyFont="1"/>
    <xf numFmtId="0" fontId="19" fillId="0" borderId="0" xfId="0" applyFont="1" applyAlignment="1">
      <alignment wrapText="1"/>
    </xf>
    <xf numFmtId="49" fontId="19" fillId="34" borderId="16" xfId="0" applyNumberFormat="1" applyFont="1" applyFill="1" applyBorder="1" applyAlignment="1">
      <alignment horizontal="left"/>
    </xf>
    <xf numFmtId="0" fontId="19" fillId="35" borderId="17" xfId="0" applyFont="1" applyFill="1" applyBorder="1" applyAlignment="1">
      <alignment horizontal="left"/>
    </xf>
    <xf numFmtId="0" fontId="19" fillId="34" borderId="17" xfId="0" applyFont="1" applyFill="1" applyBorder="1" applyAlignment="1"/>
    <xf numFmtId="0" fontId="19" fillId="34" borderId="17" xfId="0" applyFont="1" applyFill="1" applyBorder="1"/>
    <xf numFmtId="4" fontId="19" fillId="34" borderId="17" xfId="0" applyNumberFormat="1" applyFont="1" applyFill="1" applyBorder="1"/>
    <xf numFmtId="44" fontId="19" fillId="34" borderId="17" xfId="0" applyNumberFormat="1" applyFont="1" applyFill="1" applyBorder="1"/>
    <xf numFmtId="44" fontId="19" fillId="34" borderId="18" xfId="0" applyNumberFormat="1" applyFont="1" applyFill="1" applyBorder="1"/>
    <xf numFmtId="0" fontId="19" fillId="0" borderId="0" xfId="0" applyFont="1" applyFill="1"/>
    <xf numFmtId="49" fontId="19" fillId="0" borderId="19" xfId="0" applyNumberFormat="1" applyFont="1" applyFill="1" applyBorder="1" applyAlignment="1">
      <alignment horizontal="left"/>
    </xf>
    <xf numFmtId="0" fontId="19" fillId="0" borderId="20" xfId="0" applyFont="1" applyBorder="1" applyAlignment="1">
      <alignment horizontal="left"/>
    </xf>
    <xf numFmtId="0" fontId="19" fillId="0" borderId="20" xfId="0" applyFont="1" applyBorder="1" applyAlignment="1"/>
    <xf numFmtId="0" fontId="19" fillId="0" borderId="20" xfId="0" applyFont="1" applyBorder="1"/>
    <xf numFmtId="4" fontId="19" fillId="0" borderId="20" xfId="42" applyNumberFormat="1" applyFont="1" applyBorder="1"/>
    <xf numFmtId="44" fontId="19" fillId="0" borderId="20" xfId="42" applyNumberFormat="1" applyFont="1" applyBorder="1"/>
    <xf numFmtId="165" fontId="19" fillId="0" borderId="21" xfId="0" applyNumberFormat="1" applyFont="1" applyBorder="1"/>
    <xf numFmtId="49" fontId="19" fillId="0" borderId="22" xfId="0" applyNumberFormat="1" applyFont="1" applyFill="1" applyBorder="1" applyAlignment="1">
      <alignment horizontal="left"/>
    </xf>
    <xf numFmtId="0" fontId="19" fillId="0" borderId="23" xfId="0" applyFont="1" applyBorder="1" applyAlignment="1">
      <alignment horizontal="left"/>
    </xf>
    <xf numFmtId="0" fontId="19" fillId="0" borderId="23" xfId="0" applyFont="1" applyBorder="1" applyAlignment="1"/>
    <xf numFmtId="4" fontId="19" fillId="0" borderId="23" xfId="42" applyNumberFormat="1" applyFont="1" applyBorder="1"/>
    <xf numFmtId="44" fontId="19" fillId="0" borderId="23" xfId="42" applyNumberFormat="1" applyFont="1" applyBorder="1"/>
    <xf numFmtId="165" fontId="19" fillId="0" borderId="24" xfId="0" applyNumberFormat="1" applyFont="1" applyBorder="1"/>
    <xf numFmtId="0" fontId="19" fillId="0" borderId="23" xfId="0" applyFont="1" applyBorder="1"/>
    <xf numFmtId="49" fontId="19" fillId="0" borderId="25" xfId="0" applyNumberFormat="1" applyFont="1" applyFill="1" applyBorder="1" applyAlignment="1">
      <alignment horizontal="left"/>
    </xf>
    <xf numFmtId="0" fontId="19" fillId="0" borderId="26" xfId="0" applyFont="1" applyBorder="1" applyAlignment="1">
      <alignment horizontal="left"/>
    </xf>
    <xf numFmtId="0" fontId="19" fillId="0" borderId="26" xfId="0" applyFont="1" applyBorder="1" applyAlignment="1"/>
    <xf numFmtId="0" fontId="19" fillId="0" borderId="26" xfId="0" applyFont="1" applyBorder="1"/>
    <xf numFmtId="4" fontId="19" fillId="0" borderId="26" xfId="42" applyNumberFormat="1" applyFont="1" applyBorder="1"/>
    <xf numFmtId="44" fontId="19" fillId="0" borderId="26" xfId="42" applyNumberFormat="1" applyFont="1" applyBorder="1"/>
    <xf numFmtId="165" fontId="19" fillId="0" borderId="27" xfId="0" applyNumberFormat="1" applyFont="1" applyBorder="1"/>
    <xf numFmtId="49" fontId="19" fillId="34" borderId="13" xfId="0" applyNumberFormat="1" applyFont="1" applyFill="1" applyBorder="1" applyAlignment="1">
      <alignment horizontal="left"/>
    </xf>
    <xf numFmtId="0" fontId="19" fillId="35" borderId="14" xfId="0" applyFont="1" applyFill="1" applyBorder="1" applyAlignment="1">
      <alignment horizontal="left"/>
    </xf>
    <xf numFmtId="0" fontId="19" fillId="34" borderId="14" xfId="0" applyFont="1" applyFill="1" applyBorder="1" applyAlignment="1"/>
    <xf numFmtId="0" fontId="19" fillId="34" borderId="14" xfId="0" applyFont="1" applyFill="1" applyBorder="1"/>
    <xf numFmtId="4" fontId="19" fillId="34" borderId="14" xfId="0" applyNumberFormat="1" applyFont="1" applyFill="1" applyBorder="1"/>
    <xf numFmtId="44" fontId="19" fillId="34" borderId="14" xfId="0" applyNumberFormat="1" applyFont="1" applyFill="1" applyBorder="1"/>
    <xf numFmtId="44" fontId="19" fillId="34" borderId="15" xfId="0" applyNumberFormat="1" applyFont="1" applyFill="1" applyBorder="1"/>
    <xf numFmtId="49" fontId="19" fillId="0" borderId="19" xfId="0" applyNumberFormat="1" applyFont="1" applyBorder="1" applyAlignment="1">
      <alignment horizontal="left"/>
    </xf>
    <xf numFmtId="4" fontId="19" fillId="0" borderId="20" xfId="0" applyNumberFormat="1" applyFont="1" applyBorder="1"/>
    <xf numFmtId="44" fontId="19" fillId="0" borderId="20" xfId="0" applyNumberFormat="1" applyFont="1" applyBorder="1"/>
    <xf numFmtId="44" fontId="19" fillId="0" borderId="21" xfId="0" applyNumberFormat="1" applyFont="1" applyBorder="1"/>
    <xf numFmtId="49" fontId="19" fillId="0" borderId="22" xfId="0" applyNumberFormat="1" applyFont="1" applyBorder="1" applyAlignment="1">
      <alignment horizontal="left"/>
    </xf>
    <xf numFmtId="4" fontId="19" fillId="0" borderId="23" xfId="0" applyNumberFormat="1" applyFont="1" applyBorder="1"/>
    <xf numFmtId="44" fontId="19" fillId="0" borderId="23" xfId="0" applyNumberFormat="1" applyFont="1" applyBorder="1"/>
    <xf numFmtId="44" fontId="19" fillId="0" borderId="24" xfId="0" applyNumberFormat="1" applyFont="1" applyBorder="1"/>
    <xf numFmtId="49" fontId="19" fillId="0" borderId="25" xfId="0" applyNumberFormat="1" applyFont="1" applyBorder="1" applyAlignment="1">
      <alignment horizontal="left"/>
    </xf>
    <xf numFmtId="4" fontId="19" fillId="0" borderId="26" xfId="0" applyNumberFormat="1" applyFont="1" applyBorder="1"/>
    <xf numFmtId="44" fontId="19" fillId="0" borderId="26" xfId="0" applyNumberFormat="1" applyFont="1" applyBorder="1"/>
    <xf numFmtId="44" fontId="19" fillId="0" borderId="27" xfId="0" applyNumberFormat="1" applyFont="1" applyBorder="1"/>
    <xf numFmtId="0" fontId="19" fillId="0" borderId="14" xfId="0" applyFont="1" applyBorder="1" applyAlignment="1">
      <alignment horizontal="left"/>
    </xf>
    <xf numFmtId="0" fontId="19" fillId="0" borderId="14" xfId="0" applyFont="1" applyFill="1" applyBorder="1" applyAlignment="1">
      <alignment horizontal="left"/>
    </xf>
    <xf numFmtId="0" fontId="19" fillId="0" borderId="20" xfId="0" applyFont="1" applyFill="1" applyBorder="1" applyAlignment="1">
      <alignment horizontal="left"/>
    </xf>
    <xf numFmtId="0" fontId="19" fillId="0" borderId="20" xfId="0" applyFont="1" applyFill="1" applyBorder="1" applyAlignment="1"/>
    <xf numFmtId="4" fontId="19" fillId="0" borderId="20" xfId="0" applyNumberFormat="1" applyFont="1" applyFill="1" applyBorder="1"/>
    <xf numFmtId="44" fontId="19" fillId="0" borderId="20" xfId="0" applyNumberFormat="1" applyFont="1" applyFill="1" applyBorder="1"/>
    <xf numFmtId="44" fontId="19" fillId="0" borderId="21" xfId="0" applyNumberFormat="1" applyFont="1" applyFill="1" applyBorder="1"/>
    <xf numFmtId="0" fontId="19" fillId="0" borderId="23" xfId="0" applyFont="1" applyFill="1" applyBorder="1" applyAlignment="1">
      <alignment horizontal="left"/>
    </xf>
    <xf numFmtId="0" fontId="19" fillId="0" borderId="23" xfId="0" applyFont="1" applyFill="1" applyBorder="1" applyAlignment="1"/>
    <xf numFmtId="4" fontId="19" fillId="0" borderId="23" xfId="0" applyNumberFormat="1" applyFont="1" applyFill="1" applyBorder="1"/>
    <xf numFmtId="44" fontId="19" fillId="0" borderId="23" xfId="0" applyNumberFormat="1" applyFont="1" applyFill="1" applyBorder="1"/>
    <xf numFmtId="44" fontId="19" fillId="0" borderId="24" xfId="0" applyNumberFormat="1" applyFont="1" applyFill="1" applyBorder="1"/>
    <xf numFmtId="49" fontId="19" fillId="0" borderId="23" xfId="0" applyNumberFormat="1" applyFont="1" applyFill="1" applyBorder="1" applyAlignment="1">
      <alignment horizontal="left"/>
    </xf>
    <xf numFmtId="0" fontId="19" fillId="0" borderId="23" xfId="0" applyFont="1" applyFill="1" applyBorder="1"/>
    <xf numFmtId="0" fontId="19" fillId="0" borderId="26" xfId="0" applyFont="1" applyFill="1" applyBorder="1" applyAlignment="1">
      <alignment horizontal="left"/>
    </xf>
    <xf numFmtId="0" fontId="19" fillId="0" borderId="26" xfId="0" applyFont="1" applyFill="1" applyBorder="1" applyAlignment="1"/>
    <xf numFmtId="4" fontId="19" fillId="0" borderId="26" xfId="0" applyNumberFormat="1" applyFont="1" applyFill="1" applyBorder="1"/>
    <xf numFmtId="44" fontId="19" fillId="0" borderId="26" xfId="0" applyNumberFormat="1" applyFont="1" applyFill="1" applyBorder="1"/>
    <xf numFmtId="44" fontId="19" fillId="0" borderId="27" xfId="0" applyNumberFormat="1" applyFont="1" applyFill="1" applyBorder="1"/>
    <xf numFmtId="2" fontId="19" fillId="0" borderId="23" xfId="0" applyNumberFormat="1" applyFont="1" applyBorder="1"/>
    <xf numFmtId="49" fontId="19" fillId="36" borderId="19" xfId="0" applyNumberFormat="1" applyFont="1" applyFill="1" applyBorder="1" applyAlignment="1">
      <alignment horizontal="left"/>
    </xf>
    <xf numFmtId="0" fontId="19" fillId="36" borderId="20" xfId="0" applyFont="1" applyFill="1" applyBorder="1" applyAlignment="1">
      <alignment horizontal="left"/>
    </xf>
    <xf numFmtId="0" fontId="19" fillId="36" borderId="20" xfId="0" applyFont="1" applyFill="1" applyBorder="1" applyAlignment="1"/>
    <xf numFmtId="49" fontId="19" fillId="36" borderId="22" xfId="0" applyNumberFormat="1" applyFont="1" applyFill="1" applyBorder="1" applyAlignment="1">
      <alignment horizontal="left"/>
    </xf>
    <xf numFmtId="0" fontId="19" fillId="36" borderId="23" xfId="0" applyFont="1" applyFill="1" applyBorder="1" applyAlignment="1">
      <alignment horizontal="left"/>
    </xf>
    <xf numFmtId="0" fontId="19" fillId="36" borderId="23" xfId="0" applyFont="1" applyFill="1" applyBorder="1" applyAlignment="1"/>
    <xf numFmtId="49" fontId="19" fillId="0" borderId="28" xfId="0" applyNumberFormat="1" applyFont="1" applyBorder="1" applyAlignment="1">
      <alignment horizontal="left"/>
    </xf>
    <xf numFmtId="0" fontId="19" fillId="0" borderId="29" xfId="0" applyFont="1" applyBorder="1" applyAlignment="1">
      <alignment horizontal="left"/>
    </xf>
    <xf numFmtId="0" fontId="19" fillId="0" borderId="29" xfId="0" applyFont="1" applyBorder="1" applyAlignment="1"/>
    <xf numFmtId="0" fontId="19" fillId="0" borderId="29" xfId="0" applyFont="1" applyBorder="1"/>
    <xf numFmtId="4" fontId="19" fillId="0" borderId="29" xfId="0" applyNumberFormat="1" applyFont="1" applyBorder="1"/>
    <xf numFmtId="44" fontId="19" fillId="0" borderId="29" xfId="0" applyNumberFormat="1" applyFont="1" applyBorder="1"/>
    <xf numFmtId="44" fontId="19" fillId="0" borderId="30" xfId="0" applyNumberFormat="1" applyFont="1" applyBorder="1"/>
    <xf numFmtId="44" fontId="19" fillId="0" borderId="0" xfId="0" applyNumberFormat="1" applyFont="1"/>
    <xf numFmtId="49" fontId="19" fillId="37" borderId="13" xfId="0" applyNumberFormat="1" applyFont="1" applyFill="1" applyBorder="1" applyAlignment="1">
      <alignment horizontal="left"/>
    </xf>
    <xf numFmtId="0" fontId="19" fillId="37" borderId="14" xfId="0" applyFont="1" applyFill="1" applyBorder="1" applyAlignment="1"/>
    <xf numFmtId="0" fontId="19" fillId="37" borderId="14" xfId="0" applyFont="1" applyFill="1" applyBorder="1"/>
    <xf numFmtId="4" fontId="19" fillId="37" borderId="14" xfId="0" applyNumberFormat="1" applyFont="1" applyFill="1" applyBorder="1"/>
    <xf numFmtId="44" fontId="19" fillId="37" borderId="14" xfId="0" applyNumberFormat="1" applyFont="1" applyFill="1" applyBorder="1"/>
    <xf numFmtId="44" fontId="19" fillId="37" borderId="15" xfId="0" applyNumberFormat="1" applyFont="1" applyFill="1" applyBorder="1"/>
    <xf numFmtId="49" fontId="19" fillId="0" borderId="31" xfId="0" applyNumberFormat="1" applyFont="1" applyBorder="1" applyAlignment="1">
      <alignment horizontal="left"/>
    </xf>
    <xf numFmtId="0" fontId="19" fillId="0" borderId="32" xfId="0" applyFont="1" applyBorder="1" applyAlignment="1">
      <alignment horizontal="left"/>
    </xf>
    <xf numFmtId="0" fontId="19" fillId="0" borderId="32" xfId="0" applyFont="1" applyBorder="1" applyAlignment="1"/>
    <xf numFmtId="0" fontId="19" fillId="0" borderId="32" xfId="0" applyFont="1" applyBorder="1"/>
    <xf numFmtId="4" fontId="19" fillId="0" borderId="32" xfId="0" applyNumberFormat="1" applyFont="1" applyBorder="1"/>
    <xf numFmtId="44" fontId="19" fillId="0" borderId="32" xfId="0" applyNumberFormat="1" applyFont="1" applyBorder="1"/>
    <xf numFmtId="44" fontId="19" fillId="0" borderId="33" xfId="0" applyNumberFormat="1" applyFont="1" applyBorder="1"/>
    <xf numFmtId="0" fontId="19" fillId="0" borderId="29" xfId="0" applyFont="1" applyFill="1" applyBorder="1" applyAlignment="1"/>
    <xf numFmtId="49" fontId="19" fillId="39" borderId="13" xfId="0" applyNumberFormat="1" applyFont="1" applyFill="1" applyBorder="1" applyAlignment="1">
      <alignment horizontal="left"/>
    </xf>
    <xf numFmtId="0" fontId="19" fillId="39" borderId="14" xfId="0" applyFont="1" applyFill="1" applyBorder="1" applyAlignment="1"/>
    <xf numFmtId="0" fontId="19" fillId="39" borderId="14" xfId="0" applyFont="1" applyFill="1" applyBorder="1"/>
    <xf numFmtId="4" fontId="19" fillId="39" borderId="14" xfId="0" applyNumberFormat="1" applyFont="1" applyFill="1" applyBorder="1"/>
    <xf numFmtId="44" fontId="19" fillId="39" borderId="14" xfId="0" applyNumberFormat="1" applyFont="1" applyFill="1" applyBorder="1"/>
    <xf numFmtId="44" fontId="19" fillId="39" borderId="15" xfId="0" applyNumberFormat="1" applyFont="1" applyFill="1" applyBorder="1"/>
    <xf numFmtId="4" fontId="19" fillId="0" borderId="0" xfId="0" applyNumberFormat="1" applyFont="1" applyAlignment="1">
      <alignment wrapText="1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right" wrapText="1"/>
    </xf>
    <xf numFmtId="0" fontId="0" fillId="0" borderId="36" xfId="0" applyBorder="1"/>
    <xf numFmtId="0" fontId="0" fillId="0" borderId="0" xfId="0" applyFill="1" applyBorder="1"/>
    <xf numFmtId="2" fontId="0" fillId="0" borderId="0" xfId="0" applyNumberFormat="1" applyFill="1" applyBorder="1"/>
    <xf numFmtId="0" fontId="0" fillId="33" borderId="36" xfId="0" applyFill="1" applyBorder="1" applyAlignment="1">
      <alignment horizontal="left" vertical="center" wrapText="1"/>
    </xf>
    <xf numFmtId="0" fontId="20" fillId="0" borderId="10" xfId="0" applyFont="1" applyBorder="1" applyAlignment="1"/>
    <xf numFmtId="0" fontId="20" fillId="0" borderId="11" xfId="0" applyFont="1" applyBorder="1" applyAlignment="1"/>
    <xf numFmtId="0" fontId="20" fillId="0" borderId="12" xfId="0" applyFont="1" applyBorder="1" applyAlignment="1"/>
    <xf numFmtId="0" fontId="20" fillId="0" borderId="34" xfId="0" applyFont="1" applyBorder="1" applyAlignment="1"/>
    <xf numFmtId="0" fontId="20" fillId="0" borderId="0" xfId="0" applyFont="1" applyBorder="1" applyAlignment="1"/>
    <xf numFmtId="0" fontId="20" fillId="0" borderId="35" xfId="0" applyFont="1" applyBorder="1" applyAlignment="1"/>
    <xf numFmtId="0" fontId="20" fillId="0" borderId="34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0" fillId="0" borderId="35" xfId="0" applyFont="1" applyBorder="1" applyAlignment="1">
      <alignment vertical="center"/>
    </xf>
    <xf numFmtId="49" fontId="19" fillId="34" borderId="38" xfId="0" applyNumberFormat="1" applyFont="1" applyFill="1" applyBorder="1" applyAlignment="1">
      <alignment horizontal="left"/>
    </xf>
    <xf numFmtId="49" fontId="19" fillId="0" borderId="39" xfId="0" applyNumberFormat="1" applyFont="1" applyFill="1" applyBorder="1" applyAlignment="1">
      <alignment horizontal="left"/>
    </xf>
    <xf numFmtId="49" fontId="19" fillId="0" borderId="40" xfId="0" applyNumberFormat="1" applyFont="1" applyFill="1" applyBorder="1" applyAlignment="1">
      <alignment horizontal="left"/>
    </xf>
    <xf numFmtId="49" fontId="19" fillId="0" borderId="41" xfId="0" applyNumberFormat="1" applyFont="1" applyFill="1" applyBorder="1" applyAlignment="1">
      <alignment horizontal="left"/>
    </xf>
    <xf numFmtId="49" fontId="19" fillId="34" borderId="37" xfId="0" applyNumberFormat="1" applyFont="1" applyFill="1" applyBorder="1" applyAlignment="1">
      <alignment horizontal="left"/>
    </xf>
    <xf numFmtId="49" fontId="19" fillId="0" borderId="39" xfId="0" applyNumberFormat="1" applyFont="1" applyBorder="1" applyAlignment="1">
      <alignment horizontal="left"/>
    </xf>
    <xf numFmtId="49" fontId="19" fillId="0" borderId="40" xfId="0" applyNumberFormat="1" applyFont="1" applyBorder="1" applyAlignment="1">
      <alignment horizontal="left"/>
    </xf>
    <xf numFmtId="49" fontId="19" fillId="0" borderId="41" xfId="0" applyNumberFormat="1" applyFont="1" applyBorder="1" applyAlignment="1">
      <alignment horizontal="left"/>
    </xf>
    <xf numFmtId="49" fontId="19" fillId="36" borderId="39" xfId="0" applyNumberFormat="1" applyFont="1" applyFill="1" applyBorder="1" applyAlignment="1">
      <alignment horizontal="left"/>
    </xf>
    <xf numFmtId="49" fontId="19" fillId="36" borderId="40" xfId="0" applyNumberFormat="1" applyFont="1" applyFill="1" applyBorder="1" applyAlignment="1">
      <alignment horizontal="left"/>
    </xf>
    <xf numFmtId="49" fontId="19" fillId="0" borderId="42" xfId="0" applyNumberFormat="1" applyFont="1" applyBorder="1" applyAlignment="1">
      <alignment horizontal="left"/>
    </xf>
    <xf numFmtId="49" fontId="19" fillId="37" borderId="37" xfId="0" applyNumberFormat="1" applyFont="1" applyFill="1" applyBorder="1" applyAlignment="1">
      <alignment horizontal="left"/>
    </xf>
    <xf numFmtId="49" fontId="19" fillId="0" borderId="43" xfId="0" applyNumberFormat="1" applyFont="1" applyBorder="1" applyAlignment="1">
      <alignment horizontal="left"/>
    </xf>
    <xf numFmtId="49" fontId="19" fillId="39" borderId="37" xfId="0" applyNumberFormat="1" applyFont="1" applyFill="1" applyBorder="1" applyAlignment="1">
      <alignment horizontal="left"/>
    </xf>
    <xf numFmtId="49" fontId="18" fillId="0" borderId="13" xfId="0" applyNumberFormat="1" applyFont="1" applyBorder="1" applyAlignment="1">
      <alignment horizontal="left" vertical="center"/>
    </xf>
    <xf numFmtId="49" fontId="18" fillId="0" borderId="37" xfId="0" applyNumberFormat="1" applyFont="1" applyBorder="1" applyAlignment="1">
      <alignment horizontal="left" vertical="center"/>
    </xf>
    <xf numFmtId="0" fontId="18" fillId="0" borderId="14" xfId="0" applyFont="1" applyBorder="1" applyAlignment="1">
      <alignment vertical="center"/>
    </xf>
    <xf numFmtId="4" fontId="18" fillId="0" borderId="14" xfId="0" applyNumberFormat="1" applyFont="1" applyBorder="1" applyAlignment="1">
      <alignment vertical="center"/>
    </xf>
    <xf numFmtId="44" fontId="18" fillId="0" borderId="15" xfId="0" applyNumberFormat="1" applyFont="1" applyBorder="1" applyAlignment="1">
      <alignment vertical="center" wrapText="1"/>
    </xf>
    <xf numFmtId="44" fontId="19" fillId="0" borderId="44" xfId="0" applyNumberFormat="1" applyFont="1" applyBorder="1"/>
    <xf numFmtId="49" fontId="19" fillId="0" borderId="45" xfId="0" applyNumberFormat="1" applyFont="1" applyBorder="1" applyAlignment="1">
      <alignment horizontal="left"/>
    </xf>
    <xf numFmtId="49" fontId="19" fillId="0" borderId="44" xfId="0" applyNumberFormat="1" applyFont="1" applyBorder="1" applyAlignment="1">
      <alignment horizontal="left"/>
    </xf>
    <xf numFmtId="0" fontId="19" fillId="0" borderId="44" xfId="0" applyFont="1" applyBorder="1" applyAlignment="1"/>
    <xf numFmtId="0" fontId="19" fillId="0" borderId="44" xfId="0" applyFont="1" applyBorder="1"/>
    <xf numFmtId="4" fontId="19" fillId="0" borderId="44" xfId="0" applyNumberFormat="1" applyFont="1" applyBorder="1"/>
    <xf numFmtId="4" fontId="19" fillId="40" borderId="44" xfId="0" applyNumberFormat="1" applyFont="1" applyFill="1" applyBorder="1"/>
    <xf numFmtId="0" fontId="19" fillId="0" borderId="46" xfId="0" applyFont="1" applyBorder="1" applyAlignment="1">
      <alignment horizontal="left"/>
    </xf>
    <xf numFmtId="44" fontId="18" fillId="0" borderId="17" xfId="0" applyNumberFormat="1" applyFont="1" applyBorder="1" applyAlignment="1">
      <alignment horizontal="center" vertical="center" wrapText="1"/>
    </xf>
    <xf numFmtId="44" fontId="18" fillId="0" borderId="18" xfId="0" applyNumberFormat="1" applyFont="1" applyBorder="1" applyAlignment="1">
      <alignment vertical="center" wrapText="1"/>
    </xf>
    <xf numFmtId="44" fontId="18" fillId="0" borderId="47" xfId="0" applyNumberFormat="1" applyFont="1" applyBorder="1" applyAlignment="1">
      <alignment vertical="center" wrapText="1"/>
    </xf>
    <xf numFmtId="49" fontId="19" fillId="41" borderId="19" xfId="0" applyNumberFormat="1" applyFont="1" applyFill="1" applyBorder="1" applyAlignment="1">
      <alignment horizontal="left"/>
    </xf>
    <xf numFmtId="49" fontId="19" fillId="41" borderId="39" xfId="0" applyNumberFormat="1" applyFont="1" applyFill="1" applyBorder="1" applyAlignment="1">
      <alignment horizontal="left"/>
    </xf>
    <xf numFmtId="0" fontId="19" fillId="41" borderId="20" xfId="0" applyFont="1" applyFill="1" applyBorder="1" applyAlignment="1"/>
    <xf numFmtId="49" fontId="19" fillId="41" borderId="22" xfId="0" applyNumberFormat="1" applyFont="1" applyFill="1" applyBorder="1" applyAlignment="1">
      <alignment horizontal="left"/>
    </xf>
    <xf numFmtId="49" fontId="19" fillId="41" borderId="40" xfId="0" applyNumberFormat="1" applyFont="1" applyFill="1" applyBorder="1" applyAlignment="1">
      <alignment horizontal="left"/>
    </xf>
    <xf numFmtId="0" fontId="19" fillId="41" borderId="23" xfId="0" applyFont="1" applyFill="1" applyBorder="1" applyAlignment="1"/>
    <xf numFmtId="0" fontId="19" fillId="0" borderId="17" xfId="0" applyFont="1" applyBorder="1" applyAlignment="1"/>
    <xf numFmtId="4" fontId="19" fillId="0" borderId="17" xfId="0" applyNumberFormat="1" applyFont="1" applyBorder="1"/>
    <xf numFmtId="44" fontId="19" fillId="0" borderId="17" xfId="0" applyNumberFormat="1" applyFont="1" applyBorder="1"/>
    <xf numFmtId="44" fontId="19" fillId="0" borderId="18" xfId="0" applyNumberFormat="1" applyFont="1" applyBorder="1"/>
    <xf numFmtId="0" fontId="19" fillId="0" borderId="17" xfId="0" applyFont="1" applyBorder="1" applyAlignment="1">
      <alignment horizontal="left"/>
    </xf>
    <xf numFmtId="49" fontId="19" fillId="0" borderId="48" xfId="0" applyNumberFormat="1" applyFont="1" applyBorder="1" applyAlignment="1">
      <alignment horizontal="left"/>
    </xf>
    <xf numFmtId="0" fontId="19" fillId="0" borderId="48" xfId="0" applyFont="1" applyBorder="1" applyAlignment="1"/>
    <xf numFmtId="0" fontId="19" fillId="0" borderId="48" xfId="0" applyFont="1" applyBorder="1"/>
    <xf numFmtId="4" fontId="19" fillId="0" borderId="48" xfId="0" applyNumberFormat="1" applyFont="1" applyBorder="1"/>
    <xf numFmtId="44" fontId="19" fillId="0" borderId="48" xfId="0" applyNumberFormat="1" applyFont="1" applyBorder="1"/>
    <xf numFmtId="0" fontId="19" fillId="0" borderId="48" xfId="0" applyFont="1" applyBorder="1" applyAlignment="1">
      <alignment horizontal="left"/>
    </xf>
    <xf numFmtId="49" fontId="19" fillId="42" borderId="13" xfId="0" applyNumberFormat="1" applyFont="1" applyFill="1" applyBorder="1" applyAlignment="1">
      <alignment horizontal="left"/>
    </xf>
    <xf numFmtId="49" fontId="19" fillId="42" borderId="37" xfId="0" applyNumberFormat="1" applyFont="1" applyFill="1" applyBorder="1" applyAlignment="1">
      <alignment horizontal="left"/>
    </xf>
    <xf numFmtId="0" fontId="19" fillId="42" borderId="14" xfId="0" applyFont="1" applyFill="1" applyBorder="1" applyAlignment="1"/>
    <xf numFmtId="0" fontId="19" fillId="42" borderId="14" xfId="0" applyFont="1" applyFill="1" applyBorder="1"/>
    <xf numFmtId="4" fontId="19" fillId="42" borderId="14" xfId="0" applyNumberFormat="1" applyFont="1" applyFill="1" applyBorder="1"/>
    <xf numFmtId="44" fontId="19" fillId="42" borderId="14" xfId="0" applyNumberFormat="1" applyFont="1" applyFill="1" applyBorder="1"/>
    <xf numFmtId="44" fontId="19" fillId="42" borderId="15" xfId="0" applyNumberFormat="1" applyFont="1" applyFill="1" applyBorder="1"/>
    <xf numFmtId="4" fontId="19" fillId="0" borderId="14" xfId="0" applyNumberFormat="1" applyFont="1" applyFill="1" applyBorder="1"/>
    <xf numFmtId="44" fontId="19" fillId="0" borderId="14" xfId="0" applyNumberFormat="1" applyFont="1" applyFill="1" applyBorder="1"/>
    <xf numFmtId="44" fontId="19" fillId="0" borderId="15" xfId="0" applyNumberFormat="1" applyFont="1" applyFill="1" applyBorder="1"/>
    <xf numFmtId="0" fontId="19" fillId="0" borderId="14" xfId="0" applyFont="1" applyFill="1" applyBorder="1" applyAlignment="1"/>
    <xf numFmtId="0" fontId="0" fillId="43" borderId="0" xfId="0" applyFill="1"/>
    <xf numFmtId="164" fontId="0" fillId="43" borderId="0" xfId="0" applyNumberFormat="1" applyFill="1"/>
    <xf numFmtId="164" fontId="0" fillId="0" borderId="0" xfId="0" applyNumberFormat="1" applyFill="1" applyBorder="1"/>
    <xf numFmtId="0" fontId="0" fillId="40" borderId="0" xfId="0" applyFill="1"/>
    <xf numFmtId="2" fontId="0" fillId="33" borderId="0" xfId="0" applyNumberFormat="1" applyFill="1" applyBorder="1"/>
    <xf numFmtId="0" fontId="16" fillId="33" borderId="0" xfId="0" applyFont="1" applyFill="1" applyBorder="1"/>
    <xf numFmtId="2" fontId="0" fillId="33" borderId="36" xfId="0" applyNumberFormat="1" applyFill="1" applyBorder="1"/>
    <xf numFmtId="0" fontId="0" fillId="0" borderId="36" xfId="0" applyFill="1" applyBorder="1"/>
    <xf numFmtId="2" fontId="0" fillId="0" borderId="36" xfId="0" applyNumberFormat="1" applyFill="1" applyBorder="1"/>
    <xf numFmtId="164" fontId="0" fillId="0" borderId="36" xfId="0" applyNumberFormat="1" applyFill="1" applyBorder="1"/>
    <xf numFmtId="0" fontId="0" fillId="33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33" borderId="36" xfId="0" applyFill="1" applyBorder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 vertical="center"/>
    </xf>
    <xf numFmtId="4" fontId="0" fillId="0" borderId="0" xfId="0" applyNumberFormat="1" applyFill="1" applyBorder="1"/>
    <xf numFmtId="4" fontId="0" fillId="0" borderId="36" xfId="0" applyNumberFormat="1" applyFill="1" applyBorder="1"/>
    <xf numFmtId="4" fontId="19" fillId="43" borderId="23" xfId="0" applyNumberFormat="1" applyFont="1" applyFill="1" applyBorder="1"/>
    <xf numFmtId="4" fontId="0" fillId="0" borderId="36" xfId="0" applyNumberFormat="1" applyBorder="1"/>
    <xf numFmtId="0" fontId="0" fillId="43" borderId="0" xfId="0" applyFill="1" applyBorder="1"/>
    <xf numFmtId="0" fontId="16" fillId="43" borderId="0" xfId="0" applyFont="1" applyFill="1" applyBorder="1"/>
    <xf numFmtId="0" fontId="14" fillId="40" borderId="0" xfId="0" applyFont="1" applyFill="1"/>
    <xf numFmtId="166" fontId="0" fillId="0" borderId="0" xfId="0" applyNumberFormat="1"/>
    <xf numFmtId="164" fontId="0" fillId="0" borderId="36" xfId="0" applyNumberFormat="1" applyBorder="1"/>
    <xf numFmtId="2" fontId="0" fillId="0" borderId="0" xfId="0" applyNumberFormat="1" applyBorder="1"/>
    <xf numFmtId="167" fontId="0" fillId="0" borderId="0" xfId="0" applyNumberFormat="1" applyBorder="1"/>
    <xf numFmtId="2" fontId="0" fillId="0" borderId="0" xfId="0" applyNumberFormat="1"/>
    <xf numFmtId="168" fontId="0" fillId="0" borderId="0" xfId="0" applyNumberFormat="1"/>
    <xf numFmtId="167" fontId="0" fillId="0" borderId="0" xfId="0" applyNumberFormat="1"/>
    <xf numFmtId="4" fontId="14" fillId="0" borderId="36" xfId="0" applyNumberFormat="1" applyFont="1" applyBorder="1"/>
    <xf numFmtId="2" fontId="0" fillId="0" borderId="36" xfId="0" applyNumberFormat="1" applyBorder="1"/>
    <xf numFmtId="167" fontId="0" fillId="0" borderId="36" xfId="0" applyNumberFormat="1" applyBorder="1"/>
    <xf numFmtId="0" fontId="22" fillId="0" borderId="36" xfId="0" applyFont="1" applyBorder="1"/>
    <xf numFmtId="0" fontId="23" fillId="0" borderId="36" xfId="0" applyFont="1" applyBorder="1"/>
    <xf numFmtId="0" fontId="24" fillId="0" borderId="36" xfId="0" applyFont="1" applyBorder="1"/>
    <xf numFmtId="0" fontId="24" fillId="0" borderId="0" xfId="0" applyFont="1"/>
    <xf numFmtId="0" fontId="25" fillId="0" borderId="0" xfId="0" applyFont="1" applyBorder="1"/>
    <xf numFmtId="0" fontId="25" fillId="0" borderId="36" xfId="0" applyFont="1" applyBorder="1"/>
    <xf numFmtId="0" fontId="0" fillId="44" borderId="36" xfId="0" applyFill="1" applyBorder="1"/>
    <xf numFmtId="0" fontId="0" fillId="0" borderId="0" xfId="0" applyBorder="1"/>
    <xf numFmtId="0" fontId="0" fillId="44" borderId="0" xfId="0" applyFill="1" applyBorder="1"/>
    <xf numFmtId="4" fontId="0" fillId="0" borderId="0" xfId="0" applyNumberFormat="1" applyBorder="1"/>
    <xf numFmtId="0" fontId="0" fillId="43" borderId="36" xfId="0" applyFill="1" applyBorder="1"/>
    <xf numFmtId="4" fontId="0" fillId="43" borderId="0" xfId="0" applyNumberFormat="1" applyFill="1"/>
    <xf numFmtId="0" fontId="0" fillId="45" borderId="0" xfId="0" applyFill="1" applyBorder="1"/>
    <xf numFmtId="4" fontId="0" fillId="36" borderId="0" xfId="0" applyNumberFormat="1" applyFill="1"/>
    <xf numFmtId="0" fontId="0" fillId="36" borderId="0" xfId="0" applyFill="1"/>
    <xf numFmtId="0" fontId="0" fillId="43" borderId="0" xfId="0" quotePrefix="1" applyFill="1"/>
    <xf numFmtId="4" fontId="23" fillId="0" borderId="36" xfId="0" applyNumberFormat="1" applyFont="1" applyBorder="1"/>
    <xf numFmtId="0" fontId="0" fillId="0" borderId="36" xfId="0" applyBorder="1" applyAlignment="1">
      <alignment wrapText="1"/>
    </xf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68" fontId="0" fillId="0" borderId="36" xfId="0" applyNumberFormat="1" applyBorder="1"/>
    <xf numFmtId="0" fontId="0" fillId="46" borderId="36" xfId="0" applyFill="1" applyBorder="1"/>
    <xf numFmtId="169" fontId="0" fillId="0" borderId="36" xfId="0" applyNumberFormat="1" applyBorder="1"/>
    <xf numFmtId="167" fontId="0" fillId="0" borderId="36" xfId="0" applyNumberFormat="1" applyBorder="1" applyAlignment="1"/>
    <xf numFmtId="0" fontId="0" fillId="46" borderId="0" xfId="0" applyFill="1"/>
    <xf numFmtId="174" fontId="0" fillId="0" borderId="0" xfId="0" applyNumberFormat="1"/>
    <xf numFmtId="2" fontId="0" fillId="0" borderId="36" xfId="0" applyNumberFormat="1" applyBorder="1" applyAlignment="1">
      <alignment wrapText="1"/>
    </xf>
    <xf numFmtId="0" fontId="0" fillId="47" borderId="0" xfId="0" applyFill="1"/>
    <xf numFmtId="0" fontId="17" fillId="47" borderId="0" xfId="0" applyFont="1" applyFill="1"/>
    <xf numFmtId="0" fontId="0" fillId="42" borderId="36" xfId="0" applyFill="1" applyBorder="1"/>
    <xf numFmtId="0" fontId="0" fillId="42" borderId="0" xfId="0" applyFill="1"/>
    <xf numFmtId="0" fontId="16" fillId="42" borderId="0" xfId="0" applyFont="1" applyFill="1" applyAlignment="1">
      <alignment horizontal="center"/>
    </xf>
    <xf numFmtId="0" fontId="0" fillId="42" borderId="36" xfId="0" applyFill="1" applyBorder="1" applyAlignment="1">
      <alignment wrapText="1"/>
    </xf>
    <xf numFmtId="0" fontId="0" fillId="0" borderId="0" xfId="0" applyFill="1"/>
    <xf numFmtId="175" fontId="0" fillId="0" borderId="0" xfId="0" applyNumberFormat="1"/>
    <xf numFmtId="176" fontId="0" fillId="0" borderId="0" xfId="0" applyNumberFormat="1"/>
    <xf numFmtId="2" fontId="0" fillId="43" borderId="0" xfId="0" applyNumberFormat="1" applyFill="1" applyBorder="1"/>
    <xf numFmtId="175" fontId="0" fillId="0" borderId="0" xfId="0" applyNumberFormat="1" applyBorder="1"/>
    <xf numFmtId="4" fontId="27" fillId="0" borderId="0" xfId="0" applyNumberFormat="1" applyFont="1"/>
    <xf numFmtId="0" fontId="0" fillId="0" borderId="0" xfId="0" quotePrefix="1"/>
    <xf numFmtId="174" fontId="0" fillId="0" borderId="0" xfId="0" quotePrefix="1" applyNumberFormat="1"/>
    <xf numFmtId="0" fontId="0" fillId="39" borderId="0" xfId="0" applyFill="1"/>
    <xf numFmtId="4" fontId="0" fillId="39" borderId="0" xfId="0" applyNumberFormat="1" applyFill="1"/>
    <xf numFmtId="0" fontId="0" fillId="39" borderId="0" xfId="0" applyFill="1" applyAlignment="1">
      <alignment horizontal="center"/>
    </xf>
    <xf numFmtId="1" fontId="0" fillId="39" borderId="0" xfId="0" applyNumberFormat="1" applyFill="1" applyAlignment="1">
      <alignment horizontal="center"/>
    </xf>
    <xf numFmtId="0" fontId="23" fillId="0" borderId="0" xfId="0" applyFont="1"/>
    <xf numFmtId="3" fontId="0" fillId="0" borderId="0" xfId="0" applyNumberFormat="1" applyFill="1" applyBorder="1"/>
    <xf numFmtId="164" fontId="0" fillId="0" borderId="0" xfId="0" applyNumberFormat="1" applyBorder="1"/>
    <xf numFmtId="168" fontId="0" fillId="0" borderId="0" xfId="0" applyNumberFormat="1" applyBorder="1"/>
    <xf numFmtId="169" fontId="0" fillId="0" borderId="0" xfId="0" applyNumberFormat="1" applyBorder="1"/>
    <xf numFmtId="4" fontId="14" fillId="0" borderId="0" xfId="0" applyNumberFormat="1" applyFont="1" applyBorder="1"/>
    <xf numFmtId="174" fontId="0" fillId="0" borderId="0" xfId="0" applyNumberFormat="1" applyBorder="1"/>
    <xf numFmtId="172" fontId="0" fillId="0" borderId="0" xfId="0" applyNumberFormat="1" applyBorder="1"/>
    <xf numFmtId="170" fontId="0" fillId="0" borderId="0" xfId="0" applyNumberFormat="1" applyBorder="1"/>
    <xf numFmtId="171" fontId="0" fillId="0" borderId="0" xfId="0" applyNumberFormat="1" applyBorder="1"/>
    <xf numFmtId="173" fontId="0" fillId="0" borderId="0" xfId="0" applyNumberFormat="1" applyBorder="1"/>
    <xf numFmtId="4" fontId="0" fillId="36" borderId="0" xfId="0" applyNumberFormat="1" applyFill="1" applyBorder="1"/>
    <xf numFmtId="0" fontId="0" fillId="36" borderId="0" xfId="0" applyFill="1" applyBorder="1"/>
    <xf numFmtId="0" fontId="0" fillId="0" borderId="0" xfId="0" quotePrefix="1" applyBorder="1"/>
    <xf numFmtId="0" fontId="19" fillId="0" borderId="44" xfId="0" applyFont="1" applyBorder="1" applyAlignment="1">
      <alignment horizontal="center" wrapText="1"/>
    </xf>
    <xf numFmtId="44" fontId="0" fillId="0" borderId="0" xfId="42" applyFont="1"/>
    <xf numFmtId="0" fontId="0" fillId="0" borderId="23" xfId="0" applyBorder="1"/>
    <xf numFmtId="44" fontId="0" fillId="0" borderId="23" xfId="42" applyFont="1" applyBorder="1"/>
    <xf numFmtId="4" fontId="0" fillId="0" borderId="23" xfId="0" applyNumberFormat="1" applyBorder="1"/>
    <xf numFmtId="0" fontId="0" fillId="48" borderId="23" xfId="0" applyFill="1" applyBorder="1"/>
    <xf numFmtId="44" fontId="0" fillId="48" borderId="23" xfId="42" applyFont="1" applyFill="1" applyBorder="1"/>
    <xf numFmtId="0" fontId="0" fillId="0" borderId="23" xfId="0" applyBorder="1" applyAlignment="1">
      <alignment wrapText="1"/>
    </xf>
    <xf numFmtId="4" fontId="0" fillId="0" borderId="23" xfId="0" applyNumberFormat="1" applyBorder="1" applyAlignment="1">
      <alignment wrapText="1"/>
    </xf>
    <xf numFmtId="44" fontId="0" fillId="0" borderId="23" xfId="42" applyFont="1" applyBorder="1" applyAlignment="1">
      <alignment wrapText="1"/>
    </xf>
    <xf numFmtId="0" fontId="0" fillId="0" borderId="0" xfId="0" applyAlignment="1">
      <alignment wrapText="1"/>
    </xf>
    <xf numFmtId="0" fontId="0" fillId="49" borderId="0" xfId="0" applyFill="1"/>
    <xf numFmtId="0" fontId="0" fillId="49" borderId="36" xfId="0" applyFill="1" applyBorder="1" applyAlignment="1">
      <alignment horizontal="left" vertical="center" wrapText="1"/>
    </xf>
    <xf numFmtId="0" fontId="0" fillId="49" borderId="0" xfId="0" applyFill="1" applyBorder="1"/>
    <xf numFmtId="0" fontId="0" fillId="49" borderId="36" xfId="0" applyFill="1" applyBorder="1"/>
    <xf numFmtId="2" fontId="0" fillId="49" borderId="0" xfId="0" applyNumberFormat="1" applyFill="1" applyBorder="1"/>
    <xf numFmtId="2" fontId="0" fillId="49" borderId="36" xfId="0" applyNumberFormat="1" applyFill="1" applyBorder="1"/>
    <xf numFmtId="0" fontId="0" fillId="48" borderId="23" xfId="0" applyFill="1" applyBorder="1" applyAlignment="1">
      <alignment wrapText="1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Moeda" xfId="42" builtinId="4"/>
    <cellStyle name="Neutra" xfId="8" builtinId="28" customBuiltin="1"/>
    <cellStyle name="Normal" xfId="0" builtinId="0"/>
    <cellStyle name="Normal 2" xfId="43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4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722"/>
  <sheetViews>
    <sheetView topLeftCell="A298" workbookViewId="0">
      <selection activeCell="B237" sqref="B237"/>
    </sheetView>
  </sheetViews>
  <sheetFormatPr defaultRowHeight="15" x14ac:dyDescent="0.25"/>
  <cols>
    <col min="1" max="1" width="9.85546875" bestFit="1" customWidth="1"/>
    <col min="2" max="2" width="67.7109375" bestFit="1" customWidth="1"/>
    <col min="3" max="3" width="9.85546875" bestFit="1" customWidth="1"/>
    <col min="4" max="4" width="11.5703125" bestFit="1" customWidth="1"/>
    <col min="5" max="5" width="10.28515625" bestFit="1" customWidth="1"/>
  </cols>
  <sheetData>
    <row r="1" spans="1:5" x14ac:dyDescent="0.25">
      <c r="A1" t="s">
        <v>1344</v>
      </c>
    </row>
    <row r="2" spans="1:5" ht="3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t="s">
        <v>5</v>
      </c>
      <c r="B3" t="s">
        <v>719</v>
      </c>
      <c r="C3" t="s">
        <v>4411</v>
      </c>
      <c r="D3" s="1">
        <v>123.7328</v>
      </c>
      <c r="E3" s="1">
        <v>20.5962</v>
      </c>
    </row>
    <row r="4" spans="1:5" x14ac:dyDescent="0.25">
      <c r="A4" t="s">
        <v>6</v>
      </c>
      <c r="B4" t="s">
        <v>720</v>
      </c>
      <c r="C4" t="s">
        <v>4411</v>
      </c>
      <c r="D4" s="1">
        <v>178.51259999999999</v>
      </c>
      <c r="E4" s="1">
        <v>20.5962</v>
      </c>
    </row>
    <row r="5" spans="1:5" x14ac:dyDescent="0.25">
      <c r="A5" t="s">
        <v>7</v>
      </c>
      <c r="B5" t="s">
        <v>721</v>
      </c>
      <c r="C5" t="s">
        <v>4411</v>
      </c>
      <c r="D5" s="1">
        <v>392.98669999999998</v>
      </c>
      <c r="E5" s="1">
        <v>20.5962</v>
      </c>
    </row>
    <row r="6" spans="1:5" x14ac:dyDescent="0.25">
      <c r="A6" t="s">
        <v>8</v>
      </c>
      <c r="B6" t="s">
        <v>722</v>
      </c>
      <c r="C6" t="s">
        <v>4411</v>
      </c>
      <c r="D6" s="1">
        <v>438.23180000000002</v>
      </c>
      <c r="E6" s="1">
        <v>20.5962</v>
      </c>
    </row>
    <row r="7" spans="1:5" x14ac:dyDescent="0.25">
      <c r="A7" t="s">
        <v>9</v>
      </c>
      <c r="B7" t="s">
        <v>723</v>
      </c>
      <c r="C7" t="s">
        <v>4411</v>
      </c>
      <c r="D7" s="1">
        <v>153.4794</v>
      </c>
      <c r="E7" s="1">
        <v>20.5962</v>
      </c>
    </row>
    <row r="8" spans="1:5" x14ac:dyDescent="0.25">
      <c r="A8" t="s">
        <v>10</v>
      </c>
      <c r="B8" t="s">
        <v>724</v>
      </c>
      <c r="C8" t="s">
        <v>4411</v>
      </c>
      <c r="D8" s="1">
        <v>72.838899999999995</v>
      </c>
      <c r="E8" s="1">
        <v>15.447100000000001</v>
      </c>
    </row>
    <row r="9" spans="1:5" x14ac:dyDescent="0.25">
      <c r="A9" t="s">
        <v>11</v>
      </c>
      <c r="B9" t="s">
        <v>725</v>
      </c>
      <c r="C9" t="s">
        <v>4411</v>
      </c>
      <c r="D9" s="1">
        <v>123.8771</v>
      </c>
      <c r="E9" s="1">
        <v>20.5962</v>
      </c>
    </row>
    <row r="10" spans="1:5" x14ac:dyDescent="0.25">
      <c r="A10" t="s">
        <v>12</v>
      </c>
      <c r="B10" t="s">
        <v>726</v>
      </c>
      <c r="C10" t="s">
        <v>4411</v>
      </c>
      <c r="D10" s="1">
        <v>204.97569999999999</v>
      </c>
      <c r="E10" s="1">
        <v>20.5962</v>
      </c>
    </row>
    <row r="11" spans="1:5" x14ac:dyDescent="0.25">
      <c r="A11" t="s">
        <v>13</v>
      </c>
      <c r="B11" t="s">
        <v>727</v>
      </c>
      <c r="C11" t="s">
        <v>4411</v>
      </c>
      <c r="D11" s="1">
        <v>77.4726</v>
      </c>
      <c r="E11" s="1">
        <v>20.5962</v>
      </c>
    </row>
    <row r="12" spans="1:5" x14ac:dyDescent="0.25">
      <c r="A12" t="s">
        <v>14</v>
      </c>
      <c r="B12" t="s">
        <v>728</v>
      </c>
      <c r="C12" t="s">
        <v>4411</v>
      </c>
      <c r="D12" s="1">
        <v>116.10120000000001</v>
      </c>
      <c r="E12" s="1">
        <v>15.447100000000001</v>
      </c>
    </row>
    <row r="13" spans="1:5" x14ac:dyDescent="0.25">
      <c r="A13" t="s">
        <v>15</v>
      </c>
      <c r="B13" t="s">
        <v>729</v>
      </c>
      <c r="C13" t="s">
        <v>4411</v>
      </c>
      <c r="D13" s="1">
        <v>403.42989999999998</v>
      </c>
      <c r="E13" s="1">
        <v>20.5962</v>
      </c>
    </row>
    <row r="14" spans="1:5" x14ac:dyDescent="0.25">
      <c r="A14" t="s">
        <v>16</v>
      </c>
      <c r="B14" t="s">
        <v>729</v>
      </c>
      <c r="C14" t="s">
        <v>4411</v>
      </c>
      <c r="D14" s="1">
        <v>195.71</v>
      </c>
      <c r="E14" s="1">
        <v>20.6</v>
      </c>
    </row>
    <row r="15" spans="1:5" x14ac:dyDescent="0.25">
      <c r="A15" t="s">
        <v>17</v>
      </c>
      <c r="B15" t="s">
        <v>730</v>
      </c>
      <c r="C15" t="s">
        <v>4411</v>
      </c>
      <c r="D15" s="1">
        <v>130.7064</v>
      </c>
      <c r="E15" s="1">
        <v>20.5962</v>
      </c>
    </row>
    <row r="16" spans="1:5" x14ac:dyDescent="0.25">
      <c r="A16" t="s">
        <v>18</v>
      </c>
      <c r="B16" t="s">
        <v>731</v>
      </c>
      <c r="C16" t="s">
        <v>4411</v>
      </c>
      <c r="D16" s="1">
        <v>76.98</v>
      </c>
      <c r="E16" s="1">
        <v>15.45</v>
      </c>
    </row>
    <row r="17" spans="1:5" x14ac:dyDescent="0.25">
      <c r="A17" t="s">
        <v>19</v>
      </c>
      <c r="B17" t="s">
        <v>732</v>
      </c>
      <c r="C17" t="s">
        <v>4411</v>
      </c>
      <c r="D17" s="1">
        <v>193.64</v>
      </c>
      <c r="E17" s="1">
        <v>15.45</v>
      </c>
    </row>
    <row r="18" spans="1:5" x14ac:dyDescent="0.25">
      <c r="A18" t="s">
        <v>20</v>
      </c>
      <c r="B18" t="s">
        <v>733</v>
      </c>
      <c r="C18" t="s">
        <v>4411</v>
      </c>
      <c r="D18" s="1">
        <v>257.80470000000003</v>
      </c>
      <c r="E18" s="1">
        <v>20.668700000000001</v>
      </c>
    </row>
    <row r="19" spans="1:5" x14ac:dyDescent="0.25">
      <c r="A19" t="s">
        <v>21</v>
      </c>
      <c r="B19" t="s">
        <v>734</v>
      </c>
      <c r="C19" t="s">
        <v>4411</v>
      </c>
      <c r="D19" s="1">
        <v>152.64429999999999</v>
      </c>
      <c r="E19" s="1">
        <v>20.668700000000001</v>
      </c>
    </row>
    <row r="20" spans="1:5" x14ac:dyDescent="0.25">
      <c r="A20" t="s">
        <v>22</v>
      </c>
      <c r="B20" t="s">
        <v>735</v>
      </c>
      <c r="C20" t="s">
        <v>4411</v>
      </c>
      <c r="D20" s="1">
        <v>101.3074</v>
      </c>
      <c r="E20" s="1">
        <v>0</v>
      </c>
    </row>
    <row r="21" spans="1:5" x14ac:dyDescent="0.25">
      <c r="A21" t="s">
        <v>23</v>
      </c>
      <c r="B21" t="s">
        <v>736</v>
      </c>
      <c r="C21" t="s">
        <v>4411</v>
      </c>
      <c r="D21" s="1">
        <v>146.126</v>
      </c>
      <c r="E21" s="1">
        <v>16.244900000000001</v>
      </c>
    </row>
    <row r="22" spans="1:5" x14ac:dyDescent="0.25">
      <c r="A22" t="s">
        <v>24</v>
      </c>
      <c r="B22" t="s">
        <v>737</v>
      </c>
      <c r="C22" t="s">
        <v>4411</v>
      </c>
      <c r="D22" s="1">
        <v>2.8340999999999998</v>
      </c>
      <c r="E22" s="1">
        <v>0</v>
      </c>
    </row>
    <row r="23" spans="1:5" x14ac:dyDescent="0.25">
      <c r="A23" t="s">
        <v>25</v>
      </c>
      <c r="B23" t="s">
        <v>738</v>
      </c>
      <c r="C23" t="s">
        <v>4411</v>
      </c>
      <c r="D23" s="1">
        <v>109.9044</v>
      </c>
      <c r="E23" s="1">
        <v>15.447100000000001</v>
      </c>
    </row>
    <row r="24" spans="1:5" x14ac:dyDescent="0.25">
      <c r="A24" t="s">
        <v>26</v>
      </c>
      <c r="B24" t="s">
        <v>739</v>
      </c>
      <c r="C24" t="s">
        <v>4411</v>
      </c>
      <c r="D24" s="1">
        <v>125.16</v>
      </c>
      <c r="E24" s="1">
        <v>15.45</v>
      </c>
    </row>
    <row r="25" spans="1:5" x14ac:dyDescent="0.25">
      <c r="A25" t="s">
        <v>27</v>
      </c>
      <c r="B25" t="s">
        <v>740</v>
      </c>
      <c r="C25" t="s">
        <v>4411</v>
      </c>
      <c r="D25" s="1">
        <v>92.552599999999998</v>
      </c>
      <c r="E25" s="1">
        <v>15.447100000000001</v>
      </c>
    </row>
    <row r="26" spans="1:5" x14ac:dyDescent="0.25">
      <c r="A26" t="s">
        <v>28</v>
      </c>
      <c r="B26" t="s">
        <v>741</v>
      </c>
      <c r="C26" t="s">
        <v>4411</v>
      </c>
      <c r="D26" s="1">
        <v>114.3858</v>
      </c>
      <c r="E26" s="1">
        <v>15.447100000000001</v>
      </c>
    </row>
    <row r="27" spans="1:5" x14ac:dyDescent="0.25">
      <c r="A27" t="s">
        <v>29</v>
      </c>
      <c r="B27" t="s">
        <v>742</v>
      </c>
      <c r="C27" t="s">
        <v>4411</v>
      </c>
      <c r="D27" s="1">
        <v>93.781599999999997</v>
      </c>
      <c r="E27" s="1">
        <v>20.668700000000001</v>
      </c>
    </row>
    <row r="28" spans="1:5" x14ac:dyDescent="0.25">
      <c r="A28" t="s">
        <v>30</v>
      </c>
      <c r="B28" t="s">
        <v>743</v>
      </c>
      <c r="C28" t="s">
        <v>4411</v>
      </c>
      <c r="D28" s="1">
        <v>4.6500000000000004</v>
      </c>
      <c r="E28" s="1">
        <v>0</v>
      </c>
    </row>
    <row r="29" spans="1:5" x14ac:dyDescent="0.25">
      <c r="A29" t="s">
        <v>31</v>
      </c>
      <c r="B29" t="s">
        <v>744</v>
      </c>
      <c r="C29" t="s">
        <v>4411</v>
      </c>
      <c r="D29" s="1">
        <v>3.6876000000000002</v>
      </c>
      <c r="E29" s="1">
        <v>0</v>
      </c>
    </row>
    <row r="30" spans="1:5" x14ac:dyDescent="0.25">
      <c r="A30" t="s">
        <v>32</v>
      </c>
      <c r="B30" t="s">
        <v>745</v>
      </c>
      <c r="C30" t="s">
        <v>4411</v>
      </c>
      <c r="D30" s="1">
        <v>152.28960000000001</v>
      </c>
      <c r="E30" s="1">
        <v>20.5962</v>
      </c>
    </row>
    <row r="31" spans="1:5" x14ac:dyDescent="0.25">
      <c r="A31" t="s">
        <v>33</v>
      </c>
      <c r="B31" t="s">
        <v>746</v>
      </c>
      <c r="C31" t="s">
        <v>4411</v>
      </c>
      <c r="D31" s="1">
        <v>18.5245</v>
      </c>
      <c r="E31" s="1">
        <v>0</v>
      </c>
    </row>
    <row r="32" spans="1:5" x14ac:dyDescent="0.25">
      <c r="A32" t="s">
        <v>34</v>
      </c>
      <c r="B32" t="s">
        <v>747</v>
      </c>
      <c r="C32" t="s">
        <v>4411</v>
      </c>
      <c r="D32" s="1">
        <v>119.58580000000001</v>
      </c>
      <c r="E32" s="1">
        <v>15.809699999999999</v>
      </c>
    </row>
    <row r="33" spans="1:5" x14ac:dyDescent="0.25">
      <c r="A33" t="s">
        <v>35</v>
      </c>
      <c r="B33" t="s">
        <v>748</v>
      </c>
      <c r="C33" t="s">
        <v>4411</v>
      </c>
      <c r="D33" s="1">
        <v>101.2871</v>
      </c>
      <c r="E33" s="1">
        <v>0</v>
      </c>
    </row>
    <row r="34" spans="1:5" x14ac:dyDescent="0.25">
      <c r="A34" t="s">
        <v>36</v>
      </c>
      <c r="B34" t="s">
        <v>749</v>
      </c>
      <c r="C34" t="s">
        <v>4411</v>
      </c>
      <c r="D34" s="1">
        <v>228.36680000000001</v>
      </c>
      <c r="E34" s="1">
        <v>0</v>
      </c>
    </row>
    <row r="35" spans="1:5" x14ac:dyDescent="0.25">
      <c r="A35" t="s">
        <v>37</v>
      </c>
      <c r="B35" t="s">
        <v>750</v>
      </c>
      <c r="C35" t="s">
        <v>4411</v>
      </c>
      <c r="D35" s="1">
        <v>145.4915</v>
      </c>
      <c r="E35" s="1">
        <v>20.668700000000001</v>
      </c>
    </row>
    <row r="36" spans="1:5" x14ac:dyDescent="0.25">
      <c r="A36" t="s">
        <v>38</v>
      </c>
      <c r="B36" t="s">
        <v>751</v>
      </c>
      <c r="C36" t="s">
        <v>4411</v>
      </c>
      <c r="D36" s="1">
        <v>49.922199999999997</v>
      </c>
      <c r="E36" s="1">
        <v>20.668700000000001</v>
      </c>
    </row>
    <row r="37" spans="1:5" x14ac:dyDescent="0.25">
      <c r="A37" t="s">
        <v>39</v>
      </c>
      <c r="B37" t="s">
        <v>752</v>
      </c>
      <c r="C37" t="s">
        <v>4411</v>
      </c>
      <c r="D37" s="1">
        <v>32.3782</v>
      </c>
      <c r="E37" s="1">
        <v>20.668700000000001</v>
      </c>
    </row>
    <row r="38" spans="1:5" x14ac:dyDescent="0.25">
      <c r="A38" t="s">
        <v>40</v>
      </c>
      <c r="B38" t="s">
        <v>753</v>
      </c>
      <c r="C38" t="s">
        <v>4411</v>
      </c>
      <c r="D38" s="1">
        <v>60.875599999999999</v>
      </c>
      <c r="E38" s="1">
        <v>15.447100000000001</v>
      </c>
    </row>
    <row r="39" spans="1:5" x14ac:dyDescent="0.25">
      <c r="A39" t="s">
        <v>41</v>
      </c>
      <c r="B39" t="s">
        <v>754</v>
      </c>
      <c r="C39" t="s">
        <v>4411</v>
      </c>
      <c r="D39" s="1">
        <v>43.892800000000001</v>
      </c>
      <c r="E39" s="1">
        <v>15.447100000000001</v>
      </c>
    </row>
    <row r="40" spans="1:5" x14ac:dyDescent="0.25">
      <c r="A40" t="s">
        <v>42</v>
      </c>
      <c r="B40" t="s">
        <v>755</v>
      </c>
      <c r="C40" t="s">
        <v>4411</v>
      </c>
      <c r="D40" s="1">
        <v>96.814700000000002</v>
      </c>
      <c r="E40" s="1">
        <v>15.447100000000001</v>
      </c>
    </row>
    <row r="41" spans="1:5" x14ac:dyDescent="0.25">
      <c r="A41" t="s">
        <v>43</v>
      </c>
      <c r="B41" t="s">
        <v>756</v>
      </c>
      <c r="C41" t="s">
        <v>4411</v>
      </c>
      <c r="D41" s="1">
        <v>79.824700000000007</v>
      </c>
      <c r="E41" s="1">
        <v>15.447100000000001</v>
      </c>
    </row>
    <row r="42" spans="1:5" x14ac:dyDescent="0.25">
      <c r="A42" t="s">
        <v>44</v>
      </c>
      <c r="B42" t="s">
        <v>757</v>
      </c>
      <c r="C42" t="s">
        <v>4411</v>
      </c>
      <c r="D42" s="1">
        <v>164.8973</v>
      </c>
      <c r="E42" s="1">
        <v>15.809699999999999</v>
      </c>
    </row>
    <row r="43" spans="1:5" x14ac:dyDescent="0.25">
      <c r="A43" t="s">
        <v>45</v>
      </c>
      <c r="B43" t="s">
        <v>758</v>
      </c>
      <c r="C43" t="s">
        <v>4411</v>
      </c>
      <c r="D43" s="1">
        <v>10.0068</v>
      </c>
      <c r="E43" s="1">
        <v>0</v>
      </c>
    </row>
    <row r="44" spans="1:5" x14ac:dyDescent="0.25">
      <c r="A44" t="s">
        <v>46</v>
      </c>
      <c r="B44" t="s">
        <v>759</v>
      </c>
      <c r="C44" t="s">
        <v>4411</v>
      </c>
      <c r="D44" s="1">
        <v>557.08299999999997</v>
      </c>
      <c r="E44" s="1">
        <v>20.67</v>
      </c>
    </row>
    <row r="45" spans="1:5" x14ac:dyDescent="0.25">
      <c r="A45" t="s">
        <v>47</v>
      </c>
      <c r="B45" t="s">
        <v>760</v>
      </c>
      <c r="C45" t="s">
        <v>4411</v>
      </c>
      <c r="D45" s="1">
        <v>385.2072</v>
      </c>
      <c r="E45" s="1">
        <v>20.668700000000001</v>
      </c>
    </row>
    <row r="46" spans="1:5" x14ac:dyDescent="0.25">
      <c r="A46" t="s">
        <v>48</v>
      </c>
      <c r="B46" t="s">
        <v>761</v>
      </c>
      <c r="C46" t="s">
        <v>4411</v>
      </c>
      <c r="D46" s="1">
        <v>889.54219999999998</v>
      </c>
      <c r="E46" s="1">
        <v>20.668700000000001</v>
      </c>
    </row>
    <row r="47" spans="1:5" x14ac:dyDescent="0.25">
      <c r="A47" t="s">
        <v>49</v>
      </c>
      <c r="B47" t="s">
        <v>762</v>
      </c>
      <c r="C47" t="s">
        <v>4411</v>
      </c>
      <c r="D47" s="1">
        <v>545.79300000000001</v>
      </c>
      <c r="E47" s="1">
        <v>20.67</v>
      </c>
    </row>
    <row r="48" spans="1:5" x14ac:dyDescent="0.25">
      <c r="A48" t="s">
        <v>50</v>
      </c>
      <c r="B48" t="s">
        <v>763</v>
      </c>
      <c r="C48" t="s">
        <v>4411</v>
      </c>
      <c r="D48" s="1">
        <v>794.54150000000004</v>
      </c>
      <c r="E48" s="1">
        <v>20.668700000000001</v>
      </c>
    </row>
    <row r="49" spans="1:5" x14ac:dyDescent="0.25">
      <c r="A49" t="s">
        <v>51</v>
      </c>
      <c r="B49" t="s">
        <v>764</v>
      </c>
      <c r="C49" t="s">
        <v>4411</v>
      </c>
      <c r="D49" s="1">
        <v>582.30100000000004</v>
      </c>
      <c r="E49" s="1">
        <v>20.668700000000001</v>
      </c>
    </row>
    <row r="50" spans="1:5" x14ac:dyDescent="0.25">
      <c r="A50" t="s">
        <v>52</v>
      </c>
      <c r="B50" t="s">
        <v>765</v>
      </c>
      <c r="C50" t="s">
        <v>4411</v>
      </c>
      <c r="D50" s="1">
        <v>102.62860000000001</v>
      </c>
      <c r="E50" s="1">
        <v>15.447100000000001</v>
      </c>
    </row>
    <row r="51" spans="1:5" x14ac:dyDescent="0.25">
      <c r="A51" t="s">
        <v>53</v>
      </c>
      <c r="B51" t="s">
        <v>766</v>
      </c>
      <c r="C51" t="s">
        <v>4411</v>
      </c>
      <c r="D51" s="1">
        <v>104.8595</v>
      </c>
      <c r="E51" s="1">
        <v>15.447100000000001</v>
      </c>
    </row>
    <row r="52" spans="1:5" x14ac:dyDescent="0.25">
      <c r="A52" t="s">
        <v>54</v>
      </c>
      <c r="B52" t="s">
        <v>767</v>
      </c>
      <c r="C52" t="s">
        <v>4411</v>
      </c>
      <c r="D52" s="1">
        <v>280.69310000000002</v>
      </c>
      <c r="E52" s="1">
        <v>20.668700000000001</v>
      </c>
    </row>
    <row r="53" spans="1:5" x14ac:dyDescent="0.25">
      <c r="A53" t="s">
        <v>55</v>
      </c>
      <c r="B53" t="s">
        <v>768</v>
      </c>
      <c r="C53" t="s">
        <v>4411</v>
      </c>
      <c r="D53" s="1">
        <v>160.1343</v>
      </c>
      <c r="E53" s="1">
        <v>20.668700000000001</v>
      </c>
    </row>
    <row r="54" spans="1:5" x14ac:dyDescent="0.25">
      <c r="A54" t="s">
        <v>56</v>
      </c>
      <c r="B54" t="s">
        <v>769</v>
      </c>
      <c r="C54" t="s">
        <v>4411</v>
      </c>
      <c r="D54" s="1">
        <v>99.5</v>
      </c>
      <c r="E54" s="1">
        <v>15.45</v>
      </c>
    </row>
    <row r="55" spans="1:5" x14ac:dyDescent="0.25">
      <c r="A55" t="s">
        <v>57</v>
      </c>
      <c r="B55" t="s">
        <v>770</v>
      </c>
      <c r="C55" t="s">
        <v>4411</v>
      </c>
      <c r="D55" s="1">
        <v>0</v>
      </c>
      <c r="E55" s="1">
        <v>0</v>
      </c>
    </row>
    <row r="56" spans="1:5" x14ac:dyDescent="0.25">
      <c r="A56" t="s">
        <v>58</v>
      </c>
      <c r="B56" t="s">
        <v>771</v>
      </c>
      <c r="C56" t="s">
        <v>4411</v>
      </c>
      <c r="D56" s="1">
        <v>100.97709999999999</v>
      </c>
      <c r="E56" s="1">
        <v>20.5962</v>
      </c>
    </row>
    <row r="57" spans="1:5" x14ac:dyDescent="0.25">
      <c r="A57" t="s">
        <v>59</v>
      </c>
      <c r="B57" t="s">
        <v>772</v>
      </c>
      <c r="C57" t="s">
        <v>4411</v>
      </c>
      <c r="D57" s="1">
        <v>354.84100000000001</v>
      </c>
      <c r="E57" s="1">
        <v>20.668700000000001</v>
      </c>
    </row>
    <row r="58" spans="1:5" x14ac:dyDescent="0.25">
      <c r="A58" t="s">
        <v>60</v>
      </c>
      <c r="B58" t="s">
        <v>773</v>
      </c>
      <c r="C58" t="s">
        <v>4411</v>
      </c>
      <c r="D58" s="1">
        <v>280.55779999999999</v>
      </c>
      <c r="E58" s="1">
        <v>16.244900000000001</v>
      </c>
    </row>
    <row r="59" spans="1:5" x14ac:dyDescent="0.25">
      <c r="A59" t="s">
        <v>61</v>
      </c>
      <c r="B59" t="s">
        <v>774</v>
      </c>
      <c r="C59" t="s">
        <v>4411</v>
      </c>
      <c r="D59" s="1">
        <v>71.009</v>
      </c>
      <c r="E59" s="1">
        <v>15.447100000000001</v>
      </c>
    </row>
    <row r="60" spans="1:5" x14ac:dyDescent="0.25">
      <c r="A60" t="s">
        <v>62</v>
      </c>
      <c r="B60" t="s">
        <v>775</v>
      </c>
      <c r="C60" t="s">
        <v>4411</v>
      </c>
      <c r="D60" s="1">
        <v>76.221699999999998</v>
      </c>
      <c r="E60" s="1">
        <v>15.447100000000001</v>
      </c>
    </row>
    <row r="61" spans="1:5" x14ac:dyDescent="0.25">
      <c r="A61" t="s">
        <v>63</v>
      </c>
      <c r="B61" t="s">
        <v>776</v>
      </c>
      <c r="C61" t="s">
        <v>4411</v>
      </c>
      <c r="D61" s="1">
        <v>124.8824</v>
      </c>
      <c r="E61" s="1">
        <v>15.447100000000001</v>
      </c>
    </row>
    <row r="62" spans="1:5" x14ac:dyDescent="0.25">
      <c r="A62" t="s">
        <v>64</v>
      </c>
      <c r="B62" t="s">
        <v>777</v>
      </c>
      <c r="C62" t="s">
        <v>4411</v>
      </c>
      <c r="D62" s="1">
        <v>16.6508</v>
      </c>
      <c r="E62" s="1">
        <v>15.447100000000001</v>
      </c>
    </row>
    <row r="63" spans="1:5" x14ac:dyDescent="0.25">
      <c r="A63" t="s">
        <v>65</v>
      </c>
      <c r="B63" t="s">
        <v>778</v>
      </c>
      <c r="C63" t="s">
        <v>4411</v>
      </c>
      <c r="D63" s="1">
        <v>35.036999999999999</v>
      </c>
      <c r="E63" s="1">
        <v>15.447100000000001</v>
      </c>
    </row>
    <row r="64" spans="1:5" x14ac:dyDescent="0.25">
      <c r="A64" t="s">
        <v>66</v>
      </c>
      <c r="B64" t="s">
        <v>779</v>
      </c>
      <c r="C64" t="s">
        <v>4411</v>
      </c>
      <c r="D64" s="1">
        <v>362.91120000000001</v>
      </c>
      <c r="E64" s="1">
        <v>20.6</v>
      </c>
    </row>
    <row r="65" spans="1:5" x14ac:dyDescent="0.25">
      <c r="A65" t="s">
        <v>67</v>
      </c>
      <c r="B65" t="s">
        <v>780</v>
      </c>
      <c r="C65" t="s">
        <v>4411</v>
      </c>
      <c r="D65" s="1">
        <v>50.69</v>
      </c>
      <c r="E65" s="1">
        <v>20.6</v>
      </c>
    </row>
    <row r="66" spans="1:5" x14ac:dyDescent="0.25">
      <c r="A66" t="s">
        <v>68</v>
      </c>
      <c r="B66" t="s">
        <v>781</v>
      </c>
      <c r="C66" t="s">
        <v>4411</v>
      </c>
      <c r="D66" s="1">
        <v>50.793500000000002</v>
      </c>
      <c r="E66" s="1">
        <v>15.447100000000001</v>
      </c>
    </row>
    <row r="67" spans="1:5" x14ac:dyDescent="0.25">
      <c r="A67" t="s">
        <v>69</v>
      </c>
      <c r="B67" t="s">
        <v>782</v>
      </c>
      <c r="C67" t="s">
        <v>4411</v>
      </c>
      <c r="D67" s="1">
        <v>16.679300000000001</v>
      </c>
      <c r="E67" s="1">
        <v>15.447100000000001</v>
      </c>
    </row>
    <row r="68" spans="1:5" x14ac:dyDescent="0.25">
      <c r="A68" t="s">
        <v>70</v>
      </c>
      <c r="B68" t="s">
        <v>783</v>
      </c>
      <c r="C68" t="s">
        <v>4411</v>
      </c>
      <c r="D68" s="1">
        <v>16.6584</v>
      </c>
      <c r="E68" s="1">
        <v>15.447100000000001</v>
      </c>
    </row>
    <row r="69" spans="1:5" x14ac:dyDescent="0.25">
      <c r="A69" t="s">
        <v>71</v>
      </c>
      <c r="B69" t="s">
        <v>784</v>
      </c>
      <c r="C69" t="s">
        <v>4411</v>
      </c>
      <c r="D69" s="1">
        <v>1.0765</v>
      </c>
      <c r="E69" s="1">
        <v>0</v>
      </c>
    </row>
    <row r="70" spans="1:5" x14ac:dyDescent="0.25">
      <c r="A70" t="s">
        <v>72</v>
      </c>
      <c r="B70" t="s">
        <v>785</v>
      </c>
      <c r="C70" t="s">
        <v>4411</v>
      </c>
      <c r="D70" s="1">
        <v>68.987799999999993</v>
      </c>
      <c r="E70" s="1">
        <v>15.447100000000001</v>
      </c>
    </row>
    <row r="71" spans="1:5" x14ac:dyDescent="0.25">
      <c r="A71" t="s">
        <v>73</v>
      </c>
      <c r="B71" t="s">
        <v>786</v>
      </c>
      <c r="C71" t="s">
        <v>4411</v>
      </c>
      <c r="D71" s="1">
        <v>515.23230000000001</v>
      </c>
      <c r="E71" s="1">
        <v>20.5962</v>
      </c>
    </row>
    <row r="72" spans="1:5" x14ac:dyDescent="0.25">
      <c r="A72" t="s">
        <v>74</v>
      </c>
      <c r="B72" t="s">
        <v>787</v>
      </c>
      <c r="C72" t="s">
        <v>4411</v>
      </c>
      <c r="D72" s="1">
        <v>191.13120000000001</v>
      </c>
      <c r="E72" s="1">
        <v>20.5962</v>
      </c>
    </row>
    <row r="73" spans="1:5" x14ac:dyDescent="0.25">
      <c r="A73" t="s">
        <v>75</v>
      </c>
      <c r="B73" t="s">
        <v>788</v>
      </c>
      <c r="C73" t="s">
        <v>4411</v>
      </c>
      <c r="D73" s="1">
        <v>18.610600000000002</v>
      </c>
      <c r="E73" s="1">
        <v>15.447100000000001</v>
      </c>
    </row>
    <row r="74" spans="1:5" x14ac:dyDescent="0.25">
      <c r="A74" t="s">
        <v>76</v>
      </c>
      <c r="B74" t="s">
        <v>788</v>
      </c>
      <c r="C74" t="s">
        <v>4411</v>
      </c>
      <c r="D74" s="1">
        <v>17.598199999999999</v>
      </c>
      <c r="E74" s="1">
        <v>15.447100000000001</v>
      </c>
    </row>
    <row r="75" spans="1:5" x14ac:dyDescent="0.25">
      <c r="A75" t="s">
        <v>77</v>
      </c>
      <c r="B75" t="s">
        <v>789</v>
      </c>
      <c r="C75" t="s">
        <v>4411</v>
      </c>
      <c r="D75" s="1">
        <v>23.7669</v>
      </c>
      <c r="E75" s="1">
        <v>15.447100000000001</v>
      </c>
    </row>
    <row r="76" spans="1:5" x14ac:dyDescent="0.25">
      <c r="A76" t="s">
        <v>78</v>
      </c>
      <c r="B76" t="s">
        <v>790</v>
      </c>
      <c r="C76" t="s">
        <v>4411</v>
      </c>
      <c r="D76" s="1">
        <v>0.14230000000000001</v>
      </c>
      <c r="E76" s="1">
        <v>0</v>
      </c>
    </row>
    <row r="77" spans="1:5" x14ac:dyDescent="0.25">
      <c r="A77" t="s">
        <v>79</v>
      </c>
      <c r="B77" t="s">
        <v>791</v>
      </c>
      <c r="C77" t="s">
        <v>4411</v>
      </c>
      <c r="D77" s="1">
        <v>0.86470000000000002</v>
      </c>
      <c r="E77" s="1">
        <v>0</v>
      </c>
    </row>
    <row r="78" spans="1:5" x14ac:dyDescent="0.25">
      <c r="A78" t="s">
        <v>80</v>
      </c>
      <c r="B78" t="s">
        <v>792</v>
      </c>
      <c r="C78" t="s">
        <v>4411</v>
      </c>
      <c r="D78" s="1">
        <v>16.6966</v>
      </c>
      <c r="E78" s="1">
        <v>15.447100000000001</v>
      </c>
    </row>
    <row r="79" spans="1:5" x14ac:dyDescent="0.25">
      <c r="A79" t="s">
        <v>81</v>
      </c>
      <c r="B79" t="s">
        <v>793</v>
      </c>
      <c r="C79" t="s">
        <v>4411</v>
      </c>
      <c r="D79" s="1">
        <v>4.7668999999999997</v>
      </c>
      <c r="E79" s="1">
        <v>0</v>
      </c>
    </row>
    <row r="80" spans="1:5" x14ac:dyDescent="0.25">
      <c r="A80" t="s">
        <v>82</v>
      </c>
      <c r="B80" t="s">
        <v>794</v>
      </c>
      <c r="C80" t="s">
        <v>4411</v>
      </c>
      <c r="D80" s="1">
        <v>5.2004999999999999</v>
      </c>
      <c r="E80" s="1">
        <v>0</v>
      </c>
    </row>
    <row r="81" spans="1:5" x14ac:dyDescent="0.25">
      <c r="A81" t="s">
        <v>83</v>
      </c>
      <c r="B81" t="s">
        <v>795</v>
      </c>
      <c r="C81" t="s">
        <v>4411</v>
      </c>
      <c r="D81" s="1">
        <v>5.5086000000000004</v>
      </c>
      <c r="E81" s="1">
        <v>0</v>
      </c>
    </row>
    <row r="82" spans="1:5" x14ac:dyDescent="0.25">
      <c r="A82" t="s">
        <v>84</v>
      </c>
      <c r="B82" t="s">
        <v>796</v>
      </c>
      <c r="C82" t="s">
        <v>4411</v>
      </c>
      <c r="D82" s="1">
        <v>6.5328999999999997</v>
      </c>
      <c r="E82" s="1">
        <v>0</v>
      </c>
    </row>
    <row r="83" spans="1:5" x14ac:dyDescent="0.25">
      <c r="A83" t="s">
        <v>85</v>
      </c>
      <c r="B83" t="s">
        <v>797</v>
      </c>
      <c r="C83" t="s">
        <v>4411</v>
      </c>
      <c r="D83" s="1">
        <v>6.9886999999999997</v>
      </c>
      <c r="E83" s="1">
        <v>0</v>
      </c>
    </row>
    <row r="84" spans="1:5" x14ac:dyDescent="0.25">
      <c r="A84" t="s">
        <v>86</v>
      </c>
      <c r="B84" t="s">
        <v>798</v>
      </c>
      <c r="C84" t="s">
        <v>4411</v>
      </c>
      <c r="D84" s="1">
        <v>6.8667999999999996</v>
      </c>
      <c r="E84" s="1">
        <v>0</v>
      </c>
    </row>
    <row r="85" spans="1:5" x14ac:dyDescent="0.25">
      <c r="A85" t="s">
        <v>87</v>
      </c>
      <c r="B85" t="s">
        <v>799</v>
      </c>
      <c r="C85" t="s">
        <v>4411</v>
      </c>
      <c r="D85" s="1">
        <v>7.4051</v>
      </c>
      <c r="E85" s="1">
        <v>0</v>
      </c>
    </row>
    <row r="86" spans="1:5" x14ac:dyDescent="0.25">
      <c r="A86" t="s">
        <v>88</v>
      </c>
      <c r="B86" t="s">
        <v>800</v>
      </c>
      <c r="C86" t="s">
        <v>4411</v>
      </c>
      <c r="D86" s="1">
        <v>7.0274000000000001</v>
      </c>
      <c r="E86" s="1">
        <v>0</v>
      </c>
    </row>
    <row r="87" spans="1:5" x14ac:dyDescent="0.25">
      <c r="A87" t="s">
        <v>89</v>
      </c>
      <c r="B87" t="s">
        <v>801</v>
      </c>
      <c r="C87" t="s">
        <v>4411</v>
      </c>
      <c r="D87" s="1">
        <v>2.4278</v>
      </c>
      <c r="E87" s="1">
        <v>0</v>
      </c>
    </row>
    <row r="88" spans="1:5" x14ac:dyDescent="0.25">
      <c r="A88" t="s">
        <v>90</v>
      </c>
      <c r="B88" t="s">
        <v>801</v>
      </c>
      <c r="C88" t="s">
        <v>4411</v>
      </c>
      <c r="D88" s="1">
        <v>2.8948</v>
      </c>
      <c r="E88" s="1">
        <v>0</v>
      </c>
    </row>
    <row r="89" spans="1:5" x14ac:dyDescent="0.25">
      <c r="A89" t="s">
        <v>91</v>
      </c>
      <c r="B89" t="s">
        <v>801</v>
      </c>
      <c r="C89" t="s">
        <v>4411</v>
      </c>
      <c r="D89" s="1">
        <v>3.5937999999999999</v>
      </c>
      <c r="E89" s="1">
        <v>0</v>
      </c>
    </row>
    <row r="90" spans="1:5" x14ac:dyDescent="0.25">
      <c r="A90" t="s">
        <v>92</v>
      </c>
      <c r="B90" t="s">
        <v>802</v>
      </c>
      <c r="C90" t="s">
        <v>4411</v>
      </c>
      <c r="D90" s="1">
        <v>56.300899999999999</v>
      </c>
      <c r="E90" s="1">
        <v>20.67</v>
      </c>
    </row>
    <row r="91" spans="1:5" x14ac:dyDescent="0.25">
      <c r="A91" t="s">
        <v>93</v>
      </c>
      <c r="B91" t="s">
        <v>803</v>
      </c>
      <c r="C91" t="s">
        <v>4411</v>
      </c>
      <c r="D91" s="1">
        <v>284.10340000000002</v>
      </c>
      <c r="E91" s="1">
        <v>20.668700000000001</v>
      </c>
    </row>
    <row r="92" spans="1:5" x14ac:dyDescent="0.25">
      <c r="A92" t="s">
        <v>94</v>
      </c>
      <c r="B92" t="s">
        <v>804</v>
      </c>
      <c r="C92" t="s">
        <v>4411</v>
      </c>
      <c r="D92" s="1">
        <v>395.48469999999998</v>
      </c>
      <c r="E92" s="1">
        <v>20.668700000000001</v>
      </c>
    </row>
    <row r="93" spans="1:5" x14ac:dyDescent="0.25">
      <c r="A93" t="s">
        <v>95</v>
      </c>
      <c r="B93" t="s">
        <v>805</v>
      </c>
      <c r="C93" t="s">
        <v>4411</v>
      </c>
      <c r="D93" s="1">
        <v>110.35809999999999</v>
      </c>
      <c r="E93" s="1">
        <v>15.447100000000001</v>
      </c>
    </row>
    <row r="94" spans="1:5" x14ac:dyDescent="0.25">
      <c r="A94" t="s">
        <v>96</v>
      </c>
      <c r="B94" t="s">
        <v>806</v>
      </c>
      <c r="C94" t="s">
        <v>4411</v>
      </c>
      <c r="D94" s="1">
        <v>31.221</v>
      </c>
      <c r="E94" s="1">
        <v>15.447100000000001</v>
      </c>
    </row>
    <row r="95" spans="1:5" x14ac:dyDescent="0.25">
      <c r="A95" t="s">
        <v>97</v>
      </c>
      <c r="B95" t="s">
        <v>807</v>
      </c>
      <c r="C95" t="s">
        <v>4411</v>
      </c>
      <c r="D95" s="1">
        <v>34.849200000000003</v>
      </c>
      <c r="E95" s="1">
        <v>15.447100000000001</v>
      </c>
    </row>
    <row r="96" spans="1:5" x14ac:dyDescent="0.25">
      <c r="A96" t="s">
        <v>98</v>
      </c>
      <c r="B96" t="s">
        <v>808</v>
      </c>
      <c r="C96" t="s">
        <v>4411</v>
      </c>
      <c r="D96" s="1">
        <v>452.98689999999999</v>
      </c>
      <c r="E96" s="1">
        <v>20.668700000000001</v>
      </c>
    </row>
    <row r="97" spans="1:5" x14ac:dyDescent="0.25">
      <c r="A97" t="s">
        <v>99</v>
      </c>
      <c r="B97" t="s">
        <v>809</v>
      </c>
      <c r="C97" t="s">
        <v>4411</v>
      </c>
      <c r="D97" s="1">
        <v>5.3174999999999999</v>
      </c>
      <c r="E97" s="1">
        <v>0</v>
      </c>
    </row>
    <row r="98" spans="1:5" x14ac:dyDescent="0.25">
      <c r="A98" t="s">
        <v>100</v>
      </c>
      <c r="B98" t="s">
        <v>810</v>
      </c>
      <c r="C98" t="s">
        <v>4411</v>
      </c>
      <c r="D98" s="1">
        <v>18.2776</v>
      </c>
      <c r="E98" s="1">
        <v>15.447100000000001</v>
      </c>
    </row>
    <row r="99" spans="1:5" x14ac:dyDescent="0.25">
      <c r="A99" t="s">
        <v>101</v>
      </c>
      <c r="B99" t="s">
        <v>811</v>
      </c>
      <c r="C99" t="s">
        <v>4411</v>
      </c>
      <c r="D99" s="1">
        <v>25.928999999999998</v>
      </c>
      <c r="E99" s="1">
        <v>15.447100000000001</v>
      </c>
    </row>
    <row r="100" spans="1:5" x14ac:dyDescent="0.25">
      <c r="A100" t="s">
        <v>102</v>
      </c>
      <c r="B100" t="s">
        <v>812</v>
      </c>
      <c r="C100" t="s">
        <v>4411</v>
      </c>
      <c r="D100" s="1">
        <v>3.9908999999999999</v>
      </c>
      <c r="E100" s="1">
        <v>0</v>
      </c>
    </row>
    <row r="101" spans="1:5" x14ac:dyDescent="0.25">
      <c r="A101" t="s">
        <v>103</v>
      </c>
      <c r="B101" t="s">
        <v>813</v>
      </c>
      <c r="C101" t="s">
        <v>4411</v>
      </c>
      <c r="D101" s="1">
        <v>18.677</v>
      </c>
      <c r="E101" s="1">
        <v>15.447100000000001</v>
      </c>
    </row>
    <row r="102" spans="1:5" x14ac:dyDescent="0.25">
      <c r="A102" t="s">
        <v>104</v>
      </c>
      <c r="B102" t="s">
        <v>814</v>
      </c>
      <c r="C102" t="s">
        <v>4411</v>
      </c>
      <c r="D102" s="1">
        <v>25.691400000000002</v>
      </c>
      <c r="E102" s="1">
        <v>15.447100000000001</v>
      </c>
    </row>
    <row r="103" spans="1:5" x14ac:dyDescent="0.25">
      <c r="A103" t="s">
        <v>105</v>
      </c>
      <c r="B103" t="s">
        <v>815</v>
      </c>
      <c r="C103" t="s">
        <v>4411</v>
      </c>
      <c r="D103" s="1">
        <v>83.091399999999993</v>
      </c>
      <c r="E103" s="1">
        <v>15.809699999999999</v>
      </c>
    </row>
    <row r="104" spans="1:5" x14ac:dyDescent="0.25">
      <c r="A104" t="s">
        <v>106</v>
      </c>
      <c r="B104" t="s">
        <v>816</v>
      </c>
      <c r="C104" t="s">
        <v>4411</v>
      </c>
      <c r="D104" s="1">
        <v>93.193899999999999</v>
      </c>
      <c r="E104" s="1">
        <v>15.809699999999999</v>
      </c>
    </row>
    <row r="105" spans="1:5" x14ac:dyDescent="0.25">
      <c r="A105" t="s">
        <v>107</v>
      </c>
      <c r="B105" t="s">
        <v>817</v>
      </c>
      <c r="C105" t="s">
        <v>4411</v>
      </c>
      <c r="D105" s="1">
        <v>126.51390000000001</v>
      </c>
      <c r="E105" s="1">
        <v>15.809699999999999</v>
      </c>
    </row>
    <row r="106" spans="1:5" x14ac:dyDescent="0.25">
      <c r="A106" t="s">
        <v>108</v>
      </c>
      <c r="B106" t="s">
        <v>818</v>
      </c>
      <c r="C106" t="s">
        <v>4411</v>
      </c>
      <c r="D106" s="1">
        <v>113.1024</v>
      </c>
      <c r="E106" s="1">
        <v>15.809699999999999</v>
      </c>
    </row>
    <row r="107" spans="1:5" x14ac:dyDescent="0.25">
      <c r="A107" t="s">
        <v>109</v>
      </c>
      <c r="B107" t="s">
        <v>819</v>
      </c>
      <c r="C107" t="s">
        <v>4411</v>
      </c>
      <c r="D107" s="1">
        <v>130.87270000000001</v>
      </c>
      <c r="E107" s="1">
        <v>15.809699999999999</v>
      </c>
    </row>
    <row r="108" spans="1:5" x14ac:dyDescent="0.25">
      <c r="A108" t="s">
        <v>110</v>
      </c>
      <c r="B108" t="s">
        <v>820</v>
      </c>
      <c r="C108" t="s">
        <v>4411</v>
      </c>
      <c r="D108" s="1">
        <v>135.24619999999999</v>
      </c>
      <c r="E108" s="1">
        <v>15.809699999999999</v>
      </c>
    </row>
    <row r="109" spans="1:5" x14ac:dyDescent="0.25">
      <c r="A109" t="s">
        <v>111</v>
      </c>
      <c r="B109" t="s">
        <v>821</v>
      </c>
      <c r="C109" t="s">
        <v>4411</v>
      </c>
      <c r="D109" s="1">
        <v>94.697599999999994</v>
      </c>
      <c r="E109" s="1">
        <v>15.809699999999999</v>
      </c>
    </row>
    <row r="110" spans="1:5" x14ac:dyDescent="0.25">
      <c r="A110" t="s">
        <v>112</v>
      </c>
      <c r="B110" t="s">
        <v>822</v>
      </c>
      <c r="C110" t="s">
        <v>4411</v>
      </c>
      <c r="D110" s="1">
        <v>130.5393</v>
      </c>
      <c r="E110" s="1">
        <v>15.809699999999999</v>
      </c>
    </row>
    <row r="111" spans="1:5" x14ac:dyDescent="0.25">
      <c r="A111" t="s">
        <v>113</v>
      </c>
      <c r="B111" t="s">
        <v>823</v>
      </c>
      <c r="C111" t="s">
        <v>4411</v>
      </c>
      <c r="D111" s="1">
        <v>63.565899999999999</v>
      </c>
      <c r="E111" s="1">
        <v>15.809699999999999</v>
      </c>
    </row>
    <row r="112" spans="1:5" x14ac:dyDescent="0.25">
      <c r="A112" t="s">
        <v>114</v>
      </c>
      <c r="B112" t="s">
        <v>824</v>
      </c>
      <c r="C112" t="s">
        <v>4411</v>
      </c>
      <c r="D112" s="1">
        <v>91.921099999999996</v>
      </c>
      <c r="E112" s="1">
        <v>15.809699999999999</v>
      </c>
    </row>
    <row r="113" spans="1:5" x14ac:dyDescent="0.25">
      <c r="A113" t="s">
        <v>115</v>
      </c>
      <c r="B113" t="s">
        <v>825</v>
      </c>
      <c r="C113" t="s">
        <v>4411</v>
      </c>
      <c r="D113" s="1">
        <v>85.5261</v>
      </c>
      <c r="E113" s="1">
        <v>15.809699999999999</v>
      </c>
    </row>
    <row r="114" spans="1:5" x14ac:dyDescent="0.25">
      <c r="A114" t="s">
        <v>116</v>
      </c>
      <c r="B114" t="s">
        <v>826</v>
      </c>
      <c r="C114" t="s">
        <v>4411</v>
      </c>
      <c r="D114" s="1">
        <v>167.13030000000001</v>
      </c>
      <c r="E114" s="1">
        <v>16.244900000000001</v>
      </c>
    </row>
    <row r="115" spans="1:5" x14ac:dyDescent="0.25">
      <c r="A115" t="s">
        <v>117</v>
      </c>
      <c r="B115" t="s">
        <v>827</v>
      </c>
      <c r="C115" t="s">
        <v>4411</v>
      </c>
      <c r="D115" s="1">
        <v>50.056899999999999</v>
      </c>
      <c r="E115" s="1">
        <v>12.1111</v>
      </c>
    </row>
    <row r="116" spans="1:5" x14ac:dyDescent="0.25">
      <c r="A116" t="s">
        <v>118</v>
      </c>
      <c r="B116" t="s">
        <v>828</v>
      </c>
      <c r="C116" t="s">
        <v>4411</v>
      </c>
      <c r="D116" s="1">
        <v>58.310200000000002</v>
      </c>
      <c r="E116" s="1">
        <v>12.1111</v>
      </c>
    </row>
    <row r="117" spans="1:5" x14ac:dyDescent="0.25">
      <c r="A117" t="s">
        <v>119</v>
      </c>
      <c r="B117" t="s">
        <v>829</v>
      </c>
      <c r="C117" t="s">
        <v>4411</v>
      </c>
      <c r="D117" s="1">
        <v>130.60669999999999</v>
      </c>
      <c r="E117" s="1">
        <v>15.809699999999999</v>
      </c>
    </row>
    <row r="118" spans="1:5" x14ac:dyDescent="0.25">
      <c r="A118" t="s">
        <v>120</v>
      </c>
      <c r="B118" t="s">
        <v>830</v>
      </c>
      <c r="C118" t="s">
        <v>4411</v>
      </c>
      <c r="D118" s="1">
        <v>93.6815</v>
      </c>
      <c r="E118" s="1">
        <v>15.809699999999999</v>
      </c>
    </row>
    <row r="119" spans="1:5" x14ac:dyDescent="0.25">
      <c r="A119" t="s">
        <v>121</v>
      </c>
      <c r="B119" t="s">
        <v>831</v>
      </c>
      <c r="C119" t="s">
        <v>4411</v>
      </c>
      <c r="D119" s="1">
        <v>144.40940000000001</v>
      </c>
      <c r="E119" s="1">
        <v>15.809699999999999</v>
      </c>
    </row>
    <row r="120" spans="1:5" x14ac:dyDescent="0.25">
      <c r="A120" t="s">
        <v>122</v>
      </c>
      <c r="B120" t="s">
        <v>832</v>
      </c>
      <c r="C120" t="s">
        <v>4411</v>
      </c>
      <c r="D120" s="1">
        <v>190.2637</v>
      </c>
      <c r="E120" s="1">
        <v>15.809699999999999</v>
      </c>
    </row>
    <row r="121" spans="1:5" x14ac:dyDescent="0.25">
      <c r="A121" t="s">
        <v>123</v>
      </c>
      <c r="B121" t="s">
        <v>833</v>
      </c>
      <c r="C121" t="s">
        <v>4411</v>
      </c>
      <c r="D121" s="1">
        <v>196.7741</v>
      </c>
      <c r="E121" s="1">
        <v>15.809699999999999</v>
      </c>
    </row>
    <row r="122" spans="1:5" x14ac:dyDescent="0.25">
      <c r="A122" t="s">
        <v>124</v>
      </c>
      <c r="B122" t="s">
        <v>834</v>
      </c>
      <c r="C122" t="s">
        <v>4411</v>
      </c>
      <c r="D122" s="1">
        <v>91.3352</v>
      </c>
      <c r="E122" s="1">
        <v>15.809699999999999</v>
      </c>
    </row>
    <row r="123" spans="1:5" x14ac:dyDescent="0.25">
      <c r="A123" t="s">
        <v>125</v>
      </c>
      <c r="B123" t="s">
        <v>835</v>
      </c>
      <c r="C123" t="s">
        <v>4411</v>
      </c>
      <c r="D123" s="1">
        <v>35.076500000000003</v>
      </c>
      <c r="E123" s="1">
        <v>15.447100000000001</v>
      </c>
    </row>
    <row r="124" spans="1:5" x14ac:dyDescent="0.25">
      <c r="A124" t="s">
        <v>126</v>
      </c>
      <c r="B124" t="s">
        <v>836</v>
      </c>
      <c r="C124" t="s">
        <v>4411</v>
      </c>
      <c r="D124" s="1">
        <v>82.918700000000001</v>
      </c>
      <c r="E124" s="1">
        <v>15.447100000000001</v>
      </c>
    </row>
    <row r="125" spans="1:5" x14ac:dyDescent="0.25">
      <c r="A125" t="s">
        <v>127</v>
      </c>
      <c r="B125" t="s">
        <v>837</v>
      </c>
      <c r="C125" t="s">
        <v>4411</v>
      </c>
      <c r="D125" s="1">
        <v>97.496499999999997</v>
      </c>
      <c r="E125" s="1">
        <v>15.447100000000001</v>
      </c>
    </row>
    <row r="126" spans="1:5" x14ac:dyDescent="0.25">
      <c r="A126" t="s">
        <v>128</v>
      </c>
      <c r="B126" t="s">
        <v>838</v>
      </c>
      <c r="C126" t="s">
        <v>4411</v>
      </c>
      <c r="D126" s="1">
        <v>141.1866</v>
      </c>
      <c r="E126" s="1">
        <v>15.447100000000001</v>
      </c>
    </row>
    <row r="127" spans="1:5" x14ac:dyDescent="0.25">
      <c r="A127" t="s">
        <v>129</v>
      </c>
      <c r="B127" t="s">
        <v>839</v>
      </c>
      <c r="C127" t="s">
        <v>4411</v>
      </c>
      <c r="D127" s="1">
        <v>25.357199999999999</v>
      </c>
      <c r="E127" s="1">
        <v>15.447100000000001</v>
      </c>
    </row>
    <row r="128" spans="1:5" x14ac:dyDescent="0.25">
      <c r="A128" t="s">
        <v>130</v>
      </c>
      <c r="B128" t="s">
        <v>840</v>
      </c>
      <c r="C128" t="s">
        <v>4411</v>
      </c>
      <c r="D128" s="1">
        <v>64.097700000000003</v>
      </c>
      <c r="E128" s="1">
        <v>15.447100000000001</v>
      </c>
    </row>
    <row r="129" spans="1:5" x14ac:dyDescent="0.25">
      <c r="A129" t="s">
        <v>131</v>
      </c>
      <c r="B129" t="s">
        <v>841</v>
      </c>
      <c r="C129" t="s">
        <v>4411</v>
      </c>
      <c r="D129" s="1">
        <v>22.6282</v>
      </c>
      <c r="E129" s="1">
        <v>15.447100000000001</v>
      </c>
    </row>
    <row r="130" spans="1:5" x14ac:dyDescent="0.25">
      <c r="A130" t="s">
        <v>132</v>
      </c>
      <c r="B130" t="s">
        <v>842</v>
      </c>
      <c r="C130" t="s">
        <v>4411</v>
      </c>
      <c r="D130" s="1">
        <v>32.694899999999997</v>
      </c>
      <c r="E130" s="1">
        <v>15.447100000000001</v>
      </c>
    </row>
    <row r="131" spans="1:5" x14ac:dyDescent="0.25">
      <c r="A131" t="s">
        <v>133</v>
      </c>
      <c r="B131" t="s">
        <v>843</v>
      </c>
      <c r="C131" t="s">
        <v>4411</v>
      </c>
      <c r="D131" s="1">
        <v>74.173599999999993</v>
      </c>
      <c r="E131" s="1">
        <v>15.447100000000001</v>
      </c>
    </row>
    <row r="132" spans="1:5" x14ac:dyDescent="0.25">
      <c r="A132" t="s">
        <v>134</v>
      </c>
      <c r="B132" t="s">
        <v>844</v>
      </c>
      <c r="C132" t="s">
        <v>4411</v>
      </c>
      <c r="D132" s="1">
        <v>25.061299999999999</v>
      </c>
      <c r="E132" s="1">
        <v>15.447100000000001</v>
      </c>
    </row>
    <row r="133" spans="1:5" x14ac:dyDescent="0.25">
      <c r="A133" t="s">
        <v>135</v>
      </c>
      <c r="B133" t="s">
        <v>845</v>
      </c>
      <c r="C133" t="s">
        <v>4411</v>
      </c>
      <c r="D133" s="1">
        <v>19.0642</v>
      </c>
      <c r="E133" s="1">
        <v>15.45</v>
      </c>
    </row>
    <row r="134" spans="1:5" x14ac:dyDescent="0.25">
      <c r="A134" t="s">
        <v>136</v>
      </c>
      <c r="B134" t="s">
        <v>846</v>
      </c>
      <c r="C134" t="s">
        <v>4411</v>
      </c>
      <c r="D134" s="1">
        <v>8.6595999999999993</v>
      </c>
      <c r="E134" s="1">
        <v>0</v>
      </c>
    </row>
    <row r="135" spans="1:5" x14ac:dyDescent="0.25">
      <c r="A135" t="s">
        <v>137</v>
      </c>
      <c r="B135" t="s">
        <v>847</v>
      </c>
      <c r="C135" t="s">
        <v>4411</v>
      </c>
      <c r="D135" s="1">
        <v>31.38</v>
      </c>
      <c r="E135" s="1">
        <v>15.45</v>
      </c>
    </row>
    <row r="136" spans="1:5" x14ac:dyDescent="0.25">
      <c r="A136" t="s">
        <v>138</v>
      </c>
      <c r="B136" t="s">
        <v>848</v>
      </c>
      <c r="C136" t="s">
        <v>4411</v>
      </c>
      <c r="D136" s="1">
        <v>134.97839999999999</v>
      </c>
      <c r="E136" s="1">
        <v>15.447100000000001</v>
      </c>
    </row>
    <row r="137" spans="1:5" x14ac:dyDescent="0.25">
      <c r="A137" t="s">
        <v>139</v>
      </c>
      <c r="B137" t="s">
        <v>849</v>
      </c>
      <c r="C137" t="s">
        <v>4411</v>
      </c>
      <c r="D137" s="1">
        <v>1.8306</v>
      </c>
      <c r="E137" s="1">
        <v>0</v>
      </c>
    </row>
    <row r="138" spans="1:5" x14ac:dyDescent="0.25">
      <c r="A138" t="s">
        <v>140</v>
      </c>
      <c r="B138" t="s">
        <v>850</v>
      </c>
      <c r="C138" t="s">
        <v>4411</v>
      </c>
      <c r="D138" s="1">
        <v>0.28849999999999998</v>
      </c>
      <c r="E138" s="1">
        <v>0</v>
      </c>
    </row>
    <row r="139" spans="1:5" x14ac:dyDescent="0.25">
      <c r="A139" t="s">
        <v>141</v>
      </c>
      <c r="B139" t="s">
        <v>851</v>
      </c>
      <c r="C139" t="s">
        <v>4411</v>
      </c>
      <c r="D139" s="1">
        <v>19.405999999999999</v>
      </c>
      <c r="E139" s="1">
        <v>15.447100000000001</v>
      </c>
    </row>
    <row r="140" spans="1:5" x14ac:dyDescent="0.25">
      <c r="A140" t="s">
        <v>142</v>
      </c>
      <c r="B140" t="s">
        <v>852</v>
      </c>
      <c r="C140" t="s">
        <v>4411</v>
      </c>
      <c r="D140" s="1">
        <v>15.8645</v>
      </c>
      <c r="E140" s="1">
        <v>0</v>
      </c>
    </row>
    <row r="141" spans="1:5" x14ac:dyDescent="0.25">
      <c r="A141" t="s">
        <v>143</v>
      </c>
      <c r="B141" t="s">
        <v>853</v>
      </c>
      <c r="C141" t="s">
        <v>4411</v>
      </c>
      <c r="D141" s="1">
        <v>116.7826</v>
      </c>
      <c r="E141" s="1">
        <v>15.809699999999999</v>
      </c>
    </row>
    <row r="142" spans="1:5" x14ac:dyDescent="0.25">
      <c r="A142" t="s">
        <v>144</v>
      </c>
      <c r="B142" t="s">
        <v>854</v>
      </c>
      <c r="C142" t="s">
        <v>4411</v>
      </c>
      <c r="D142" s="1">
        <v>113.0047</v>
      </c>
      <c r="E142" s="1">
        <v>15.809699999999999</v>
      </c>
    </row>
    <row r="143" spans="1:5" x14ac:dyDescent="0.25">
      <c r="A143" t="s">
        <v>145</v>
      </c>
      <c r="B143" t="s">
        <v>855</v>
      </c>
      <c r="C143" t="s">
        <v>4411</v>
      </c>
      <c r="D143" s="1">
        <v>9.7900000000000001E-2</v>
      </c>
      <c r="E143" s="1">
        <v>0</v>
      </c>
    </row>
    <row r="144" spans="1:5" x14ac:dyDescent="0.25">
      <c r="A144" t="s">
        <v>146</v>
      </c>
      <c r="B144" t="s">
        <v>856</v>
      </c>
      <c r="C144" t="s">
        <v>4411</v>
      </c>
      <c r="D144" s="1">
        <v>29.521699999999999</v>
      </c>
      <c r="E144" s="1">
        <v>0</v>
      </c>
    </row>
    <row r="145" spans="1:5" x14ac:dyDescent="0.25">
      <c r="A145" t="s">
        <v>147</v>
      </c>
      <c r="B145" t="s">
        <v>857</v>
      </c>
      <c r="C145" t="s">
        <v>4411</v>
      </c>
      <c r="D145" s="1">
        <v>0.52680000000000005</v>
      </c>
      <c r="E145" s="1">
        <v>0</v>
      </c>
    </row>
    <row r="146" spans="1:5" x14ac:dyDescent="0.25">
      <c r="A146" t="s">
        <v>148</v>
      </c>
      <c r="B146" t="s">
        <v>858</v>
      </c>
      <c r="C146" t="s">
        <v>4411</v>
      </c>
      <c r="D146" s="1">
        <v>18.168399999999998</v>
      </c>
      <c r="E146" s="1">
        <v>15.447100000000001</v>
      </c>
    </row>
    <row r="147" spans="1:5" x14ac:dyDescent="0.25">
      <c r="A147" t="s">
        <v>149</v>
      </c>
      <c r="B147" t="s">
        <v>859</v>
      </c>
      <c r="C147" t="s">
        <v>4411</v>
      </c>
      <c r="D147" s="1">
        <v>82.931100000000001</v>
      </c>
      <c r="E147" s="1">
        <v>15.81</v>
      </c>
    </row>
    <row r="148" spans="1:5" x14ac:dyDescent="0.25">
      <c r="A148" t="s">
        <v>150</v>
      </c>
      <c r="B148" t="s">
        <v>860</v>
      </c>
      <c r="C148" t="s">
        <v>4411</v>
      </c>
      <c r="D148" s="1">
        <v>22.5397</v>
      </c>
      <c r="E148" s="1">
        <v>15.447100000000001</v>
      </c>
    </row>
    <row r="149" spans="1:5" x14ac:dyDescent="0.25">
      <c r="A149" t="s">
        <v>151</v>
      </c>
      <c r="B149" t="s">
        <v>861</v>
      </c>
      <c r="C149" t="s">
        <v>4411</v>
      </c>
      <c r="D149" s="1">
        <v>19.979099999999999</v>
      </c>
      <c r="E149" s="1">
        <v>15.447100000000001</v>
      </c>
    </row>
    <row r="150" spans="1:5" x14ac:dyDescent="0.25">
      <c r="A150" t="s">
        <v>152</v>
      </c>
      <c r="B150" t="s">
        <v>862</v>
      </c>
      <c r="C150" t="s">
        <v>4411</v>
      </c>
      <c r="D150" s="1">
        <v>5.4694000000000003</v>
      </c>
      <c r="E150" s="1">
        <v>0</v>
      </c>
    </row>
    <row r="151" spans="1:5" x14ac:dyDescent="0.25">
      <c r="A151" t="s">
        <v>153</v>
      </c>
      <c r="B151" t="s">
        <v>863</v>
      </c>
      <c r="C151" t="s">
        <v>4411</v>
      </c>
      <c r="D151" s="1">
        <v>6.5785</v>
      </c>
      <c r="E151" s="1">
        <v>0</v>
      </c>
    </row>
    <row r="152" spans="1:5" x14ac:dyDescent="0.25">
      <c r="A152" t="s">
        <v>154</v>
      </c>
      <c r="B152" t="s">
        <v>864</v>
      </c>
      <c r="C152" t="s">
        <v>4411</v>
      </c>
      <c r="D152" s="1">
        <v>139.49799999999999</v>
      </c>
      <c r="E152" s="1">
        <v>15.809699999999999</v>
      </c>
    </row>
    <row r="153" spans="1:5" x14ac:dyDescent="0.25">
      <c r="A153" t="s">
        <v>155</v>
      </c>
      <c r="B153" t="s">
        <v>865</v>
      </c>
      <c r="C153" t="s">
        <v>4411</v>
      </c>
      <c r="D153" s="1">
        <v>29.632000000000001</v>
      </c>
      <c r="E153" s="1">
        <v>0</v>
      </c>
    </row>
    <row r="154" spans="1:5" x14ac:dyDescent="0.25">
      <c r="A154" t="s">
        <v>156</v>
      </c>
      <c r="B154" t="s">
        <v>866</v>
      </c>
      <c r="C154" t="s">
        <v>4411</v>
      </c>
      <c r="D154" s="1">
        <v>16.2255</v>
      </c>
      <c r="E154" s="1">
        <v>15.447100000000001</v>
      </c>
    </row>
    <row r="155" spans="1:5" x14ac:dyDescent="0.25">
      <c r="A155" t="s">
        <v>157</v>
      </c>
      <c r="B155" t="s">
        <v>867</v>
      </c>
      <c r="C155" t="s">
        <v>4411</v>
      </c>
      <c r="D155" s="1">
        <v>1.0699000000000001</v>
      </c>
      <c r="E155" s="1">
        <v>0</v>
      </c>
    </row>
    <row r="156" spans="1:5" x14ac:dyDescent="0.25">
      <c r="A156" t="s">
        <v>158</v>
      </c>
      <c r="B156" t="s">
        <v>868</v>
      </c>
      <c r="C156" t="s">
        <v>4411</v>
      </c>
      <c r="D156" s="1">
        <v>3.3946000000000001</v>
      </c>
      <c r="E156" s="1">
        <v>0</v>
      </c>
    </row>
    <row r="157" spans="1:5" x14ac:dyDescent="0.25">
      <c r="A157" t="s">
        <v>159</v>
      </c>
      <c r="B157" t="s">
        <v>869</v>
      </c>
      <c r="C157" t="s">
        <v>4411</v>
      </c>
      <c r="D157" s="1">
        <v>22.3903</v>
      </c>
      <c r="E157" s="1">
        <v>0</v>
      </c>
    </row>
    <row r="158" spans="1:5" x14ac:dyDescent="0.25">
      <c r="A158" t="s">
        <v>160</v>
      </c>
      <c r="B158" t="s">
        <v>870</v>
      </c>
      <c r="C158" t="s">
        <v>4411</v>
      </c>
      <c r="D158" s="1">
        <v>385.86810000000003</v>
      </c>
      <c r="E158" s="1">
        <v>20.5962</v>
      </c>
    </row>
    <row r="159" spans="1:5" x14ac:dyDescent="0.25">
      <c r="A159" t="s">
        <v>161</v>
      </c>
      <c r="B159" t="s">
        <v>871</v>
      </c>
      <c r="C159" t="s">
        <v>4411</v>
      </c>
      <c r="D159" s="1">
        <v>17.561800000000002</v>
      </c>
      <c r="E159" s="1">
        <v>0</v>
      </c>
    </row>
    <row r="160" spans="1:5" x14ac:dyDescent="0.25">
      <c r="A160" t="s">
        <v>162</v>
      </c>
      <c r="B160" t="s">
        <v>872</v>
      </c>
      <c r="C160" t="s">
        <v>4411</v>
      </c>
      <c r="D160" s="1">
        <v>81.274500000000003</v>
      </c>
      <c r="E160" s="1">
        <v>15.809699999999999</v>
      </c>
    </row>
    <row r="161" spans="1:5" x14ac:dyDescent="0.25">
      <c r="A161" t="s">
        <v>163</v>
      </c>
      <c r="B161" t="s">
        <v>873</v>
      </c>
      <c r="C161" t="s">
        <v>4411</v>
      </c>
      <c r="D161" s="1">
        <v>87.816900000000004</v>
      </c>
      <c r="E161" s="1">
        <v>15.809699999999999</v>
      </c>
    </row>
    <row r="162" spans="1:5" x14ac:dyDescent="0.25">
      <c r="A162" t="s">
        <v>164</v>
      </c>
      <c r="B162" t="s">
        <v>874</v>
      </c>
      <c r="C162" t="s">
        <v>4411</v>
      </c>
      <c r="D162" s="1">
        <v>107.7991</v>
      </c>
      <c r="E162" s="1">
        <v>15.809699999999999</v>
      </c>
    </row>
    <row r="163" spans="1:5" x14ac:dyDescent="0.25">
      <c r="A163" t="s">
        <v>165</v>
      </c>
      <c r="B163" t="s">
        <v>875</v>
      </c>
      <c r="C163" t="s">
        <v>4411</v>
      </c>
      <c r="D163" s="1">
        <v>60.560899999999997</v>
      </c>
      <c r="E163" s="1">
        <v>15.809699999999999</v>
      </c>
    </row>
    <row r="164" spans="1:5" x14ac:dyDescent="0.25">
      <c r="A164" t="s">
        <v>166</v>
      </c>
      <c r="B164" t="s">
        <v>876</v>
      </c>
      <c r="C164" t="s">
        <v>4411</v>
      </c>
      <c r="D164" s="1">
        <v>141.60489999999999</v>
      </c>
      <c r="E164" s="1">
        <v>16.244900000000001</v>
      </c>
    </row>
    <row r="165" spans="1:5" x14ac:dyDescent="0.25">
      <c r="A165" t="s">
        <v>167</v>
      </c>
      <c r="B165" t="s">
        <v>877</v>
      </c>
      <c r="C165" t="s">
        <v>4411</v>
      </c>
      <c r="D165" s="1">
        <v>25.525400000000001</v>
      </c>
      <c r="E165" s="1">
        <v>0</v>
      </c>
    </row>
    <row r="166" spans="1:5" x14ac:dyDescent="0.25">
      <c r="A166" t="s">
        <v>168</v>
      </c>
      <c r="B166" t="s">
        <v>878</v>
      </c>
      <c r="C166" t="s">
        <v>4411</v>
      </c>
      <c r="D166" s="1">
        <v>4.2515999999999998</v>
      </c>
      <c r="E166" s="1">
        <v>0</v>
      </c>
    </row>
    <row r="167" spans="1:5" x14ac:dyDescent="0.25">
      <c r="A167" t="s">
        <v>169</v>
      </c>
      <c r="B167" t="s">
        <v>879</v>
      </c>
      <c r="C167" t="s">
        <v>4411</v>
      </c>
      <c r="D167" s="1">
        <v>5.3033000000000001</v>
      </c>
      <c r="E167" s="1">
        <v>0</v>
      </c>
    </row>
    <row r="168" spans="1:5" x14ac:dyDescent="0.25">
      <c r="A168" t="s">
        <v>170</v>
      </c>
      <c r="B168" t="s">
        <v>880</v>
      </c>
      <c r="C168" t="s">
        <v>4411</v>
      </c>
      <c r="D168" s="1">
        <v>6.1980000000000004</v>
      </c>
      <c r="E168" s="1">
        <v>0</v>
      </c>
    </row>
    <row r="169" spans="1:5" x14ac:dyDescent="0.25">
      <c r="A169" t="s">
        <v>171</v>
      </c>
      <c r="B169" t="s">
        <v>881</v>
      </c>
      <c r="C169" t="s">
        <v>4411</v>
      </c>
      <c r="D169" s="1">
        <v>4.1816000000000004</v>
      </c>
      <c r="E169" s="1">
        <v>0</v>
      </c>
    </row>
    <row r="170" spans="1:5" x14ac:dyDescent="0.25">
      <c r="A170" t="s">
        <v>172</v>
      </c>
      <c r="B170" t="s">
        <v>882</v>
      </c>
      <c r="C170" t="s">
        <v>4411</v>
      </c>
      <c r="D170" s="1">
        <v>14.2841</v>
      </c>
      <c r="E170" s="1">
        <v>0</v>
      </c>
    </row>
    <row r="171" spans="1:5" x14ac:dyDescent="0.25">
      <c r="A171" t="s">
        <v>173</v>
      </c>
      <c r="B171" t="s">
        <v>883</v>
      </c>
      <c r="C171" t="s">
        <v>4411</v>
      </c>
      <c r="D171" s="1">
        <v>6.8807</v>
      </c>
      <c r="E171" s="1">
        <v>0</v>
      </c>
    </row>
    <row r="172" spans="1:5" x14ac:dyDescent="0.25">
      <c r="A172" t="s">
        <v>174</v>
      </c>
      <c r="B172" t="s">
        <v>884</v>
      </c>
      <c r="C172" t="s">
        <v>4411</v>
      </c>
      <c r="D172" s="1">
        <v>5.8646000000000003</v>
      </c>
      <c r="E172" s="1">
        <v>0</v>
      </c>
    </row>
    <row r="173" spans="1:5" x14ac:dyDescent="0.25">
      <c r="A173" t="s">
        <v>175</v>
      </c>
      <c r="B173" t="s">
        <v>885</v>
      </c>
      <c r="C173" t="s">
        <v>4411</v>
      </c>
      <c r="D173" s="1">
        <v>11.7867</v>
      </c>
      <c r="E173" s="1">
        <v>0</v>
      </c>
    </row>
    <row r="174" spans="1:5" x14ac:dyDescent="0.25">
      <c r="A174" t="s">
        <v>176</v>
      </c>
      <c r="B174" t="s">
        <v>886</v>
      </c>
      <c r="C174" t="s">
        <v>4411</v>
      </c>
      <c r="D174" s="1">
        <v>4.4480000000000004</v>
      </c>
      <c r="E174" s="1">
        <v>0</v>
      </c>
    </row>
    <row r="175" spans="1:5" x14ac:dyDescent="0.25">
      <c r="A175" t="s">
        <v>177</v>
      </c>
      <c r="B175" t="s">
        <v>887</v>
      </c>
      <c r="C175" t="s">
        <v>4411</v>
      </c>
      <c r="D175" s="1">
        <v>1.8391999999999999</v>
      </c>
      <c r="E175" s="1">
        <v>0</v>
      </c>
    </row>
    <row r="176" spans="1:5" x14ac:dyDescent="0.25">
      <c r="A176" t="s">
        <v>178</v>
      </c>
      <c r="B176" t="s">
        <v>888</v>
      </c>
      <c r="C176" t="s">
        <v>4411</v>
      </c>
      <c r="D176" s="1">
        <v>3.0049999999999999</v>
      </c>
      <c r="E176" s="1">
        <v>0</v>
      </c>
    </row>
    <row r="177" spans="1:5" x14ac:dyDescent="0.25">
      <c r="A177" t="s">
        <v>179</v>
      </c>
      <c r="B177" t="s">
        <v>889</v>
      </c>
      <c r="C177" t="s">
        <v>4411</v>
      </c>
      <c r="D177" s="1">
        <v>59.287199999999999</v>
      </c>
      <c r="E177" s="1">
        <v>20.67</v>
      </c>
    </row>
    <row r="178" spans="1:5" x14ac:dyDescent="0.25">
      <c r="A178" t="s">
        <v>180</v>
      </c>
      <c r="B178" t="s">
        <v>890</v>
      </c>
      <c r="C178" t="s">
        <v>4411</v>
      </c>
      <c r="D178" s="1">
        <v>228.36680000000001</v>
      </c>
      <c r="E178" s="1">
        <v>0</v>
      </c>
    </row>
    <row r="179" spans="1:5" x14ac:dyDescent="0.25">
      <c r="A179" t="s">
        <v>181</v>
      </c>
      <c r="B179" t="s">
        <v>891</v>
      </c>
      <c r="C179" t="s">
        <v>4411</v>
      </c>
      <c r="D179" s="1">
        <v>15.732799999999999</v>
      </c>
      <c r="E179" s="1">
        <v>15.447100000000001</v>
      </c>
    </row>
    <row r="180" spans="1:5" x14ac:dyDescent="0.25">
      <c r="A180" t="s">
        <v>182</v>
      </c>
      <c r="B180" t="s">
        <v>892</v>
      </c>
      <c r="C180" t="s">
        <v>4411</v>
      </c>
      <c r="D180" s="1">
        <v>0.96379999999999999</v>
      </c>
      <c r="E180" s="1">
        <v>0</v>
      </c>
    </row>
    <row r="181" spans="1:5" x14ac:dyDescent="0.25">
      <c r="A181" t="s">
        <v>183</v>
      </c>
      <c r="B181" t="s">
        <v>893</v>
      </c>
      <c r="C181" t="s">
        <v>4411</v>
      </c>
      <c r="D181" s="1">
        <v>34.094900000000003</v>
      </c>
      <c r="E181" s="1">
        <v>0</v>
      </c>
    </row>
    <row r="182" spans="1:5" x14ac:dyDescent="0.25">
      <c r="A182" t="s">
        <v>184</v>
      </c>
      <c r="B182" t="s">
        <v>894</v>
      </c>
      <c r="C182" t="s">
        <v>4411</v>
      </c>
      <c r="D182" s="1">
        <v>9.7199999999999995E-2</v>
      </c>
      <c r="E182" s="1">
        <v>0</v>
      </c>
    </row>
    <row r="183" spans="1:5" x14ac:dyDescent="0.25">
      <c r="A183" t="s">
        <v>185</v>
      </c>
      <c r="B183" t="s">
        <v>895</v>
      </c>
      <c r="C183" t="s">
        <v>4411</v>
      </c>
      <c r="D183" s="1">
        <v>6.9999999999999999E-4</v>
      </c>
      <c r="E183" s="1">
        <v>0</v>
      </c>
    </row>
    <row r="184" spans="1:5" x14ac:dyDescent="0.25">
      <c r="A184" t="s">
        <v>186</v>
      </c>
      <c r="B184" t="s">
        <v>896</v>
      </c>
      <c r="C184" t="s">
        <v>4411</v>
      </c>
      <c r="D184" s="1">
        <v>28.33</v>
      </c>
      <c r="E184" s="1">
        <v>0</v>
      </c>
    </row>
    <row r="185" spans="1:5" x14ac:dyDescent="0.25">
      <c r="A185" t="s">
        <v>187</v>
      </c>
      <c r="B185" t="s">
        <v>188</v>
      </c>
      <c r="C185" t="s">
        <v>4411</v>
      </c>
      <c r="D185" s="1">
        <v>1.1917</v>
      </c>
      <c r="E185" s="1">
        <v>0</v>
      </c>
    </row>
    <row r="186" spans="1:5" x14ac:dyDescent="0.25">
      <c r="A186" t="s">
        <v>189</v>
      </c>
      <c r="B186" t="s">
        <v>897</v>
      </c>
      <c r="C186" t="s">
        <v>4411</v>
      </c>
      <c r="D186" s="1">
        <v>4.6425000000000001</v>
      </c>
      <c r="E186" s="1">
        <v>0</v>
      </c>
    </row>
    <row r="187" spans="1:5" x14ac:dyDescent="0.25">
      <c r="A187" t="s">
        <v>190</v>
      </c>
      <c r="B187" t="s">
        <v>898</v>
      </c>
      <c r="C187" t="s">
        <v>4411</v>
      </c>
      <c r="D187" s="1">
        <v>124.6747</v>
      </c>
      <c r="E187" s="1">
        <v>15.809699999999999</v>
      </c>
    </row>
    <row r="188" spans="1:5" x14ac:dyDescent="0.25">
      <c r="A188" t="s">
        <v>191</v>
      </c>
      <c r="B188" t="s">
        <v>899</v>
      </c>
      <c r="C188" t="s">
        <v>4411</v>
      </c>
      <c r="D188" s="1">
        <v>78.909800000000004</v>
      </c>
      <c r="E188" s="1">
        <v>15.809699999999999</v>
      </c>
    </row>
    <row r="189" spans="1:5" x14ac:dyDescent="0.25">
      <c r="A189" t="s">
        <v>192</v>
      </c>
      <c r="B189" t="s">
        <v>193</v>
      </c>
      <c r="C189" t="s">
        <v>4411</v>
      </c>
      <c r="D189" s="1">
        <v>3.7418999999999998</v>
      </c>
      <c r="E189" s="1">
        <v>0</v>
      </c>
    </row>
    <row r="190" spans="1:5" x14ac:dyDescent="0.25">
      <c r="A190" t="s">
        <v>194</v>
      </c>
      <c r="B190" t="s">
        <v>900</v>
      </c>
      <c r="C190" t="s">
        <v>4411</v>
      </c>
      <c r="D190" s="1">
        <v>2.1381000000000001</v>
      </c>
      <c r="E190" s="1">
        <v>0</v>
      </c>
    </row>
    <row r="191" spans="1:5" x14ac:dyDescent="0.25">
      <c r="A191" t="s">
        <v>195</v>
      </c>
      <c r="B191" t="s">
        <v>901</v>
      </c>
      <c r="C191" t="s">
        <v>4411</v>
      </c>
      <c r="D191" s="1">
        <v>2.7795999999999998</v>
      </c>
      <c r="E191" s="1">
        <v>0</v>
      </c>
    </row>
    <row r="192" spans="1:5" x14ac:dyDescent="0.25">
      <c r="A192" t="s">
        <v>196</v>
      </c>
      <c r="B192" t="s">
        <v>902</v>
      </c>
      <c r="C192" t="s">
        <v>4411</v>
      </c>
      <c r="D192" s="1">
        <v>39.370899999999999</v>
      </c>
      <c r="E192" s="1">
        <v>0</v>
      </c>
    </row>
    <row r="193" spans="1:5" x14ac:dyDescent="0.25">
      <c r="A193" t="s">
        <v>197</v>
      </c>
      <c r="B193" t="s">
        <v>903</v>
      </c>
      <c r="C193" t="s">
        <v>4411</v>
      </c>
      <c r="D193" s="1">
        <v>1.3347</v>
      </c>
      <c r="E193" s="1">
        <v>0</v>
      </c>
    </row>
    <row r="194" spans="1:5" x14ac:dyDescent="0.25">
      <c r="A194" t="s">
        <v>198</v>
      </c>
      <c r="B194" t="s">
        <v>904</v>
      </c>
      <c r="C194" t="s">
        <v>4411</v>
      </c>
      <c r="D194" s="1">
        <v>40.2226</v>
      </c>
      <c r="E194" s="1">
        <v>0</v>
      </c>
    </row>
    <row r="195" spans="1:5" x14ac:dyDescent="0.25">
      <c r="A195" t="s">
        <v>199</v>
      </c>
      <c r="B195" t="s">
        <v>905</v>
      </c>
      <c r="C195" t="s">
        <v>4411</v>
      </c>
      <c r="D195" s="1">
        <v>3.0105</v>
      </c>
      <c r="E195" s="1">
        <v>0</v>
      </c>
    </row>
    <row r="196" spans="1:5" x14ac:dyDescent="0.25">
      <c r="A196" t="s">
        <v>200</v>
      </c>
      <c r="B196" t="s">
        <v>906</v>
      </c>
      <c r="C196" t="s">
        <v>4411</v>
      </c>
      <c r="D196" s="1">
        <v>4.1041999999999996</v>
      </c>
      <c r="E196" s="1">
        <v>0</v>
      </c>
    </row>
    <row r="197" spans="1:5" x14ac:dyDescent="0.25">
      <c r="A197" t="s">
        <v>201</v>
      </c>
      <c r="B197" t="s">
        <v>907</v>
      </c>
      <c r="C197" t="s">
        <v>4411</v>
      </c>
      <c r="D197" s="1">
        <v>7.1185999999999998</v>
      </c>
      <c r="E197" s="1">
        <v>0</v>
      </c>
    </row>
    <row r="198" spans="1:5" x14ac:dyDescent="0.25">
      <c r="A198" t="s">
        <v>202</v>
      </c>
      <c r="B198" t="s">
        <v>908</v>
      </c>
      <c r="C198" t="s">
        <v>4411</v>
      </c>
      <c r="D198" s="1">
        <v>2.25</v>
      </c>
      <c r="E198" s="1">
        <v>0</v>
      </c>
    </row>
    <row r="199" spans="1:5" x14ac:dyDescent="0.25">
      <c r="A199" t="s">
        <v>203</v>
      </c>
      <c r="B199" t="s">
        <v>909</v>
      </c>
      <c r="C199" t="s">
        <v>4411</v>
      </c>
      <c r="D199" s="1">
        <v>0.17780000000000001</v>
      </c>
      <c r="E199" s="1">
        <v>0</v>
      </c>
    </row>
    <row r="200" spans="1:5" x14ac:dyDescent="0.25">
      <c r="A200" t="s">
        <v>204</v>
      </c>
      <c r="B200" t="s">
        <v>910</v>
      </c>
      <c r="C200" t="s">
        <v>4411</v>
      </c>
      <c r="D200" s="1">
        <v>0.223</v>
      </c>
      <c r="E200" s="1">
        <v>0</v>
      </c>
    </row>
    <row r="201" spans="1:5" x14ac:dyDescent="0.25">
      <c r="A201" t="s">
        <v>205</v>
      </c>
      <c r="B201" t="s">
        <v>911</v>
      </c>
      <c r="C201" t="s">
        <v>4411</v>
      </c>
      <c r="D201" s="1">
        <v>0.375</v>
      </c>
      <c r="E201" s="1">
        <v>0</v>
      </c>
    </row>
    <row r="202" spans="1:5" x14ac:dyDescent="0.25">
      <c r="A202" t="s">
        <v>206</v>
      </c>
      <c r="B202" t="s">
        <v>912</v>
      </c>
      <c r="C202" t="s">
        <v>4411</v>
      </c>
      <c r="D202" s="1">
        <v>1.1429</v>
      </c>
      <c r="E202" s="1">
        <v>0</v>
      </c>
    </row>
    <row r="203" spans="1:5" x14ac:dyDescent="0.25">
      <c r="A203" t="s">
        <v>207</v>
      </c>
      <c r="B203" t="s">
        <v>913</v>
      </c>
      <c r="C203" t="s">
        <v>4411</v>
      </c>
      <c r="D203" s="1">
        <v>67.901600000000002</v>
      </c>
      <c r="E203" s="1">
        <v>20.67</v>
      </c>
    </row>
    <row r="204" spans="1:5" x14ac:dyDescent="0.25">
      <c r="A204" t="s">
        <v>208</v>
      </c>
      <c r="B204" t="s">
        <v>914</v>
      </c>
      <c r="C204" t="s">
        <v>4411</v>
      </c>
      <c r="D204" s="1">
        <v>489.1814</v>
      </c>
      <c r="E204" s="1">
        <v>0</v>
      </c>
    </row>
    <row r="205" spans="1:5" x14ac:dyDescent="0.25">
      <c r="A205" t="s">
        <v>209</v>
      </c>
      <c r="B205" t="s">
        <v>210</v>
      </c>
      <c r="C205" t="s">
        <v>4411</v>
      </c>
      <c r="D205" s="1">
        <v>3.2490000000000001</v>
      </c>
      <c r="E205" s="1">
        <v>0</v>
      </c>
    </row>
    <row r="206" spans="1:5" x14ac:dyDescent="0.25">
      <c r="A206" t="s">
        <v>211</v>
      </c>
      <c r="B206" t="s">
        <v>212</v>
      </c>
      <c r="C206" t="s">
        <v>4411</v>
      </c>
      <c r="D206" s="1">
        <v>3.6825999999999999</v>
      </c>
      <c r="E206" s="1">
        <v>0</v>
      </c>
    </row>
    <row r="207" spans="1:5" x14ac:dyDescent="0.25">
      <c r="A207" t="s">
        <v>213</v>
      </c>
      <c r="B207" t="s">
        <v>214</v>
      </c>
      <c r="C207" t="s">
        <v>4411</v>
      </c>
      <c r="D207" s="1">
        <v>3.9906999999999999</v>
      </c>
      <c r="E207" s="1">
        <v>0</v>
      </c>
    </row>
    <row r="208" spans="1:5" x14ac:dyDescent="0.25">
      <c r="A208" t="s">
        <v>215</v>
      </c>
      <c r="B208" t="s">
        <v>216</v>
      </c>
      <c r="C208" t="s">
        <v>4411</v>
      </c>
      <c r="D208" s="1">
        <v>5.0149999999999997</v>
      </c>
      <c r="E208" s="1">
        <v>0</v>
      </c>
    </row>
    <row r="209" spans="1:5" x14ac:dyDescent="0.25">
      <c r="A209" t="s">
        <v>217</v>
      </c>
      <c r="B209" t="s">
        <v>218</v>
      </c>
      <c r="C209" t="s">
        <v>4411</v>
      </c>
      <c r="D209" s="1">
        <v>5.4707999999999997</v>
      </c>
      <c r="E209" s="1">
        <v>0</v>
      </c>
    </row>
    <row r="210" spans="1:5" x14ac:dyDescent="0.25">
      <c r="A210" t="s">
        <v>219</v>
      </c>
      <c r="B210" t="s">
        <v>220</v>
      </c>
      <c r="C210" t="s">
        <v>4411</v>
      </c>
      <c r="D210" s="1">
        <v>5.3489000000000004</v>
      </c>
      <c r="E210" s="1">
        <v>0</v>
      </c>
    </row>
    <row r="211" spans="1:5" x14ac:dyDescent="0.25">
      <c r="A211" t="s">
        <v>221</v>
      </c>
      <c r="B211" t="s">
        <v>222</v>
      </c>
      <c r="C211" t="s">
        <v>4411</v>
      </c>
      <c r="D211" s="1">
        <v>5.8872</v>
      </c>
      <c r="E211" s="1">
        <v>0</v>
      </c>
    </row>
    <row r="212" spans="1:5" x14ac:dyDescent="0.25">
      <c r="A212" t="s">
        <v>223</v>
      </c>
      <c r="B212" t="s">
        <v>915</v>
      </c>
      <c r="C212" t="s">
        <v>4411</v>
      </c>
      <c r="D212" s="1">
        <v>5.5095000000000001</v>
      </c>
      <c r="E212" s="1">
        <v>0</v>
      </c>
    </row>
    <row r="213" spans="1:5" x14ac:dyDescent="0.25">
      <c r="A213" t="s">
        <v>224</v>
      </c>
      <c r="B213" t="s">
        <v>916</v>
      </c>
      <c r="C213" t="s">
        <v>4411</v>
      </c>
      <c r="D213" s="1">
        <v>5.9320000000000004</v>
      </c>
      <c r="E213" s="1">
        <v>0</v>
      </c>
    </row>
    <row r="214" spans="1:5" x14ac:dyDescent="0.25">
      <c r="A214" t="s">
        <v>225</v>
      </c>
      <c r="B214" t="s">
        <v>917</v>
      </c>
      <c r="C214" t="s">
        <v>4411</v>
      </c>
      <c r="D214" s="1">
        <v>5.8646000000000003</v>
      </c>
      <c r="E214" s="1">
        <v>0</v>
      </c>
    </row>
    <row r="215" spans="1:5" x14ac:dyDescent="0.25">
      <c r="A215" t="s">
        <v>226</v>
      </c>
      <c r="B215" t="s">
        <v>918</v>
      </c>
      <c r="C215" t="s">
        <v>4411</v>
      </c>
      <c r="D215" s="1">
        <v>124.9264</v>
      </c>
      <c r="E215" s="1">
        <v>15.809699999999999</v>
      </c>
    </row>
    <row r="216" spans="1:5" x14ac:dyDescent="0.25">
      <c r="A216" t="s">
        <v>227</v>
      </c>
      <c r="B216" t="s">
        <v>919</v>
      </c>
      <c r="C216" t="s">
        <v>4411</v>
      </c>
      <c r="D216" s="1">
        <v>19.483000000000001</v>
      </c>
      <c r="E216" s="1">
        <v>0</v>
      </c>
    </row>
    <row r="217" spans="1:5" x14ac:dyDescent="0.25">
      <c r="A217" t="s">
        <v>228</v>
      </c>
      <c r="B217" t="s">
        <v>920</v>
      </c>
      <c r="C217" t="s">
        <v>4411</v>
      </c>
      <c r="D217" s="1">
        <v>182.81389999999999</v>
      </c>
      <c r="E217" s="1">
        <v>15.809699999999999</v>
      </c>
    </row>
    <row r="218" spans="1:5" x14ac:dyDescent="0.25">
      <c r="A218" t="s">
        <v>229</v>
      </c>
      <c r="B218" t="s">
        <v>921</v>
      </c>
      <c r="C218" t="s">
        <v>4411</v>
      </c>
      <c r="D218" s="1">
        <v>7.4497999999999998</v>
      </c>
      <c r="E218" s="1">
        <v>0</v>
      </c>
    </row>
    <row r="219" spans="1:5" x14ac:dyDescent="0.25">
      <c r="A219" t="s">
        <v>230</v>
      </c>
      <c r="B219" t="s">
        <v>922</v>
      </c>
      <c r="C219" t="s">
        <v>4411</v>
      </c>
      <c r="D219" s="1">
        <v>13.9602</v>
      </c>
      <c r="E219" s="1">
        <v>0</v>
      </c>
    </row>
    <row r="220" spans="1:5" x14ac:dyDescent="0.25">
      <c r="A220" t="s">
        <v>231</v>
      </c>
      <c r="B220" t="s">
        <v>923</v>
      </c>
      <c r="C220" t="s">
        <v>4411</v>
      </c>
      <c r="D220" s="1">
        <v>9.4148999999999994</v>
      </c>
      <c r="E220" s="1">
        <v>0</v>
      </c>
    </row>
    <row r="221" spans="1:5" x14ac:dyDescent="0.25">
      <c r="A221" t="s">
        <v>232</v>
      </c>
      <c r="B221" t="s">
        <v>924</v>
      </c>
      <c r="C221" t="s">
        <v>4411</v>
      </c>
      <c r="D221" s="1">
        <v>10.5715</v>
      </c>
      <c r="E221" s="1">
        <v>0</v>
      </c>
    </row>
    <row r="222" spans="1:5" x14ac:dyDescent="0.25">
      <c r="A222" t="s">
        <v>233</v>
      </c>
      <c r="B222" t="s">
        <v>925</v>
      </c>
      <c r="C222" t="s">
        <v>4411</v>
      </c>
      <c r="D222" s="1">
        <v>37.872799999999998</v>
      </c>
      <c r="E222" s="1">
        <v>0</v>
      </c>
    </row>
    <row r="223" spans="1:5" x14ac:dyDescent="0.25">
      <c r="A223" t="s">
        <v>234</v>
      </c>
      <c r="B223" t="s">
        <v>926</v>
      </c>
      <c r="C223" t="s">
        <v>4411</v>
      </c>
      <c r="D223" s="1">
        <v>60.588200000000001</v>
      </c>
      <c r="E223" s="1">
        <v>0</v>
      </c>
    </row>
    <row r="224" spans="1:5" x14ac:dyDescent="0.25">
      <c r="A224" t="s">
        <v>235</v>
      </c>
      <c r="B224" t="s">
        <v>236</v>
      </c>
      <c r="C224" t="s">
        <v>4411</v>
      </c>
      <c r="D224" s="1">
        <v>138.9529</v>
      </c>
      <c r="E224" s="1">
        <v>0</v>
      </c>
    </row>
    <row r="225" spans="1:5" x14ac:dyDescent="0.25">
      <c r="A225" t="s">
        <v>237</v>
      </c>
      <c r="B225" t="s">
        <v>927</v>
      </c>
      <c r="C225" t="s">
        <v>4411</v>
      </c>
      <c r="D225" s="1">
        <v>0.64480000000000004</v>
      </c>
      <c r="E225" s="1">
        <v>0</v>
      </c>
    </row>
    <row r="226" spans="1:5" x14ac:dyDescent="0.25">
      <c r="A226" t="s">
        <v>238</v>
      </c>
      <c r="B226" t="s">
        <v>928</v>
      </c>
      <c r="C226" t="s">
        <v>4411</v>
      </c>
      <c r="D226" s="1">
        <v>1.3438000000000001</v>
      </c>
      <c r="E226" s="1">
        <v>0</v>
      </c>
    </row>
    <row r="227" spans="1:5" x14ac:dyDescent="0.25">
      <c r="A227" t="s">
        <v>239</v>
      </c>
      <c r="B227" t="s">
        <v>929</v>
      </c>
      <c r="C227" t="s">
        <v>4411</v>
      </c>
      <c r="D227" s="1">
        <v>7.2522000000000002</v>
      </c>
      <c r="E227" s="1">
        <v>0</v>
      </c>
    </row>
    <row r="228" spans="1:5" x14ac:dyDescent="0.25">
      <c r="A228" s="294" t="s">
        <v>4436</v>
      </c>
      <c r="B228" s="294" t="s">
        <v>4437</v>
      </c>
      <c r="C228" s="294" t="s">
        <v>4411</v>
      </c>
      <c r="D228" s="295">
        <v>14</v>
      </c>
      <c r="E228" s="295"/>
    </row>
    <row r="229" spans="1:5" x14ac:dyDescent="0.25">
      <c r="A229" s="294" t="s">
        <v>4438</v>
      </c>
      <c r="B229" s="294" t="s">
        <v>4439</v>
      </c>
      <c r="C229" s="294" t="s">
        <v>4411</v>
      </c>
      <c r="D229" s="295">
        <v>12</v>
      </c>
      <c r="E229" s="295"/>
    </row>
    <row r="230" spans="1:5" x14ac:dyDescent="0.25">
      <c r="A230" s="294" t="s">
        <v>4440</v>
      </c>
      <c r="B230" s="294" t="s">
        <v>4442</v>
      </c>
      <c r="C230" s="294" t="s">
        <v>4411</v>
      </c>
      <c r="D230" s="295">
        <v>10</v>
      </c>
      <c r="E230" s="295"/>
    </row>
    <row r="231" spans="1:5" x14ac:dyDescent="0.25">
      <c r="A231" s="294" t="s">
        <v>4441</v>
      </c>
      <c r="B231" s="294" t="s">
        <v>4443</v>
      </c>
      <c r="C231" s="294" t="s">
        <v>4411</v>
      </c>
      <c r="D231" s="295">
        <v>9</v>
      </c>
      <c r="E231" s="295"/>
    </row>
    <row r="232" spans="1:5" x14ac:dyDescent="0.25">
      <c r="A232" t="s">
        <v>240</v>
      </c>
      <c r="B232" t="s">
        <v>930</v>
      </c>
      <c r="C232" t="s">
        <v>4411</v>
      </c>
      <c r="D232" s="1">
        <v>12.1111</v>
      </c>
      <c r="E232" s="1">
        <v>0</v>
      </c>
    </row>
    <row r="233" spans="1:5" x14ac:dyDescent="0.25">
      <c r="A233" t="s">
        <v>241</v>
      </c>
      <c r="B233" t="s">
        <v>931</v>
      </c>
      <c r="C233" t="s">
        <v>4411</v>
      </c>
      <c r="D233" s="1">
        <v>15.809699999999999</v>
      </c>
      <c r="E233" s="1">
        <v>0</v>
      </c>
    </row>
    <row r="234" spans="1:5" x14ac:dyDescent="0.25">
      <c r="A234" t="s">
        <v>242</v>
      </c>
      <c r="B234" t="s">
        <v>932</v>
      </c>
      <c r="C234" t="s">
        <v>4411</v>
      </c>
      <c r="D234" s="1">
        <v>16.244900000000001</v>
      </c>
      <c r="E234" s="1">
        <v>0</v>
      </c>
    </row>
    <row r="235" spans="1:5" x14ac:dyDescent="0.25">
      <c r="A235" t="s">
        <v>243</v>
      </c>
      <c r="B235" t="s">
        <v>718</v>
      </c>
      <c r="C235" t="s">
        <v>4411</v>
      </c>
      <c r="D235" s="1">
        <v>15.447100000000001</v>
      </c>
      <c r="E235" s="1">
        <v>0</v>
      </c>
    </row>
    <row r="236" spans="1:5" x14ac:dyDescent="0.25">
      <c r="A236" t="s">
        <v>244</v>
      </c>
      <c r="B236" t="s">
        <v>933</v>
      </c>
      <c r="C236" t="s">
        <v>4411</v>
      </c>
      <c r="D236" s="1">
        <v>15.447100000000001</v>
      </c>
      <c r="E236" s="1">
        <v>0</v>
      </c>
    </row>
    <row r="237" spans="1:5" x14ac:dyDescent="0.25">
      <c r="A237" t="s">
        <v>245</v>
      </c>
      <c r="B237" t="s">
        <v>934</v>
      </c>
      <c r="C237" t="s">
        <v>4411</v>
      </c>
      <c r="D237" s="1">
        <v>20.5962</v>
      </c>
      <c r="E237" s="1">
        <v>0</v>
      </c>
    </row>
    <row r="238" spans="1:5" x14ac:dyDescent="0.25">
      <c r="A238" t="s">
        <v>246</v>
      </c>
      <c r="B238" t="s">
        <v>935</v>
      </c>
      <c r="C238" t="s">
        <v>4411</v>
      </c>
      <c r="D238" s="1">
        <v>20.668700000000001</v>
      </c>
      <c r="E238" s="1">
        <v>0</v>
      </c>
    </row>
    <row r="239" spans="1:5" x14ac:dyDescent="0.25">
      <c r="A239" t="s">
        <v>247</v>
      </c>
      <c r="B239" t="s">
        <v>936</v>
      </c>
      <c r="C239" t="s">
        <v>4411</v>
      </c>
      <c r="D239" s="1">
        <v>12.473699999999999</v>
      </c>
      <c r="E239" s="1">
        <v>0</v>
      </c>
    </row>
    <row r="240" spans="1:5" x14ac:dyDescent="0.25">
      <c r="A240" t="s">
        <v>248</v>
      </c>
      <c r="B240" t="s">
        <v>937</v>
      </c>
      <c r="C240" t="s">
        <v>4411</v>
      </c>
      <c r="D240" s="1">
        <v>26.7605</v>
      </c>
      <c r="E240" s="1">
        <v>0</v>
      </c>
    </row>
    <row r="241" spans="1:5" x14ac:dyDescent="0.25">
      <c r="A241" t="s">
        <v>249</v>
      </c>
      <c r="B241" t="s">
        <v>938</v>
      </c>
      <c r="C241" t="s">
        <v>4411</v>
      </c>
      <c r="D241" s="1">
        <v>38.581600000000002</v>
      </c>
      <c r="E241" s="1">
        <v>0</v>
      </c>
    </row>
    <row r="242" spans="1:5" x14ac:dyDescent="0.25">
      <c r="A242" t="s">
        <v>250</v>
      </c>
      <c r="B242" t="s">
        <v>939</v>
      </c>
      <c r="C242" t="s">
        <v>4411</v>
      </c>
      <c r="D242" s="1">
        <v>38.581600000000002</v>
      </c>
      <c r="E242" s="1">
        <v>0</v>
      </c>
    </row>
    <row r="243" spans="1:5" x14ac:dyDescent="0.25">
      <c r="A243" t="s">
        <v>251</v>
      </c>
      <c r="B243" t="s">
        <v>940</v>
      </c>
      <c r="C243" t="s">
        <v>4411</v>
      </c>
      <c r="D243" s="1">
        <v>26.7605</v>
      </c>
      <c r="E243" s="1">
        <v>0</v>
      </c>
    </row>
    <row r="244" spans="1:5" x14ac:dyDescent="0.25">
      <c r="A244" t="s">
        <v>252</v>
      </c>
      <c r="B244" t="s">
        <v>941</v>
      </c>
      <c r="C244" t="s">
        <v>4411</v>
      </c>
      <c r="D244" s="1">
        <v>13.416499999999999</v>
      </c>
      <c r="E244" s="1">
        <v>0</v>
      </c>
    </row>
    <row r="245" spans="1:5" x14ac:dyDescent="0.25">
      <c r="A245" t="s">
        <v>253</v>
      </c>
      <c r="B245" t="s">
        <v>942</v>
      </c>
      <c r="C245" t="s">
        <v>4411</v>
      </c>
      <c r="D245" s="1">
        <v>12.473699999999999</v>
      </c>
      <c r="E245" s="1">
        <v>0</v>
      </c>
    </row>
    <row r="246" spans="1:5" x14ac:dyDescent="0.25">
      <c r="A246" t="s">
        <v>254</v>
      </c>
      <c r="B246" t="s">
        <v>943</v>
      </c>
      <c r="C246" t="s">
        <v>4411</v>
      </c>
      <c r="D246" s="1">
        <v>12.473699999999999</v>
      </c>
      <c r="E246" s="1">
        <v>0</v>
      </c>
    </row>
    <row r="247" spans="1:5" x14ac:dyDescent="0.25">
      <c r="A247" t="s">
        <v>255</v>
      </c>
      <c r="B247" t="s">
        <v>944</v>
      </c>
      <c r="C247" t="s">
        <v>4411</v>
      </c>
      <c r="D247" s="1">
        <v>12.473699999999999</v>
      </c>
      <c r="E247" s="1">
        <v>0</v>
      </c>
    </row>
    <row r="248" spans="1:5" x14ac:dyDescent="0.25">
      <c r="A248" t="s">
        <v>256</v>
      </c>
      <c r="B248" t="s">
        <v>945</v>
      </c>
      <c r="C248" t="s">
        <v>4411</v>
      </c>
      <c r="D248" s="1">
        <v>12.473699999999999</v>
      </c>
      <c r="E248" s="1">
        <v>0</v>
      </c>
    </row>
    <row r="249" spans="1:5" x14ac:dyDescent="0.25">
      <c r="A249" t="s">
        <v>257</v>
      </c>
      <c r="B249" t="s">
        <v>946</v>
      </c>
      <c r="C249" t="s">
        <v>4411</v>
      </c>
      <c r="D249" s="1">
        <v>12.473699999999999</v>
      </c>
      <c r="E249" s="1">
        <v>0</v>
      </c>
    </row>
    <row r="250" spans="1:5" x14ac:dyDescent="0.25">
      <c r="A250" t="s">
        <v>258</v>
      </c>
      <c r="B250" t="s">
        <v>947</v>
      </c>
      <c r="C250" t="s">
        <v>4411</v>
      </c>
      <c r="D250" s="1">
        <v>16.970099999999999</v>
      </c>
      <c r="E250" s="1">
        <v>0</v>
      </c>
    </row>
    <row r="251" spans="1:5" x14ac:dyDescent="0.25">
      <c r="A251" t="s">
        <v>259</v>
      </c>
      <c r="B251" t="s">
        <v>948</v>
      </c>
      <c r="C251" t="s">
        <v>4411</v>
      </c>
      <c r="D251" s="1">
        <v>9.5729000000000006</v>
      </c>
      <c r="E251" s="1">
        <v>0</v>
      </c>
    </row>
    <row r="252" spans="1:5" x14ac:dyDescent="0.25">
      <c r="A252" t="s">
        <v>260</v>
      </c>
      <c r="B252" t="s">
        <v>949</v>
      </c>
      <c r="C252" t="s">
        <v>4411</v>
      </c>
      <c r="D252" s="1">
        <v>12.473699999999999</v>
      </c>
      <c r="E252" s="1">
        <v>0</v>
      </c>
    </row>
    <row r="253" spans="1:5" x14ac:dyDescent="0.25">
      <c r="A253" t="s">
        <v>261</v>
      </c>
      <c r="B253" t="s">
        <v>950</v>
      </c>
      <c r="C253" t="s">
        <v>4411</v>
      </c>
      <c r="D253" s="1">
        <v>8.9926999999999992</v>
      </c>
      <c r="E253" s="1">
        <v>0</v>
      </c>
    </row>
    <row r="254" spans="1:5" x14ac:dyDescent="0.25">
      <c r="A254" t="s">
        <v>262</v>
      </c>
      <c r="B254" t="s">
        <v>951</v>
      </c>
      <c r="C254" t="s">
        <v>4411</v>
      </c>
      <c r="D254" s="1">
        <v>9.5729000000000006</v>
      </c>
      <c r="E254" s="1">
        <v>0</v>
      </c>
    </row>
    <row r="255" spans="1:5" x14ac:dyDescent="0.25">
      <c r="A255" t="s">
        <v>263</v>
      </c>
      <c r="B255" t="s">
        <v>952</v>
      </c>
      <c r="C255" t="s">
        <v>4411</v>
      </c>
      <c r="D255" s="1">
        <v>12.473699999999999</v>
      </c>
      <c r="E255" s="1">
        <v>0</v>
      </c>
    </row>
    <row r="256" spans="1:5" x14ac:dyDescent="0.25">
      <c r="A256" t="s">
        <v>264</v>
      </c>
      <c r="B256" t="s">
        <v>953</v>
      </c>
      <c r="C256" t="s">
        <v>1342</v>
      </c>
      <c r="D256" s="1">
        <v>2.94</v>
      </c>
      <c r="E256" s="1">
        <v>0</v>
      </c>
    </row>
    <row r="257" spans="1:5" x14ac:dyDescent="0.25">
      <c r="A257" t="s">
        <v>265</v>
      </c>
      <c r="B257" t="s">
        <v>954</v>
      </c>
      <c r="C257" t="s">
        <v>1342</v>
      </c>
      <c r="D257" s="1">
        <v>2.29</v>
      </c>
      <c r="E257" s="1">
        <v>0</v>
      </c>
    </row>
    <row r="258" spans="1:5" x14ac:dyDescent="0.25">
      <c r="A258" t="s">
        <v>266</v>
      </c>
      <c r="B258" t="s">
        <v>955</v>
      </c>
      <c r="C258" t="s">
        <v>1342</v>
      </c>
      <c r="D258" s="1">
        <v>1.97</v>
      </c>
      <c r="E258" s="1">
        <v>0</v>
      </c>
    </row>
    <row r="259" spans="1:5" x14ac:dyDescent="0.25">
      <c r="A259" t="s">
        <v>267</v>
      </c>
      <c r="B259" t="s">
        <v>956</v>
      </c>
      <c r="C259" t="s">
        <v>1342</v>
      </c>
      <c r="D259" s="1">
        <v>2.2999999999999998</v>
      </c>
      <c r="E259" s="1">
        <v>0</v>
      </c>
    </row>
    <row r="260" spans="1:5" x14ac:dyDescent="0.25">
      <c r="A260" t="s">
        <v>268</v>
      </c>
      <c r="B260" t="s">
        <v>957</v>
      </c>
      <c r="C260" t="s">
        <v>4412</v>
      </c>
      <c r="D260" s="1">
        <v>0.48</v>
      </c>
      <c r="E260" s="1">
        <v>0</v>
      </c>
    </row>
    <row r="261" spans="1:5" x14ac:dyDescent="0.25">
      <c r="A261" s="294" t="s">
        <v>4449</v>
      </c>
      <c r="B261" s="294" t="s">
        <v>4450</v>
      </c>
      <c r="C261" s="294" t="s">
        <v>1341</v>
      </c>
      <c r="D261" s="295">
        <f>+D257*2.5</f>
        <v>5.7249999999999996</v>
      </c>
      <c r="E261" s="295">
        <v>0</v>
      </c>
    </row>
    <row r="262" spans="1:5" x14ac:dyDescent="0.25">
      <c r="A262" t="s">
        <v>269</v>
      </c>
      <c r="B262" t="s">
        <v>958</v>
      </c>
      <c r="C262" t="s">
        <v>1339</v>
      </c>
      <c r="D262" s="1">
        <v>0</v>
      </c>
      <c r="E262" s="1">
        <v>0</v>
      </c>
    </row>
    <row r="263" spans="1:5" x14ac:dyDescent="0.25">
      <c r="A263" t="s">
        <v>270</v>
      </c>
      <c r="B263" t="s">
        <v>959</v>
      </c>
      <c r="C263" t="s">
        <v>1339</v>
      </c>
      <c r="D263" s="1">
        <v>0</v>
      </c>
      <c r="E263" s="1">
        <v>0</v>
      </c>
    </row>
    <row r="264" spans="1:5" x14ac:dyDescent="0.25">
      <c r="A264" t="s">
        <v>271</v>
      </c>
      <c r="B264" t="s">
        <v>960</v>
      </c>
      <c r="C264" t="s">
        <v>1339</v>
      </c>
      <c r="D264" s="1">
        <v>0</v>
      </c>
      <c r="E264" s="1">
        <v>0</v>
      </c>
    </row>
    <row r="265" spans="1:5" x14ac:dyDescent="0.25">
      <c r="A265" t="s">
        <v>272</v>
      </c>
      <c r="B265" t="s">
        <v>961</v>
      </c>
      <c r="C265" t="s">
        <v>1339</v>
      </c>
      <c r="D265" s="1">
        <v>0</v>
      </c>
      <c r="E265" s="1">
        <v>0</v>
      </c>
    </row>
    <row r="266" spans="1:5" x14ac:dyDescent="0.25">
      <c r="A266" t="s">
        <v>273</v>
      </c>
      <c r="B266" t="s">
        <v>962</v>
      </c>
      <c r="C266" t="s">
        <v>1339</v>
      </c>
      <c r="D266" s="1">
        <v>0</v>
      </c>
      <c r="E266" s="1">
        <v>0</v>
      </c>
    </row>
    <row r="267" spans="1:5" x14ac:dyDescent="0.25">
      <c r="A267" t="s">
        <v>274</v>
      </c>
      <c r="B267" t="s">
        <v>963</v>
      </c>
      <c r="C267" t="s">
        <v>1339</v>
      </c>
      <c r="D267" s="1">
        <v>0</v>
      </c>
      <c r="E267" s="1">
        <v>0</v>
      </c>
    </row>
    <row r="268" spans="1:5" x14ac:dyDescent="0.25">
      <c r="A268" t="s">
        <v>275</v>
      </c>
      <c r="B268" t="s">
        <v>964</v>
      </c>
      <c r="C268" t="s">
        <v>1339</v>
      </c>
      <c r="D268" s="1">
        <v>0</v>
      </c>
      <c r="E268" s="1">
        <v>0</v>
      </c>
    </row>
    <row r="269" spans="1:5" x14ac:dyDescent="0.25">
      <c r="A269" t="s">
        <v>276</v>
      </c>
      <c r="B269" t="s">
        <v>965</v>
      </c>
      <c r="C269" t="s">
        <v>1339</v>
      </c>
      <c r="D269" s="1">
        <v>0</v>
      </c>
      <c r="E269" s="1">
        <v>0</v>
      </c>
    </row>
    <row r="270" spans="1:5" x14ac:dyDescent="0.25">
      <c r="A270" t="s">
        <v>277</v>
      </c>
      <c r="B270" t="s">
        <v>966</v>
      </c>
      <c r="C270" t="s">
        <v>1339</v>
      </c>
      <c r="D270" s="1">
        <v>0</v>
      </c>
      <c r="E270" s="1">
        <v>0</v>
      </c>
    </row>
    <row r="271" spans="1:5" x14ac:dyDescent="0.25">
      <c r="A271" t="s">
        <v>278</v>
      </c>
      <c r="B271" t="s">
        <v>967</v>
      </c>
      <c r="C271" t="s">
        <v>1339</v>
      </c>
      <c r="D271" s="1">
        <v>0</v>
      </c>
      <c r="E271" s="1">
        <v>0</v>
      </c>
    </row>
    <row r="272" spans="1:5" x14ac:dyDescent="0.25">
      <c r="A272" t="s">
        <v>279</v>
      </c>
      <c r="B272" t="s">
        <v>968</v>
      </c>
      <c r="C272" t="s">
        <v>1341</v>
      </c>
      <c r="D272" s="1">
        <v>3.7</v>
      </c>
      <c r="E272" s="1">
        <v>0</v>
      </c>
    </row>
    <row r="273" spans="1:5" x14ac:dyDescent="0.25">
      <c r="A273" t="s">
        <v>280</v>
      </c>
      <c r="B273" t="s">
        <v>969</v>
      </c>
      <c r="C273" t="s">
        <v>1341</v>
      </c>
      <c r="D273" s="1">
        <v>4</v>
      </c>
      <c r="E273" s="1">
        <v>0</v>
      </c>
    </row>
    <row r="274" spans="1:5" x14ac:dyDescent="0.25">
      <c r="A274" t="s">
        <v>281</v>
      </c>
      <c r="B274" t="s">
        <v>970</v>
      </c>
      <c r="C274" t="s">
        <v>1339</v>
      </c>
      <c r="D274" s="1">
        <v>0</v>
      </c>
      <c r="E274" s="1">
        <v>0</v>
      </c>
    </row>
    <row r="275" spans="1:5" x14ac:dyDescent="0.25">
      <c r="A275" t="s">
        <v>282</v>
      </c>
      <c r="B275" t="s">
        <v>968</v>
      </c>
      <c r="C275" t="s">
        <v>1339</v>
      </c>
      <c r="D275" s="1">
        <v>0</v>
      </c>
      <c r="E275" s="1">
        <v>0</v>
      </c>
    </row>
    <row r="276" spans="1:5" x14ac:dyDescent="0.25">
      <c r="A276" t="s">
        <v>283</v>
      </c>
      <c r="B276" t="s">
        <v>969</v>
      </c>
      <c r="C276" t="s">
        <v>1339</v>
      </c>
      <c r="D276" s="1">
        <v>0</v>
      </c>
      <c r="E276" s="1">
        <v>0</v>
      </c>
    </row>
    <row r="277" spans="1:5" x14ac:dyDescent="0.25">
      <c r="A277" t="s">
        <v>284</v>
      </c>
      <c r="B277" t="s">
        <v>970</v>
      </c>
      <c r="C277" t="s">
        <v>1339</v>
      </c>
      <c r="D277" s="1">
        <v>0</v>
      </c>
      <c r="E277" s="1">
        <v>0</v>
      </c>
    </row>
    <row r="278" spans="1:5" x14ac:dyDescent="0.25">
      <c r="A278" t="s">
        <v>285</v>
      </c>
      <c r="B278" t="s">
        <v>971</v>
      </c>
      <c r="C278" t="s">
        <v>1339</v>
      </c>
      <c r="D278" s="1">
        <v>0</v>
      </c>
      <c r="E278" s="1">
        <v>0</v>
      </c>
    </row>
    <row r="279" spans="1:5" x14ac:dyDescent="0.25">
      <c r="A279" t="s">
        <v>286</v>
      </c>
      <c r="B279" t="s">
        <v>972</v>
      </c>
      <c r="C279" t="s">
        <v>1341</v>
      </c>
      <c r="D279" s="1">
        <v>0.3</v>
      </c>
      <c r="E279" s="1">
        <v>0</v>
      </c>
    </row>
    <row r="280" spans="1:5" x14ac:dyDescent="0.25">
      <c r="A280" t="s">
        <v>287</v>
      </c>
      <c r="B280" t="s">
        <v>973</v>
      </c>
      <c r="C280" t="s">
        <v>1341</v>
      </c>
      <c r="D280" s="1">
        <v>0.37780000000000002</v>
      </c>
      <c r="E280" s="1">
        <v>0</v>
      </c>
    </row>
    <row r="281" spans="1:5" x14ac:dyDescent="0.25">
      <c r="A281" t="s">
        <v>288</v>
      </c>
      <c r="B281" t="s">
        <v>974</v>
      </c>
      <c r="C281" t="s">
        <v>1340</v>
      </c>
      <c r="D281" s="1">
        <v>111.04</v>
      </c>
      <c r="E281" s="1">
        <v>0</v>
      </c>
    </row>
    <row r="282" spans="1:5" x14ac:dyDescent="0.25">
      <c r="A282" t="s">
        <v>289</v>
      </c>
      <c r="B282" t="s">
        <v>975</v>
      </c>
      <c r="C282" t="s">
        <v>1354</v>
      </c>
      <c r="D282" s="1">
        <v>183.61</v>
      </c>
      <c r="E282" s="1">
        <v>0</v>
      </c>
    </row>
    <row r="283" spans="1:5" x14ac:dyDescent="0.25">
      <c r="A283" t="s">
        <v>290</v>
      </c>
      <c r="B283" t="s">
        <v>976</v>
      </c>
      <c r="C283" t="s">
        <v>1340</v>
      </c>
      <c r="D283" s="1">
        <v>269.77999999999997</v>
      </c>
      <c r="E283" s="1">
        <v>0</v>
      </c>
    </row>
    <row r="284" spans="1:5" x14ac:dyDescent="0.25">
      <c r="A284" t="s">
        <v>291</v>
      </c>
      <c r="B284" t="s">
        <v>977</v>
      </c>
      <c r="C284" t="s">
        <v>1340</v>
      </c>
      <c r="D284" s="1">
        <v>368.75</v>
      </c>
      <c r="E284" s="1">
        <v>0</v>
      </c>
    </row>
    <row r="285" spans="1:5" x14ac:dyDescent="0.25">
      <c r="A285" t="s">
        <v>292</v>
      </c>
      <c r="B285" t="s">
        <v>978</v>
      </c>
      <c r="C285" t="s">
        <v>1340</v>
      </c>
      <c r="D285" s="1">
        <v>568.98</v>
      </c>
      <c r="E285" s="1">
        <v>0</v>
      </c>
    </row>
    <row r="286" spans="1:5" x14ac:dyDescent="0.25">
      <c r="A286" t="s">
        <v>293</v>
      </c>
      <c r="B286" t="s">
        <v>979</v>
      </c>
      <c r="C286" t="s">
        <v>1340</v>
      </c>
      <c r="D286" s="1">
        <v>136.77000000000001</v>
      </c>
      <c r="E286" s="1">
        <v>0</v>
      </c>
    </row>
    <row r="287" spans="1:5" x14ac:dyDescent="0.25">
      <c r="A287" t="s">
        <v>294</v>
      </c>
      <c r="B287" t="s">
        <v>980</v>
      </c>
      <c r="C287" t="s">
        <v>1340</v>
      </c>
      <c r="D287" s="1">
        <v>215.44</v>
      </c>
      <c r="E287" s="1">
        <v>0</v>
      </c>
    </row>
    <row r="288" spans="1:5" x14ac:dyDescent="0.25">
      <c r="A288" t="s">
        <v>295</v>
      </c>
      <c r="B288" t="s">
        <v>981</v>
      </c>
      <c r="C288" t="s">
        <v>1340</v>
      </c>
      <c r="D288" s="1">
        <v>345.04</v>
      </c>
      <c r="E288" s="1">
        <v>0</v>
      </c>
    </row>
    <row r="289" spans="1:5" x14ac:dyDescent="0.25">
      <c r="A289" t="s">
        <v>296</v>
      </c>
      <c r="B289" t="s">
        <v>982</v>
      </c>
      <c r="C289" t="s">
        <v>1340</v>
      </c>
      <c r="D289" s="1">
        <v>473</v>
      </c>
      <c r="E289" s="1">
        <v>0</v>
      </c>
    </row>
    <row r="290" spans="1:5" x14ac:dyDescent="0.25">
      <c r="A290" t="s">
        <v>297</v>
      </c>
      <c r="B290" t="s">
        <v>983</v>
      </c>
      <c r="C290" t="s">
        <v>1340</v>
      </c>
      <c r="D290" s="1">
        <v>721.75</v>
      </c>
      <c r="E290" s="1">
        <v>0</v>
      </c>
    </row>
    <row r="291" spans="1:5" x14ac:dyDescent="0.25">
      <c r="A291" t="s">
        <v>298</v>
      </c>
      <c r="B291" t="s">
        <v>984</v>
      </c>
      <c r="C291" t="s">
        <v>1340</v>
      </c>
      <c r="D291" s="1">
        <v>161.38999999999999</v>
      </c>
      <c r="E291" s="1">
        <v>0</v>
      </c>
    </row>
    <row r="292" spans="1:5" x14ac:dyDescent="0.25">
      <c r="A292" t="s">
        <v>299</v>
      </c>
      <c r="B292" t="s">
        <v>985</v>
      </c>
      <c r="C292" t="s">
        <v>1340</v>
      </c>
      <c r="D292" s="1">
        <v>280.33</v>
      </c>
      <c r="E292" s="1">
        <v>0</v>
      </c>
    </row>
    <row r="293" spans="1:5" x14ac:dyDescent="0.25">
      <c r="A293" t="s">
        <v>300</v>
      </c>
      <c r="B293" t="s">
        <v>986</v>
      </c>
      <c r="C293" t="s">
        <v>1340</v>
      </c>
      <c r="D293" s="1">
        <v>406.79</v>
      </c>
      <c r="E293" s="1">
        <v>0</v>
      </c>
    </row>
    <row r="294" spans="1:5" x14ac:dyDescent="0.25">
      <c r="A294" t="s">
        <v>301</v>
      </c>
      <c r="B294" t="s">
        <v>987</v>
      </c>
      <c r="C294" t="s">
        <v>1340</v>
      </c>
      <c r="D294" s="1">
        <v>562.70000000000005</v>
      </c>
      <c r="E294" s="1">
        <v>0</v>
      </c>
    </row>
    <row r="295" spans="1:5" x14ac:dyDescent="0.25">
      <c r="A295" t="s">
        <v>302</v>
      </c>
      <c r="B295" t="s">
        <v>988</v>
      </c>
      <c r="C295" t="s">
        <v>1340</v>
      </c>
      <c r="D295" s="1">
        <v>816.48</v>
      </c>
      <c r="E295" s="1">
        <v>0</v>
      </c>
    </row>
    <row r="296" spans="1:5" x14ac:dyDescent="0.25">
      <c r="A296" t="s">
        <v>303</v>
      </c>
      <c r="B296" t="s">
        <v>989</v>
      </c>
      <c r="C296" t="s">
        <v>1340</v>
      </c>
      <c r="D296" s="1">
        <v>203.06</v>
      </c>
      <c r="E296" s="1">
        <v>0</v>
      </c>
    </row>
    <row r="297" spans="1:5" x14ac:dyDescent="0.25">
      <c r="A297" t="s">
        <v>304</v>
      </c>
      <c r="B297" t="s">
        <v>990</v>
      </c>
      <c r="C297" t="s">
        <v>1340</v>
      </c>
      <c r="D297" s="1">
        <v>332.49</v>
      </c>
      <c r="E297" s="1">
        <v>0</v>
      </c>
    </row>
    <row r="298" spans="1:5" x14ac:dyDescent="0.25">
      <c r="A298" t="s">
        <v>305</v>
      </c>
      <c r="B298" t="s">
        <v>991</v>
      </c>
      <c r="C298" t="s">
        <v>1340</v>
      </c>
      <c r="D298" s="1">
        <v>564.79999999999995</v>
      </c>
      <c r="E298" s="1">
        <v>0</v>
      </c>
    </row>
    <row r="299" spans="1:5" x14ac:dyDescent="0.25">
      <c r="A299" t="s">
        <v>306</v>
      </c>
      <c r="B299" t="s">
        <v>992</v>
      </c>
      <c r="C299" t="s">
        <v>1340</v>
      </c>
      <c r="D299" s="1">
        <v>709.64</v>
      </c>
      <c r="E299" s="1">
        <v>0</v>
      </c>
    </row>
    <row r="300" spans="1:5" x14ac:dyDescent="0.25">
      <c r="A300" t="s">
        <v>307</v>
      </c>
      <c r="B300" t="s">
        <v>993</v>
      </c>
      <c r="C300" t="s">
        <v>1340</v>
      </c>
      <c r="D300" s="1">
        <v>1105.76</v>
      </c>
      <c r="E300" s="1">
        <v>0</v>
      </c>
    </row>
    <row r="301" spans="1:5" x14ac:dyDescent="0.25">
      <c r="A301" t="s">
        <v>308</v>
      </c>
      <c r="B301" t="s">
        <v>994</v>
      </c>
      <c r="C301" t="s">
        <v>1341</v>
      </c>
      <c r="D301" s="1">
        <v>4.8899999999999997</v>
      </c>
      <c r="E301" s="1">
        <v>0</v>
      </c>
    </row>
    <row r="302" spans="1:5" x14ac:dyDescent="0.25">
      <c r="A302" t="s">
        <v>309</v>
      </c>
      <c r="B302" t="s">
        <v>995</v>
      </c>
      <c r="C302" t="s">
        <v>1341</v>
      </c>
      <c r="D302" s="1">
        <v>5.56</v>
      </c>
      <c r="E302" s="1">
        <v>0</v>
      </c>
    </row>
    <row r="303" spans="1:5" x14ac:dyDescent="0.25">
      <c r="A303" t="s">
        <v>310</v>
      </c>
      <c r="B303" t="s">
        <v>996</v>
      </c>
      <c r="C303" t="s">
        <v>1341</v>
      </c>
      <c r="D303" s="1">
        <v>4.87</v>
      </c>
      <c r="E303" s="1">
        <v>0</v>
      </c>
    </row>
    <row r="304" spans="1:5" x14ac:dyDescent="0.25">
      <c r="A304" t="s">
        <v>311</v>
      </c>
      <c r="B304" t="s">
        <v>997</v>
      </c>
      <c r="C304" t="s">
        <v>1340</v>
      </c>
      <c r="D304" s="1">
        <v>0.36849999999999999</v>
      </c>
      <c r="E304" s="1">
        <v>0</v>
      </c>
    </row>
    <row r="305" spans="1:5" x14ac:dyDescent="0.25">
      <c r="A305" t="s">
        <v>312</v>
      </c>
      <c r="B305" t="s">
        <v>998</v>
      </c>
      <c r="C305" t="s">
        <v>1341</v>
      </c>
      <c r="D305" s="1">
        <v>4.2</v>
      </c>
      <c r="E305" s="1">
        <v>0</v>
      </c>
    </row>
    <row r="306" spans="1:5" x14ac:dyDescent="0.25">
      <c r="A306" t="s">
        <v>313</v>
      </c>
      <c r="B306" t="s">
        <v>999</v>
      </c>
      <c r="C306" t="s">
        <v>1341</v>
      </c>
      <c r="D306" s="1">
        <v>4.29</v>
      </c>
      <c r="E306" s="1">
        <v>0</v>
      </c>
    </row>
    <row r="307" spans="1:5" x14ac:dyDescent="0.25">
      <c r="A307" t="s">
        <v>314</v>
      </c>
      <c r="B307" t="s">
        <v>1000</v>
      </c>
      <c r="C307" t="s">
        <v>1343</v>
      </c>
      <c r="D307" s="1">
        <v>31341.9</v>
      </c>
      <c r="E307" s="1">
        <v>0</v>
      </c>
    </row>
    <row r="308" spans="1:5" x14ac:dyDescent="0.25">
      <c r="A308" t="s">
        <v>315</v>
      </c>
      <c r="B308" t="s">
        <v>1001</v>
      </c>
      <c r="C308" t="s">
        <v>1341</v>
      </c>
      <c r="D308" s="1">
        <v>3.44</v>
      </c>
      <c r="E308" s="1">
        <v>0</v>
      </c>
    </row>
    <row r="309" spans="1:5" x14ac:dyDescent="0.25">
      <c r="A309" t="s">
        <v>316</v>
      </c>
      <c r="B309" t="s">
        <v>1002</v>
      </c>
      <c r="C309" t="s">
        <v>1343</v>
      </c>
      <c r="D309" s="1">
        <v>725.76</v>
      </c>
      <c r="E309" s="1">
        <v>0</v>
      </c>
    </row>
    <row r="310" spans="1:5" x14ac:dyDescent="0.25">
      <c r="A310" t="s">
        <v>317</v>
      </c>
      <c r="B310" t="s">
        <v>1003</v>
      </c>
      <c r="C310" t="s">
        <v>1343</v>
      </c>
      <c r="D310" s="1">
        <v>69.92</v>
      </c>
      <c r="E310" s="1">
        <v>0</v>
      </c>
    </row>
    <row r="311" spans="1:5" x14ac:dyDescent="0.25">
      <c r="A311" t="s">
        <v>318</v>
      </c>
      <c r="B311" t="s">
        <v>1004</v>
      </c>
      <c r="C311" t="s">
        <v>1340</v>
      </c>
      <c r="D311" s="1">
        <v>144.51</v>
      </c>
      <c r="E311" s="1">
        <v>0</v>
      </c>
    </row>
    <row r="312" spans="1:5" x14ac:dyDescent="0.25">
      <c r="A312" t="s">
        <v>319</v>
      </c>
      <c r="B312" t="s">
        <v>1005</v>
      </c>
      <c r="C312" t="s">
        <v>1343</v>
      </c>
      <c r="D312" s="1">
        <v>3.07</v>
      </c>
      <c r="E312" s="1">
        <v>0</v>
      </c>
    </row>
    <row r="313" spans="1:5" x14ac:dyDescent="0.25">
      <c r="A313" t="s">
        <v>320</v>
      </c>
      <c r="B313" t="s">
        <v>1006</v>
      </c>
      <c r="C313" t="s">
        <v>1341</v>
      </c>
      <c r="D313" s="1">
        <v>3.32</v>
      </c>
      <c r="E313" s="1">
        <v>0</v>
      </c>
    </row>
    <row r="314" spans="1:5" x14ac:dyDescent="0.25">
      <c r="A314" t="s">
        <v>321</v>
      </c>
      <c r="B314" t="s">
        <v>1007</v>
      </c>
      <c r="C314" t="s">
        <v>1343</v>
      </c>
      <c r="D314" s="1">
        <v>0.1</v>
      </c>
      <c r="E314" s="1">
        <v>0</v>
      </c>
    </row>
    <row r="315" spans="1:5" x14ac:dyDescent="0.25">
      <c r="A315" t="s">
        <v>322</v>
      </c>
      <c r="B315" t="s">
        <v>1008</v>
      </c>
      <c r="C315" t="s">
        <v>1343</v>
      </c>
      <c r="D315" s="1">
        <v>0.97</v>
      </c>
      <c r="E315" s="1">
        <v>0</v>
      </c>
    </row>
    <row r="316" spans="1:5" x14ac:dyDescent="0.25">
      <c r="A316" t="s">
        <v>323</v>
      </c>
      <c r="B316" t="s">
        <v>1009</v>
      </c>
      <c r="C316" t="s">
        <v>1340</v>
      </c>
      <c r="D316" s="1">
        <v>12</v>
      </c>
      <c r="E316" s="1">
        <v>0</v>
      </c>
    </row>
    <row r="317" spans="1:5" x14ac:dyDescent="0.25">
      <c r="A317" t="s">
        <v>324</v>
      </c>
      <c r="B317" t="s">
        <v>1010</v>
      </c>
      <c r="C317" t="s">
        <v>1341</v>
      </c>
      <c r="D317" s="1">
        <v>3.44</v>
      </c>
      <c r="E317" s="1">
        <v>0</v>
      </c>
    </row>
    <row r="318" spans="1:5" x14ac:dyDescent="0.25">
      <c r="A318" t="s">
        <v>325</v>
      </c>
      <c r="B318" t="s">
        <v>1011</v>
      </c>
      <c r="C318" t="s">
        <v>1343</v>
      </c>
      <c r="D318" s="1">
        <v>370.97</v>
      </c>
      <c r="E318" s="1">
        <v>0</v>
      </c>
    </row>
    <row r="319" spans="1:5" x14ac:dyDescent="0.25">
      <c r="A319" t="s">
        <v>326</v>
      </c>
      <c r="B319" t="s">
        <v>1012</v>
      </c>
      <c r="C319" t="s">
        <v>4413</v>
      </c>
      <c r="D319" s="1">
        <v>968</v>
      </c>
      <c r="E319" s="1">
        <v>0</v>
      </c>
    </row>
    <row r="320" spans="1:5" x14ac:dyDescent="0.25">
      <c r="A320" t="s">
        <v>327</v>
      </c>
      <c r="B320" t="s">
        <v>1013</v>
      </c>
      <c r="C320" t="s">
        <v>4413</v>
      </c>
      <c r="D320" s="1">
        <v>1200</v>
      </c>
      <c r="E320" s="1">
        <v>0</v>
      </c>
    </row>
    <row r="321" spans="1:5" x14ac:dyDescent="0.25">
      <c r="A321" t="s">
        <v>328</v>
      </c>
      <c r="B321" t="s">
        <v>1014</v>
      </c>
      <c r="C321" t="s">
        <v>4413</v>
      </c>
      <c r="D321" s="1">
        <v>664</v>
      </c>
      <c r="E321" s="1">
        <v>0</v>
      </c>
    </row>
    <row r="322" spans="1:5" x14ac:dyDescent="0.25">
      <c r="A322" t="s">
        <v>329</v>
      </c>
      <c r="B322" t="s">
        <v>1015</v>
      </c>
      <c r="C322" t="s">
        <v>4413</v>
      </c>
      <c r="D322" s="1">
        <v>1140</v>
      </c>
      <c r="E322" s="1">
        <v>0</v>
      </c>
    </row>
    <row r="323" spans="1:5" x14ac:dyDescent="0.25">
      <c r="A323" t="s">
        <v>330</v>
      </c>
      <c r="B323" t="s">
        <v>1016</v>
      </c>
      <c r="C323" t="s">
        <v>1341</v>
      </c>
      <c r="D323" s="1">
        <v>4.04</v>
      </c>
      <c r="E323" s="1">
        <v>0</v>
      </c>
    </row>
    <row r="324" spans="1:5" x14ac:dyDescent="0.25">
      <c r="A324" t="s">
        <v>331</v>
      </c>
      <c r="B324" t="s">
        <v>1017</v>
      </c>
      <c r="C324" t="s">
        <v>1337</v>
      </c>
      <c r="D324" s="1">
        <v>44.03</v>
      </c>
      <c r="E324" s="1">
        <v>0</v>
      </c>
    </row>
    <row r="325" spans="1:5" x14ac:dyDescent="0.25">
      <c r="A325" t="s">
        <v>332</v>
      </c>
      <c r="B325" t="s">
        <v>1018</v>
      </c>
      <c r="C325" t="s">
        <v>1343</v>
      </c>
      <c r="D325" s="1">
        <v>18.5</v>
      </c>
      <c r="E325" s="1">
        <v>0</v>
      </c>
    </row>
    <row r="326" spans="1:5" x14ac:dyDescent="0.25">
      <c r="A326" t="s">
        <v>333</v>
      </c>
      <c r="B326" t="s">
        <v>1019</v>
      </c>
      <c r="C326" t="s">
        <v>1343</v>
      </c>
      <c r="D326" s="1">
        <v>200.41</v>
      </c>
      <c r="E326" s="1">
        <v>0</v>
      </c>
    </row>
    <row r="327" spans="1:5" x14ac:dyDescent="0.25">
      <c r="A327" t="s">
        <v>334</v>
      </c>
      <c r="B327" t="s">
        <v>1020</v>
      </c>
      <c r="C327" t="s">
        <v>1343</v>
      </c>
      <c r="D327" s="1">
        <v>21.47</v>
      </c>
      <c r="E327" s="1">
        <v>0</v>
      </c>
    </row>
    <row r="328" spans="1:5" x14ac:dyDescent="0.25">
      <c r="A328" t="s">
        <v>335</v>
      </c>
      <c r="B328" t="s">
        <v>1021</v>
      </c>
      <c r="C328" t="s">
        <v>1343</v>
      </c>
      <c r="D328" s="1">
        <v>210.3</v>
      </c>
      <c r="E328" s="1">
        <v>0</v>
      </c>
    </row>
    <row r="329" spans="1:5" x14ac:dyDescent="0.25">
      <c r="A329" t="s">
        <v>336</v>
      </c>
      <c r="B329" t="s">
        <v>1022</v>
      </c>
      <c r="C329" t="s">
        <v>1340</v>
      </c>
      <c r="D329" s="1">
        <v>1736.51</v>
      </c>
      <c r="E329" s="1">
        <v>0</v>
      </c>
    </row>
    <row r="330" spans="1:5" x14ac:dyDescent="0.25">
      <c r="A330" t="s">
        <v>337</v>
      </c>
      <c r="B330" t="s">
        <v>1023</v>
      </c>
      <c r="C330" t="s">
        <v>1340</v>
      </c>
      <c r="D330" s="1">
        <v>2395.36</v>
      </c>
      <c r="E330" s="1">
        <v>0</v>
      </c>
    </row>
    <row r="331" spans="1:5" x14ac:dyDescent="0.25">
      <c r="A331" t="s">
        <v>338</v>
      </c>
      <c r="B331" t="s">
        <v>1024</v>
      </c>
      <c r="C331" t="s">
        <v>1340</v>
      </c>
      <c r="D331" s="1">
        <v>1823.89</v>
      </c>
      <c r="E331" s="1">
        <v>0</v>
      </c>
    </row>
    <row r="332" spans="1:5" x14ac:dyDescent="0.25">
      <c r="A332" t="s">
        <v>339</v>
      </c>
      <c r="B332" t="s">
        <v>1025</v>
      </c>
      <c r="C332" t="s">
        <v>1340</v>
      </c>
      <c r="D332" s="1">
        <v>2401.39</v>
      </c>
      <c r="E332" s="1">
        <v>0</v>
      </c>
    </row>
    <row r="333" spans="1:5" x14ac:dyDescent="0.25">
      <c r="A333" t="s">
        <v>340</v>
      </c>
      <c r="B333" t="s">
        <v>1026</v>
      </c>
      <c r="C333" t="s">
        <v>1340</v>
      </c>
      <c r="D333" s="1">
        <v>925.29</v>
      </c>
      <c r="E333" s="1">
        <v>0</v>
      </c>
    </row>
    <row r="334" spans="1:5" x14ac:dyDescent="0.25">
      <c r="A334" t="s">
        <v>341</v>
      </c>
      <c r="B334" t="s">
        <v>1027</v>
      </c>
      <c r="C334" t="s">
        <v>1340</v>
      </c>
      <c r="D334" s="1">
        <v>1294.3399999999999</v>
      </c>
      <c r="E334" s="1">
        <v>0</v>
      </c>
    </row>
    <row r="335" spans="1:5" x14ac:dyDescent="0.25">
      <c r="A335" t="s">
        <v>342</v>
      </c>
      <c r="B335" t="s">
        <v>1028</v>
      </c>
      <c r="C335" t="s">
        <v>1340</v>
      </c>
      <c r="D335" s="1">
        <v>925.29</v>
      </c>
      <c r="E335" s="1">
        <v>0</v>
      </c>
    </row>
    <row r="336" spans="1:5" x14ac:dyDescent="0.25">
      <c r="A336" t="s">
        <v>343</v>
      </c>
      <c r="B336" t="s">
        <v>1029</v>
      </c>
      <c r="C336" t="s">
        <v>1340</v>
      </c>
      <c r="D336" s="1">
        <v>1294.3399999999999</v>
      </c>
      <c r="E336" s="1">
        <v>0</v>
      </c>
    </row>
    <row r="337" spans="1:5" x14ac:dyDescent="0.25">
      <c r="A337" t="s">
        <v>344</v>
      </c>
      <c r="B337" t="s">
        <v>1030</v>
      </c>
      <c r="C337" t="s">
        <v>1341</v>
      </c>
      <c r="D337" s="1">
        <v>3.99</v>
      </c>
      <c r="E337" s="1">
        <v>0</v>
      </c>
    </row>
    <row r="338" spans="1:5" x14ac:dyDescent="0.25">
      <c r="A338" t="s">
        <v>345</v>
      </c>
      <c r="B338" t="s">
        <v>1031</v>
      </c>
      <c r="C338" t="s">
        <v>1340</v>
      </c>
      <c r="D338" s="1">
        <v>3566.08</v>
      </c>
      <c r="E338" s="1">
        <v>0</v>
      </c>
    </row>
    <row r="339" spans="1:5" x14ac:dyDescent="0.25">
      <c r="A339" t="s">
        <v>346</v>
      </c>
      <c r="B339" t="s">
        <v>1032</v>
      </c>
      <c r="C339" t="s">
        <v>1340</v>
      </c>
      <c r="D339" s="1">
        <v>1292.5899999999999</v>
      </c>
      <c r="E339" s="1">
        <v>0</v>
      </c>
    </row>
    <row r="340" spans="1:5" x14ac:dyDescent="0.25">
      <c r="A340" t="s">
        <v>347</v>
      </c>
      <c r="B340" t="s">
        <v>1033</v>
      </c>
      <c r="C340" t="s">
        <v>1340</v>
      </c>
      <c r="D340" s="1">
        <v>1357.87</v>
      </c>
      <c r="E340" s="1">
        <v>0</v>
      </c>
    </row>
    <row r="341" spans="1:5" x14ac:dyDescent="0.25">
      <c r="A341" t="s">
        <v>348</v>
      </c>
      <c r="B341" t="s">
        <v>1034</v>
      </c>
      <c r="C341" t="s">
        <v>1343</v>
      </c>
      <c r="D341" s="1">
        <v>1204.54</v>
      </c>
      <c r="E341" s="1">
        <v>0</v>
      </c>
    </row>
    <row r="342" spans="1:5" x14ac:dyDescent="0.25">
      <c r="A342" t="s">
        <v>349</v>
      </c>
      <c r="B342" t="s">
        <v>1035</v>
      </c>
      <c r="C342" t="s">
        <v>1343</v>
      </c>
      <c r="D342" s="1">
        <v>276.62</v>
      </c>
      <c r="E342" s="1">
        <v>0</v>
      </c>
    </row>
    <row r="343" spans="1:5" x14ac:dyDescent="0.25">
      <c r="A343" t="s">
        <v>350</v>
      </c>
      <c r="B343" t="s">
        <v>1036</v>
      </c>
      <c r="C343" t="s">
        <v>1343</v>
      </c>
      <c r="D343" s="1">
        <v>48.65</v>
      </c>
      <c r="E343" s="1">
        <v>0</v>
      </c>
    </row>
    <row r="344" spans="1:5" x14ac:dyDescent="0.25">
      <c r="A344" t="s">
        <v>351</v>
      </c>
      <c r="B344" t="s">
        <v>1037</v>
      </c>
      <c r="C344" t="s">
        <v>1343</v>
      </c>
      <c r="D344" s="1">
        <v>64.88</v>
      </c>
      <c r="E344" s="1">
        <v>0</v>
      </c>
    </row>
    <row r="345" spans="1:5" x14ac:dyDescent="0.25">
      <c r="A345" t="s">
        <v>352</v>
      </c>
      <c r="B345" t="s">
        <v>1038</v>
      </c>
      <c r="C345" t="s">
        <v>1343</v>
      </c>
      <c r="D345" s="1">
        <v>31.85</v>
      </c>
      <c r="E345" s="1">
        <v>0</v>
      </c>
    </row>
    <row r="346" spans="1:5" x14ac:dyDescent="0.25">
      <c r="A346" t="s">
        <v>353</v>
      </c>
      <c r="B346" t="s">
        <v>1039</v>
      </c>
      <c r="C346" t="s">
        <v>1343</v>
      </c>
      <c r="D346" s="1">
        <v>1.98</v>
      </c>
      <c r="E346" s="1">
        <v>0</v>
      </c>
    </row>
    <row r="347" spans="1:5" x14ac:dyDescent="0.25">
      <c r="A347" t="s">
        <v>354</v>
      </c>
      <c r="B347" t="s">
        <v>1040</v>
      </c>
      <c r="C347" t="s">
        <v>1343</v>
      </c>
      <c r="D347" s="1">
        <v>2.1</v>
      </c>
      <c r="E347" s="1">
        <v>0</v>
      </c>
    </row>
    <row r="348" spans="1:5" x14ac:dyDescent="0.25">
      <c r="A348" t="s">
        <v>355</v>
      </c>
      <c r="B348" t="s">
        <v>1041</v>
      </c>
      <c r="C348" t="s">
        <v>1340</v>
      </c>
      <c r="D348" s="1">
        <v>17.77</v>
      </c>
      <c r="E348" s="1">
        <v>0</v>
      </c>
    </row>
    <row r="349" spans="1:5" x14ac:dyDescent="0.25">
      <c r="A349" t="s">
        <v>356</v>
      </c>
      <c r="B349" t="s">
        <v>1042</v>
      </c>
      <c r="C349" t="s">
        <v>1340</v>
      </c>
      <c r="D349" s="1">
        <v>28.88</v>
      </c>
      <c r="E349" s="1">
        <v>0</v>
      </c>
    </row>
    <row r="350" spans="1:5" x14ac:dyDescent="0.25">
      <c r="A350" t="s">
        <v>357</v>
      </c>
      <c r="B350" t="s">
        <v>1043</v>
      </c>
      <c r="C350" t="s">
        <v>1340</v>
      </c>
      <c r="D350" s="1">
        <v>23.33</v>
      </c>
      <c r="E350" s="1">
        <v>0</v>
      </c>
    </row>
    <row r="351" spans="1:5" x14ac:dyDescent="0.25">
      <c r="A351" t="s">
        <v>358</v>
      </c>
      <c r="B351" t="s">
        <v>1044</v>
      </c>
      <c r="C351" t="s">
        <v>1340</v>
      </c>
      <c r="D351" s="1">
        <v>29.99</v>
      </c>
      <c r="E351" s="1">
        <v>0</v>
      </c>
    </row>
    <row r="352" spans="1:5" x14ac:dyDescent="0.25">
      <c r="A352" t="s">
        <v>359</v>
      </c>
      <c r="B352" t="s">
        <v>1045</v>
      </c>
      <c r="C352" t="s">
        <v>4414</v>
      </c>
      <c r="D352" s="1">
        <v>374.81</v>
      </c>
      <c r="E352" s="1">
        <v>0</v>
      </c>
    </row>
    <row r="353" spans="1:5" x14ac:dyDescent="0.25">
      <c r="A353" t="s">
        <v>360</v>
      </c>
      <c r="B353" t="s">
        <v>1046</v>
      </c>
      <c r="C353" t="s">
        <v>4414</v>
      </c>
      <c r="D353" s="1">
        <v>468.03</v>
      </c>
      <c r="E353" s="1">
        <v>0</v>
      </c>
    </row>
    <row r="354" spans="1:5" x14ac:dyDescent="0.25">
      <c r="A354" t="s">
        <v>361</v>
      </c>
      <c r="B354" t="s">
        <v>1047</v>
      </c>
      <c r="C354" t="s">
        <v>4414</v>
      </c>
      <c r="D354" s="1">
        <v>593.87</v>
      </c>
      <c r="E354" s="1">
        <v>0</v>
      </c>
    </row>
    <row r="355" spans="1:5" x14ac:dyDescent="0.25">
      <c r="A355" t="s">
        <v>362</v>
      </c>
      <c r="B355" t="s">
        <v>1048</v>
      </c>
      <c r="C355" t="s">
        <v>4414</v>
      </c>
      <c r="D355" s="1">
        <v>925.92</v>
      </c>
      <c r="E355" s="1">
        <v>0</v>
      </c>
    </row>
    <row r="356" spans="1:5" x14ac:dyDescent="0.25">
      <c r="A356" t="s">
        <v>363</v>
      </c>
      <c r="B356" t="s">
        <v>1049</v>
      </c>
      <c r="C356" t="s">
        <v>1343</v>
      </c>
      <c r="D356" s="1">
        <v>871.71</v>
      </c>
      <c r="E356" s="1">
        <v>0</v>
      </c>
    </row>
    <row r="357" spans="1:5" x14ac:dyDescent="0.25">
      <c r="A357" t="s">
        <v>364</v>
      </c>
      <c r="B357" t="s">
        <v>1050</v>
      </c>
      <c r="C357" t="s">
        <v>1340</v>
      </c>
      <c r="D357" s="1">
        <v>20.05</v>
      </c>
      <c r="E357" s="1">
        <v>0</v>
      </c>
    </row>
    <row r="358" spans="1:5" x14ac:dyDescent="0.25">
      <c r="A358" t="s">
        <v>365</v>
      </c>
      <c r="B358" t="s">
        <v>1051</v>
      </c>
      <c r="C358" t="s">
        <v>1340</v>
      </c>
      <c r="D358" s="1">
        <v>28.94</v>
      </c>
      <c r="E358" s="1">
        <v>0</v>
      </c>
    </row>
    <row r="359" spans="1:5" x14ac:dyDescent="0.25">
      <c r="A359" t="s">
        <v>366</v>
      </c>
      <c r="B359" t="s">
        <v>1052</v>
      </c>
      <c r="C359" t="s">
        <v>1340</v>
      </c>
      <c r="D359" s="1">
        <v>24.48</v>
      </c>
      <c r="E359" s="1">
        <v>0</v>
      </c>
    </row>
    <row r="360" spans="1:5" x14ac:dyDescent="0.25">
      <c r="A360" t="s">
        <v>367</v>
      </c>
      <c r="B360" t="s">
        <v>1053</v>
      </c>
      <c r="C360" t="s">
        <v>1340</v>
      </c>
      <c r="D360" s="1">
        <v>32.270000000000003</v>
      </c>
      <c r="E360" s="1">
        <v>0</v>
      </c>
    </row>
    <row r="361" spans="1:5" x14ac:dyDescent="0.25">
      <c r="A361" t="s">
        <v>368</v>
      </c>
      <c r="B361" t="s">
        <v>1054</v>
      </c>
      <c r="C361" t="s">
        <v>4414</v>
      </c>
      <c r="D361" s="1">
        <v>374.81</v>
      </c>
      <c r="E361" s="1">
        <v>0</v>
      </c>
    </row>
    <row r="362" spans="1:5" x14ac:dyDescent="0.25">
      <c r="A362" t="s">
        <v>369</v>
      </c>
      <c r="B362" t="s">
        <v>1055</v>
      </c>
      <c r="C362" t="s">
        <v>4414</v>
      </c>
      <c r="D362" s="1">
        <v>468.03</v>
      </c>
      <c r="E362" s="1">
        <v>0</v>
      </c>
    </row>
    <row r="363" spans="1:5" x14ac:dyDescent="0.25">
      <c r="A363" t="s">
        <v>370</v>
      </c>
      <c r="B363" t="s">
        <v>1056</v>
      </c>
      <c r="C363" t="s">
        <v>4414</v>
      </c>
      <c r="D363" s="1">
        <v>593.87</v>
      </c>
      <c r="E363" s="1">
        <v>0</v>
      </c>
    </row>
    <row r="364" spans="1:5" x14ac:dyDescent="0.25">
      <c r="A364" t="s">
        <v>371</v>
      </c>
      <c r="B364" t="s">
        <v>1057</v>
      </c>
      <c r="C364" t="s">
        <v>4414</v>
      </c>
      <c r="D364" s="1">
        <v>925.92</v>
      </c>
      <c r="E364" s="1">
        <v>0</v>
      </c>
    </row>
    <row r="365" spans="1:5" x14ac:dyDescent="0.25">
      <c r="A365" t="s">
        <v>372</v>
      </c>
      <c r="B365" t="s">
        <v>1058</v>
      </c>
      <c r="C365" t="s">
        <v>1343</v>
      </c>
      <c r="D365" s="1">
        <v>25.43</v>
      </c>
      <c r="E365" s="1">
        <v>0</v>
      </c>
    </row>
    <row r="366" spans="1:5" x14ac:dyDescent="0.25">
      <c r="A366" t="s">
        <v>373</v>
      </c>
      <c r="B366" t="s">
        <v>1059</v>
      </c>
      <c r="C366" t="s">
        <v>1343</v>
      </c>
      <c r="D366" s="1">
        <v>33.22</v>
      </c>
      <c r="E366" s="1">
        <v>0</v>
      </c>
    </row>
    <row r="367" spans="1:5" x14ac:dyDescent="0.25">
      <c r="A367" t="s">
        <v>374</v>
      </c>
      <c r="B367" t="s">
        <v>1060</v>
      </c>
      <c r="C367" t="s">
        <v>1340</v>
      </c>
      <c r="D367" s="1">
        <v>73.12</v>
      </c>
      <c r="E367" s="1">
        <v>0</v>
      </c>
    </row>
    <row r="368" spans="1:5" x14ac:dyDescent="0.25">
      <c r="A368" t="s">
        <v>375</v>
      </c>
      <c r="B368" t="s">
        <v>1061</v>
      </c>
      <c r="C368" t="s">
        <v>1343</v>
      </c>
      <c r="D368" s="1">
        <v>198.28</v>
      </c>
      <c r="E368" s="1">
        <v>0</v>
      </c>
    </row>
    <row r="369" spans="1:5" x14ac:dyDescent="0.25">
      <c r="A369" t="s">
        <v>376</v>
      </c>
      <c r="B369" t="s">
        <v>1062</v>
      </c>
      <c r="C369" t="s">
        <v>1340</v>
      </c>
      <c r="D369" s="1">
        <v>13.44</v>
      </c>
      <c r="E369" s="1">
        <v>0</v>
      </c>
    </row>
    <row r="370" spans="1:5" x14ac:dyDescent="0.25">
      <c r="A370" t="s">
        <v>377</v>
      </c>
      <c r="B370" t="s">
        <v>1063</v>
      </c>
      <c r="C370" t="s">
        <v>1343</v>
      </c>
      <c r="D370" s="1">
        <v>29.28</v>
      </c>
      <c r="E370" s="1">
        <v>0</v>
      </c>
    </row>
    <row r="371" spans="1:5" x14ac:dyDescent="0.25">
      <c r="A371" t="s">
        <v>378</v>
      </c>
      <c r="B371" t="s">
        <v>1064</v>
      </c>
      <c r="C371" t="s">
        <v>1343</v>
      </c>
      <c r="D371" s="1">
        <v>46.79</v>
      </c>
      <c r="E371" s="1">
        <v>0</v>
      </c>
    </row>
    <row r="372" spans="1:5" x14ac:dyDescent="0.25">
      <c r="A372" t="s">
        <v>379</v>
      </c>
      <c r="B372" t="s">
        <v>1065</v>
      </c>
      <c r="C372" t="s">
        <v>1343</v>
      </c>
      <c r="D372" s="1">
        <v>0</v>
      </c>
      <c r="E372" s="1">
        <v>0</v>
      </c>
    </row>
    <row r="373" spans="1:5" x14ac:dyDescent="0.25">
      <c r="A373" t="s">
        <v>380</v>
      </c>
      <c r="B373" t="s">
        <v>1066</v>
      </c>
      <c r="C373" t="s">
        <v>1341</v>
      </c>
      <c r="D373" s="1">
        <v>3.88</v>
      </c>
      <c r="E373" s="1">
        <v>0</v>
      </c>
    </row>
    <row r="374" spans="1:5" x14ac:dyDescent="0.25">
      <c r="A374" t="s">
        <v>381</v>
      </c>
      <c r="B374" t="s">
        <v>1067</v>
      </c>
      <c r="C374" t="s">
        <v>1340</v>
      </c>
      <c r="D374" s="1">
        <v>7.94</v>
      </c>
      <c r="E374" s="1">
        <v>0</v>
      </c>
    </row>
    <row r="375" spans="1:5" x14ac:dyDescent="0.25">
      <c r="A375" t="s">
        <v>382</v>
      </c>
      <c r="B375" t="s">
        <v>1068</v>
      </c>
      <c r="C375" t="s">
        <v>1340</v>
      </c>
      <c r="D375" s="1">
        <v>5.85</v>
      </c>
      <c r="E375" s="1">
        <v>0</v>
      </c>
    </row>
    <row r="376" spans="1:5" x14ac:dyDescent="0.25">
      <c r="A376" t="s">
        <v>383</v>
      </c>
      <c r="B376" t="s">
        <v>1069</v>
      </c>
      <c r="C376" t="s">
        <v>1343</v>
      </c>
      <c r="D376" s="1">
        <v>12.77</v>
      </c>
      <c r="E376" s="1">
        <v>0</v>
      </c>
    </row>
    <row r="377" spans="1:5" x14ac:dyDescent="0.25">
      <c r="A377" t="s">
        <v>384</v>
      </c>
      <c r="B377" t="s">
        <v>1070</v>
      </c>
      <c r="C377" t="s">
        <v>1343</v>
      </c>
      <c r="D377" s="1">
        <v>17.47</v>
      </c>
      <c r="E377" s="1">
        <v>0</v>
      </c>
    </row>
    <row r="378" spans="1:5" x14ac:dyDescent="0.25">
      <c r="A378" t="s">
        <v>385</v>
      </c>
      <c r="B378" t="s">
        <v>1071</v>
      </c>
      <c r="C378" t="s">
        <v>1340</v>
      </c>
      <c r="D378" s="1">
        <v>1.55</v>
      </c>
      <c r="E378" s="1">
        <v>0</v>
      </c>
    </row>
    <row r="379" spans="1:5" x14ac:dyDescent="0.25">
      <c r="A379" t="s">
        <v>386</v>
      </c>
      <c r="B379" t="s">
        <v>1072</v>
      </c>
      <c r="C379" t="s">
        <v>1340</v>
      </c>
      <c r="D379" s="1">
        <v>5.15</v>
      </c>
      <c r="E379" s="1">
        <v>0</v>
      </c>
    </row>
    <row r="380" spans="1:5" x14ac:dyDescent="0.25">
      <c r="A380" t="s">
        <v>387</v>
      </c>
      <c r="B380" t="s">
        <v>1073</v>
      </c>
      <c r="C380" t="s">
        <v>1340</v>
      </c>
      <c r="D380" s="1">
        <v>3.43</v>
      </c>
      <c r="E380" s="1">
        <v>0</v>
      </c>
    </row>
    <row r="381" spans="1:5" x14ac:dyDescent="0.25">
      <c r="A381" t="s">
        <v>388</v>
      </c>
      <c r="B381" t="s">
        <v>1074</v>
      </c>
      <c r="C381" t="s">
        <v>1340</v>
      </c>
      <c r="D381" s="1">
        <v>6.86</v>
      </c>
      <c r="E381" s="1">
        <v>0</v>
      </c>
    </row>
    <row r="382" spans="1:5" x14ac:dyDescent="0.25">
      <c r="A382" t="s">
        <v>389</v>
      </c>
      <c r="B382" t="s">
        <v>1075</v>
      </c>
      <c r="C382" t="s">
        <v>1340</v>
      </c>
      <c r="D382" s="1">
        <v>31.33</v>
      </c>
      <c r="E382" s="1">
        <v>0</v>
      </c>
    </row>
    <row r="383" spans="1:5" x14ac:dyDescent="0.25">
      <c r="A383" t="s">
        <v>390</v>
      </c>
      <c r="B383" t="s">
        <v>1076</v>
      </c>
      <c r="C383" t="s">
        <v>1337</v>
      </c>
      <c r="D383" s="1">
        <v>12.814</v>
      </c>
      <c r="E383" s="1">
        <v>0</v>
      </c>
    </row>
    <row r="384" spans="1:5" x14ac:dyDescent="0.25">
      <c r="A384" t="s">
        <v>391</v>
      </c>
      <c r="B384" t="s">
        <v>1077</v>
      </c>
      <c r="C384" t="s">
        <v>1337</v>
      </c>
      <c r="D384" s="1">
        <v>10.996600000000001</v>
      </c>
      <c r="E384" s="1">
        <v>0</v>
      </c>
    </row>
    <row r="385" spans="1:5" x14ac:dyDescent="0.25">
      <c r="A385" t="s">
        <v>392</v>
      </c>
      <c r="B385" t="s">
        <v>1078</v>
      </c>
      <c r="C385" t="s">
        <v>1340</v>
      </c>
      <c r="D385" s="1">
        <v>1.83</v>
      </c>
      <c r="E385" s="1">
        <v>0</v>
      </c>
    </row>
    <row r="386" spans="1:5" x14ac:dyDescent="0.25">
      <c r="A386" t="s">
        <v>393</v>
      </c>
      <c r="B386" t="s">
        <v>1079</v>
      </c>
      <c r="C386" t="s">
        <v>1340</v>
      </c>
      <c r="D386" s="1">
        <v>1.83</v>
      </c>
      <c r="E386" s="1">
        <v>0</v>
      </c>
    </row>
    <row r="387" spans="1:5" x14ac:dyDescent="0.25">
      <c r="A387" t="s">
        <v>394</v>
      </c>
      <c r="B387" t="s">
        <v>1080</v>
      </c>
      <c r="C387" t="s">
        <v>1340</v>
      </c>
      <c r="D387" s="1">
        <v>38.979999999999997</v>
      </c>
      <c r="E387" s="1">
        <v>0</v>
      </c>
    </row>
    <row r="388" spans="1:5" x14ac:dyDescent="0.25">
      <c r="A388" t="s">
        <v>395</v>
      </c>
      <c r="B388" t="s">
        <v>1081</v>
      </c>
      <c r="C388" t="s">
        <v>1340</v>
      </c>
      <c r="D388" s="1">
        <v>6.86</v>
      </c>
      <c r="E388" s="1">
        <v>0</v>
      </c>
    </row>
    <row r="389" spans="1:5" x14ac:dyDescent="0.25">
      <c r="A389" t="s">
        <v>396</v>
      </c>
      <c r="B389" t="s">
        <v>1082</v>
      </c>
      <c r="C389" t="s">
        <v>1338</v>
      </c>
      <c r="D389" s="1">
        <v>2160</v>
      </c>
      <c r="E389" s="1">
        <v>0</v>
      </c>
    </row>
    <row r="390" spans="1:5" x14ac:dyDescent="0.25">
      <c r="A390" t="s">
        <v>397</v>
      </c>
      <c r="B390" t="s">
        <v>1083</v>
      </c>
      <c r="C390" t="s">
        <v>1340</v>
      </c>
      <c r="D390" s="1">
        <v>68.5</v>
      </c>
      <c r="E390" s="1">
        <v>0</v>
      </c>
    </row>
    <row r="391" spans="1:5" x14ac:dyDescent="0.25">
      <c r="A391" t="s">
        <v>398</v>
      </c>
      <c r="B391" t="s">
        <v>1084</v>
      </c>
      <c r="C391" t="s">
        <v>1340</v>
      </c>
      <c r="D391" s="1">
        <v>67.08</v>
      </c>
      <c r="E391" s="1">
        <v>0</v>
      </c>
    </row>
    <row r="392" spans="1:5" x14ac:dyDescent="0.25">
      <c r="A392" t="s">
        <v>399</v>
      </c>
      <c r="B392" t="s">
        <v>1085</v>
      </c>
      <c r="C392" t="s">
        <v>1341</v>
      </c>
      <c r="D392" s="1">
        <v>3.99</v>
      </c>
      <c r="E392" s="1">
        <v>0</v>
      </c>
    </row>
    <row r="393" spans="1:5" x14ac:dyDescent="0.25">
      <c r="A393" t="s">
        <v>400</v>
      </c>
      <c r="B393" t="s">
        <v>1086</v>
      </c>
      <c r="C393" t="s">
        <v>1343</v>
      </c>
      <c r="D393" s="1">
        <v>0.91</v>
      </c>
      <c r="E393" s="1">
        <v>0</v>
      </c>
    </row>
    <row r="394" spans="1:5" x14ac:dyDescent="0.25">
      <c r="A394" t="s">
        <v>401</v>
      </c>
      <c r="B394" t="s">
        <v>1087</v>
      </c>
      <c r="C394" t="s">
        <v>1340</v>
      </c>
      <c r="D394" s="1">
        <v>1.1200000000000001</v>
      </c>
      <c r="E394" s="1">
        <v>0</v>
      </c>
    </row>
    <row r="395" spans="1:5" x14ac:dyDescent="0.25">
      <c r="A395" t="s">
        <v>402</v>
      </c>
      <c r="B395" t="s">
        <v>1088</v>
      </c>
      <c r="C395" t="s">
        <v>1343</v>
      </c>
      <c r="D395" s="1">
        <v>14.63</v>
      </c>
      <c r="E395" s="1">
        <v>0</v>
      </c>
    </row>
    <row r="396" spans="1:5" x14ac:dyDescent="0.25">
      <c r="A396" t="s">
        <v>403</v>
      </c>
      <c r="B396" t="s">
        <v>1089</v>
      </c>
      <c r="C396" t="s">
        <v>1340</v>
      </c>
      <c r="D396" s="1">
        <v>1.2</v>
      </c>
      <c r="E396" s="1">
        <v>0</v>
      </c>
    </row>
    <row r="397" spans="1:5" x14ac:dyDescent="0.25">
      <c r="A397" t="s">
        <v>404</v>
      </c>
      <c r="B397" t="s">
        <v>1090</v>
      </c>
      <c r="C397" t="s">
        <v>1342</v>
      </c>
      <c r="D397" s="1">
        <v>14.07</v>
      </c>
      <c r="E397" s="1">
        <v>0</v>
      </c>
    </row>
    <row r="398" spans="1:5" x14ac:dyDescent="0.25">
      <c r="A398" t="s">
        <v>405</v>
      </c>
      <c r="B398" t="s">
        <v>1091</v>
      </c>
      <c r="C398" t="s">
        <v>1342</v>
      </c>
      <c r="D398" s="1">
        <v>12.2072</v>
      </c>
      <c r="E398" s="1">
        <v>0</v>
      </c>
    </row>
    <row r="399" spans="1:5" x14ac:dyDescent="0.25">
      <c r="A399" t="s">
        <v>406</v>
      </c>
      <c r="B399" t="s">
        <v>1092</v>
      </c>
      <c r="C399" t="s">
        <v>1341</v>
      </c>
      <c r="D399" s="1">
        <v>0.97</v>
      </c>
      <c r="E399" s="1">
        <v>0</v>
      </c>
    </row>
    <row r="400" spans="1:5" x14ac:dyDescent="0.25">
      <c r="A400" t="s">
        <v>407</v>
      </c>
      <c r="B400" t="s">
        <v>1093</v>
      </c>
      <c r="C400" t="s">
        <v>1342</v>
      </c>
      <c r="D400" s="1">
        <v>0</v>
      </c>
      <c r="E400" s="1">
        <v>0</v>
      </c>
    </row>
    <row r="401" spans="1:5" x14ac:dyDescent="0.25">
      <c r="A401" t="s">
        <v>408</v>
      </c>
      <c r="B401" t="s">
        <v>1094</v>
      </c>
      <c r="C401" t="s">
        <v>1341</v>
      </c>
      <c r="D401" s="1">
        <v>4.2598000000000003</v>
      </c>
      <c r="E401" s="1">
        <v>0</v>
      </c>
    </row>
    <row r="402" spans="1:5" x14ac:dyDescent="0.25">
      <c r="A402" t="s">
        <v>409</v>
      </c>
      <c r="B402" t="s">
        <v>1095</v>
      </c>
      <c r="C402" t="s">
        <v>4415</v>
      </c>
      <c r="D402" s="1">
        <v>3.4299999999999997E-2</v>
      </c>
      <c r="E402" s="1">
        <v>0</v>
      </c>
    </row>
    <row r="403" spans="1:5" x14ac:dyDescent="0.25">
      <c r="A403" t="s">
        <v>410</v>
      </c>
      <c r="B403" t="s">
        <v>1096</v>
      </c>
      <c r="C403" t="s">
        <v>1342</v>
      </c>
      <c r="D403" s="1">
        <v>13.625</v>
      </c>
      <c r="E403" s="1">
        <v>0</v>
      </c>
    </row>
    <row r="404" spans="1:5" x14ac:dyDescent="0.25">
      <c r="A404" t="s">
        <v>411</v>
      </c>
      <c r="B404" t="s">
        <v>1097</v>
      </c>
      <c r="C404" t="s">
        <v>1342</v>
      </c>
      <c r="D404" s="1">
        <v>4.9874000000000001</v>
      </c>
      <c r="E404" s="1">
        <v>0</v>
      </c>
    </row>
    <row r="405" spans="1:5" x14ac:dyDescent="0.25">
      <c r="A405" t="s">
        <v>412</v>
      </c>
      <c r="B405" t="s">
        <v>1098</v>
      </c>
      <c r="C405" t="s">
        <v>1342</v>
      </c>
      <c r="D405" s="1">
        <v>2.8289</v>
      </c>
      <c r="E405" s="1">
        <v>0</v>
      </c>
    </row>
    <row r="406" spans="1:5" x14ac:dyDescent="0.25">
      <c r="A406" t="s">
        <v>413</v>
      </c>
      <c r="B406" t="s">
        <v>1099</v>
      </c>
      <c r="C406" t="s">
        <v>1342</v>
      </c>
      <c r="D406" s="1">
        <v>16.538900000000002</v>
      </c>
      <c r="E406" s="1">
        <v>0</v>
      </c>
    </row>
    <row r="407" spans="1:5" x14ac:dyDescent="0.25">
      <c r="A407" t="s">
        <v>414</v>
      </c>
      <c r="B407" t="s">
        <v>1100</v>
      </c>
      <c r="C407" t="s">
        <v>1340</v>
      </c>
      <c r="D407" s="1">
        <v>8.25</v>
      </c>
      <c r="E407" s="1">
        <v>0</v>
      </c>
    </row>
    <row r="408" spans="1:5" x14ac:dyDescent="0.25">
      <c r="A408" t="s">
        <v>415</v>
      </c>
      <c r="B408" t="s">
        <v>1101</v>
      </c>
      <c r="C408" t="s">
        <v>1342</v>
      </c>
      <c r="D408" s="1">
        <v>8.2811000000000003</v>
      </c>
      <c r="E408" s="1">
        <v>0</v>
      </c>
    </row>
    <row r="409" spans="1:5" x14ac:dyDescent="0.25">
      <c r="A409" t="s">
        <v>416</v>
      </c>
      <c r="B409" t="s">
        <v>1102</v>
      </c>
      <c r="C409" t="s">
        <v>1343</v>
      </c>
      <c r="D409" s="1">
        <v>1.19</v>
      </c>
      <c r="E409" s="1">
        <v>0</v>
      </c>
    </row>
    <row r="410" spans="1:5" x14ac:dyDescent="0.25">
      <c r="A410" t="s">
        <v>417</v>
      </c>
      <c r="B410" t="s">
        <v>1103</v>
      </c>
      <c r="C410" t="s">
        <v>1342</v>
      </c>
      <c r="D410" s="1">
        <v>11.13</v>
      </c>
      <c r="E410" s="1">
        <v>0</v>
      </c>
    </row>
    <row r="411" spans="1:5" x14ac:dyDescent="0.25">
      <c r="A411" t="s">
        <v>418</v>
      </c>
      <c r="B411" t="s">
        <v>1104</v>
      </c>
      <c r="C411" t="s">
        <v>1342</v>
      </c>
      <c r="D411" s="1">
        <v>19.7822</v>
      </c>
      <c r="E411" s="1">
        <v>0</v>
      </c>
    </row>
    <row r="412" spans="1:5" x14ac:dyDescent="0.25">
      <c r="A412" t="s">
        <v>419</v>
      </c>
      <c r="B412" t="s">
        <v>1105</v>
      </c>
      <c r="C412" t="s">
        <v>1341</v>
      </c>
      <c r="D412" s="1">
        <v>5.62</v>
      </c>
      <c r="E412" s="1">
        <v>0</v>
      </c>
    </row>
    <row r="413" spans="1:5" x14ac:dyDescent="0.25">
      <c r="A413" t="s">
        <v>420</v>
      </c>
      <c r="B413" t="s">
        <v>1106</v>
      </c>
      <c r="C413" t="s">
        <v>1341</v>
      </c>
      <c r="D413" s="1">
        <v>4.7</v>
      </c>
      <c r="E413" s="1">
        <v>0</v>
      </c>
    </row>
    <row r="414" spans="1:5" x14ac:dyDescent="0.25">
      <c r="A414" t="s">
        <v>421</v>
      </c>
      <c r="B414" t="s">
        <v>1107</v>
      </c>
      <c r="C414" t="s">
        <v>1341</v>
      </c>
      <c r="D414" s="1">
        <v>5.9039999999999999</v>
      </c>
      <c r="E414" s="1">
        <v>0</v>
      </c>
    </row>
    <row r="415" spans="1:5" x14ac:dyDescent="0.25">
      <c r="A415" t="s">
        <v>422</v>
      </c>
      <c r="B415" t="s">
        <v>1108</v>
      </c>
      <c r="C415" t="s">
        <v>1341</v>
      </c>
      <c r="D415" s="1">
        <v>5.9039999999999999</v>
      </c>
      <c r="E415" s="1">
        <v>0</v>
      </c>
    </row>
    <row r="416" spans="1:5" x14ac:dyDescent="0.25">
      <c r="A416" t="s">
        <v>423</v>
      </c>
      <c r="B416" t="s">
        <v>1109</v>
      </c>
      <c r="C416" t="s">
        <v>1341</v>
      </c>
      <c r="D416" s="1">
        <v>16.37</v>
      </c>
      <c r="E416" s="1">
        <v>0</v>
      </c>
    </row>
    <row r="417" spans="1:5" x14ac:dyDescent="0.25">
      <c r="A417" t="s">
        <v>424</v>
      </c>
      <c r="B417" t="s">
        <v>1110</v>
      </c>
      <c r="C417" t="s">
        <v>1341</v>
      </c>
      <c r="D417" s="1">
        <v>3.6293000000000002</v>
      </c>
      <c r="E417" s="1">
        <v>0</v>
      </c>
    </row>
    <row r="418" spans="1:5" x14ac:dyDescent="0.25">
      <c r="A418" t="s">
        <v>425</v>
      </c>
      <c r="B418" t="s">
        <v>1111</v>
      </c>
      <c r="C418" t="s">
        <v>1342</v>
      </c>
      <c r="D418" s="1">
        <v>0.1148</v>
      </c>
      <c r="E418" s="1">
        <v>0</v>
      </c>
    </row>
    <row r="419" spans="1:5" x14ac:dyDescent="0.25">
      <c r="A419" t="s">
        <v>426</v>
      </c>
      <c r="B419" t="s">
        <v>1112</v>
      </c>
      <c r="C419" t="s">
        <v>1341</v>
      </c>
      <c r="D419" s="1">
        <v>4.8380000000000001</v>
      </c>
      <c r="E419" s="1">
        <v>0</v>
      </c>
    </row>
    <row r="420" spans="1:5" x14ac:dyDescent="0.25">
      <c r="A420" t="s">
        <v>427</v>
      </c>
      <c r="B420" t="s">
        <v>1113</v>
      </c>
      <c r="C420" t="s">
        <v>1341</v>
      </c>
      <c r="D420" s="1">
        <v>3.48</v>
      </c>
      <c r="E420" s="1">
        <v>0</v>
      </c>
    </row>
    <row r="421" spans="1:5" x14ac:dyDescent="0.25">
      <c r="A421" t="s">
        <v>428</v>
      </c>
      <c r="B421" t="s">
        <v>1114</v>
      </c>
      <c r="C421" t="s">
        <v>1342</v>
      </c>
      <c r="D421" s="1">
        <v>14.464399999999999</v>
      </c>
      <c r="E421" s="1">
        <v>0</v>
      </c>
    </row>
    <row r="422" spans="1:5" x14ac:dyDescent="0.25">
      <c r="A422" t="s">
        <v>429</v>
      </c>
      <c r="B422" t="s">
        <v>1115</v>
      </c>
      <c r="C422" t="s">
        <v>1341</v>
      </c>
      <c r="D422" s="1">
        <v>22.02</v>
      </c>
      <c r="E422" s="1">
        <v>0</v>
      </c>
    </row>
    <row r="423" spans="1:5" x14ac:dyDescent="0.25">
      <c r="A423" t="s">
        <v>430</v>
      </c>
      <c r="B423" t="s">
        <v>1116</v>
      </c>
      <c r="C423" t="s">
        <v>1338</v>
      </c>
      <c r="D423" s="1">
        <v>6</v>
      </c>
      <c r="E423" s="1">
        <v>0</v>
      </c>
    </row>
    <row r="424" spans="1:5" x14ac:dyDescent="0.25">
      <c r="A424" t="s">
        <v>431</v>
      </c>
      <c r="B424" t="s">
        <v>1117</v>
      </c>
      <c r="C424" t="s">
        <v>1337</v>
      </c>
      <c r="D424" s="1">
        <v>93.58</v>
      </c>
      <c r="E424" s="1">
        <v>0</v>
      </c>
    </row>
    <row r="425" spans="1:5" x14ac:dyDescent="0.25">
      <c r="A425" t="s">
        <v>432</v>
      </c>
      <c r="B425" t="s">
        <v>1118</v>
      </c>
      <c r="C425" t="s">
        <v>1343</v>
      </c>
      <c r="D425" s="1">
        <v>0.63</v>
      </c>
      <c r="E425" s="1">
        <v>0</v>
      </c>
    </row>
    <row r="426" spans="1:5" x14ac:dyDescent="0.25">
      <c r="A426" t="s">
        <v>433</v>
      </c>
      <c r="B426" t="s">
        <v>1119</v>
      </c>
      <c r="C426" t="s">
        <v>1341</v>
      </c>
      <c r="D426" s="1">
        <v>0.22</v>
      </c>
      <c r="E426" s="1">
        <v>0</v>
      </c>
    </row>
    <row r="427" spans="1:5" x14ac:dyDescent="0.25">
      <c r="A427" t="s">
        <v>434</v>
      </c>
      <c r="B427" t="s">
        <v>1120</v>
      </c>
      <c r="C427" t="s">
        <v>1343</v>
      </c>
      <c r="D427" s="1">
        <v>0.80020000000000002</v>
      </c>
      <c r="E427" s="1">
        <v>0</v>
      </c>
    </row>
    <row r="428" spans="1:5" x14ac:dyDescent="0.25">
      <c r="A428" t="s">
        <v>435</v>
      </c>
      <c r="B428" t="s">
        <v>1121</v>
      </c>
      <c r="C428" t="s">
        <v>1338</v>
      </c>
      <c r="D428" s="1">
        <v>71.89</v>
      </c>
      <c r="E428" s="1">
        <v>0</v>
      </c>
    </row>
    <row r="429" spans="1:5" x14ac:dyDescent="0.25">
      <c r="A429" t="s">
        <v>436</v>
      </c>
      <c r="B429" t="s">
        <v>1122</v>
      </c>
      <c r="C429" t="s">
        <v>1338</v>
      </c>
      <c r="D429" s="1">
        <v>69.11</v>
      </c>
      <c r="E429" s="1">
        <v>0</v>
      </c>
    </row>
    <row r="430" spans="1:5" x14ac:dyDescent="0.25">
      <c r="A430" t="s">
        <v>437</v>
      </c>
      <c r="B430" t="s">
        <v>1123</v>
      </c>
      <c r="C430" t="s">
        <v>1338</v>
      </c>
      <c r="D430" s="1">
        <v>47.18</v>
      </c>
      <c r="E430" s="1">
        <v>0</v>
      </c>
    </row>
    <row r="431" spans="1:5" x14ac:dyDescent="0.25">
      <c r="A431" t="s">
        <v>438</v>
      </c>
      <c r="B431" t="s">
        <v>1124</v>
      </c>
      <c r="C431" t="s">
        <v>1338</v>
      </c>
      <c r="D431" s="1">
        <v>75.17</v>
      </c>
      <c r="E431" s="1">
        <v>0</v>
      </c>
    </row>
    <row r="432" spans="1:5" x14ac:dyDescent="0.25">
      <c r="A432" t="s">
        <v>439</v>
      </c>
      <c r="B432" t="s">
        <v>1125</v>
      </c>
      <c r="C432" t="s">
        <v>1338</v>
      </c>
      <c r="D432" s="1">
        <v>34</v>
      </c>
      <c r="E432" s="1">
        <v>0</v>
      </c>
    </row>
    <row r="433" spans="1:5" x14ac:dyDescent="0.25">
      <c r="A433" t="s">
        <v>440</v>
      </c>
      <c r="B433" t="s">
        <v>1126</v>
      </c>
      <c r="C433" t="s">
        <v>1338</v>
      </c>
      <c r="D433" s="1">
        <v>68</v>
      </c>
      <c r="E433" s="1">
        <v>0</v>
      </c>
    </row>
    <row r="434" spans="1:5" x14ac:dyDescent="0.25">
      <c r="A434" t="s">
        <v>441</v>
      </c>
      <c r="B434" t="s">
        <v>1127</v>
      </c>
      <c r="C434" t="s">
        <v>1341</v>
      </c>
      <c r="D434" s="1">
        <v>0.13</v>
      </c>
      <c r="E434" s="1">
        <v>0</v>
      </c>
    </row>
    <row r="435" spans="1:5" x14ac:dyDescent="0.25">
      <c r="A435" t="s">
        <v>442</v>
      </c>
      <c r="B435" t="s">
        <v>1128</v>
      </c>
      <c r="C435" t="s">
        <v>1343</v>
      </c>
      <c r="D435" s="1">
        <v>36.520000000000003</v>
      </c>
      <c r="E435" s="1">
        <v>0</v>
      </c>
    </row>
    <row r="436" spans="1:5" x14ac:dyDescent="0.25">
      <c r="A436" t="s">
        <v>443</v>
      </c>
      <c r="B436" t="s">
        <v>1129</v>
      </c>
      <c r="C436" t="s">
        <v>1343</v>
      </c>
      <c r="D436" s="1">
        <v>36.520000000000003</v>
      </c>
      <c r="E436" s="1">
        <v>0</v>
      </c>
    </row>
    <row r="437" spans="1:5" x14ac:dyDescent="0.25">
      <c r="A437" t="s">
        <v>444</v>
      </c>
      <c r="B437" t="s">
        <v>1130</v>
      </c>
      <c r="C437" t="s">
        <v>1343</v>
      </c>
      <c r="D437" s="1">
        <v>24</v>
      </c>
      <c r="E437" s="1">
        <v>0</v>
      </c>
    </row>
    <row r="438" spans="1:5" x14ac:dyDescent="0.25">
      <c r="A438" t="s">
        <v>445</v>
      </c>
      <c r="B438" t="s">
        <v>1131</v>
      </c>
      <c r="C438" t="s">
        <v>1343</v>
      </c>
      <c r="D438" s="1">
        <v>26</v>
      </c>
      <c r="E438" s="1">
        <v>0</v>
      </c>
    </row>
    <row r="439" spans="1:5" x14ac:dyDescent="0.25">
      <c r="A439" t="s">
        <v>446</v>
      </c>
      <c r="B439" t="s">
        <v>1132</v>
      </c>
      <c r="C439" t="s">
        <v>4416</v>
      </c>
      <c r="D439" s="1">
        <v>62.88</v>
      </c>
      <c r="E439" s="1">
        <v>0</v>
      </c>
    </row>
    <row r="440" spans="1:5" x14ac:dyDescent="0.25">
      <c r="A440" t="s">
        <v>447</v>
      </c>
      <c r="B440" t="s">
        <v>1133</v>
      </c>
      <c r="C440" t="s">
        <v>1340</v>
      </c>
      <c r="D440" s="1">
        <v>10.3733</v>
      </c>
      <c r="E440" s="1">
        <v>0</v>
      </c>
    </row>
    <row r="441" spans="1:5" x14ac:dyDescent="0.25">
      <c r="A441" t="s">
        <v>448</v>
      </c>
      <c r="B441" t="s">
        <v>1134</v>
      </c>
      <c r="C441" t="s">
        <v>1337</v>
      </c>
      <c r="D441" s="1">
        <v>2.67</v>
      </c>
      <c r="E441" s="1">
        <v>0</v>
      </c>
    </row>
    <row r="442" spans="1:5" x14ac:dyDescent="0.25">
      <c r="A442" t="s">
        <v>449</v>
      </c>
      <c r="B442" t="s">
        <v>1135</v>
      </c>
      <c r="C442" t="s">
        <v>1337</v>
      </c>
      <c r="D442" s="1">
        <v>4.7300000000000004</v>
      </c>
      <c r="E442" s="1">
        <v>0</v>
      </c>
    </row>
    <row r="443" spans="1:5" x14ac:dyDescent="0.25">
      <c r="A443" t="s">
        <v>450</v>
      </c>
      <c r="B443" t="s">
        <v>1136</v>
      </c>
      <c r="C443" t="s">
        <v>1341</v>
      </c>
      <c r="D443" s="1">
        <v>0.19</v>
      </c>
      <c r="E443" s="1">
        <v>0</v>
      </c>
    </row>
    <row r="444" spans="1:5" x14ac:dyDescent="0.25">
      <c r="A444" t="s">
        <v>451</v>
      </c>
      <c r="B444" t="s">
        <v>1137</v>
      </c>
      <c r="C444" t="s">
        <v>1341</v>
      </c>
      <c r="D444" s="1">
        <v>6.53</v>
      </c>
      <c r="E444" s="1">
        <v>0</v>
      </c>
    </row>
    <row r="445" spans="1:5" x14ac:dyDescent="0.25">
      <c r="A445" t="s">
        <v>452</v>
      </c>
      <c r="B445" t="s">
        <v>1138</v>
      </c>
      <c r="C445" t="s">
        <v>1341</v>
      </c>
      <c r="D445" s="1">
        <v>0.1784</v>
      </c>
      <c r="E445" s="1">
        <v>0</v>
      </c>
    </row>
    <row r="446" spans="1:5" x14ac:dyDescent="0.25">
      <c r="A446" t="s">
        <v>453</v>
      </c>
      <c r="B446" t="s">
        <v>1139</v>
      </c>
      <c r="C446" t="s">
        <v>1341</v>
      </c>
      <c r="D446" s="1">
        <v>11</v>
      </c>
      <c r="E446" s="1">
        <v>0</v>
      </c>
    </row>
    <row r="447" spans="1:5" x14ac:dyDescent="0.25">
      <c r="A447" t="s">
        <v>454</v>
      </c>
      <c r="B447" t="s">
        <v>1140</v>
      </c>
      <c r="C447" t="s">
        <v>1340</v>
      </c>
      <c r="D447" s="1">
        <v>21.083300000000001</v>
      </c>
      <c r="E447" s="1">
        <v>0</v>
      </c>
    </row>
    <row r="448" spans="1:5" x14ac:dyDescent="0.25">
      <c r="A448" t="s">
        <v>455</v>
      </c>
      <c r="B448" t="s">
        <v>1141</v>
      </c>
      <c r="C448" t="s">
        <v>1340</v>
      </c>
      <c r="D448" s="1">
        <v>4.6333000000000002</v>
      </c>
      <c r="E448" s="1">
        <v>0</v>
      </c>
    </row>
    <row r="449" spans="1:5" x14ac:dyDescent="0.25">
      <c r="A449" t="s">
        <v>456</v>
      </c>
      <c r="B449" t="s">
        <v>1142</v>
      </c>
      <c r="C449" t="s">
        <v>1340</v>
      </c>
      <c r="D449" s="1">
        <v>10.3733</v>
      </c>
      <c r="E449" s="1">
        <v>0</v>
      </c>
    </row>
    <row r="450" spans="1:5" x14ac:dyDescent="0.25">
      <c r="A450" t="s">
        <v>457</v>
      </c>
      <c r="B450" t="s">
        <v>1143</v>
      </c>
      <c r="C450" t="s">
        <v>1340</v>
      </c>
      <c r="D450" s="1">
        <v>18.4862</v>
      </c>
      <c r="E450" s="1">
        <v>0</v>
      </c>
    </row>
    <row r="451" spans="1:5" x14ac:dyDescent="0.25">
      <c r="A451" t="s">
        <v>458</v>
      </c>
      <c r="B451" t="s">
        <v>1144</v>
      </c>
      <c r="C451" t="s">
        <v>1340</v>
      </c>
      <c r="D451" s="1">
        <v>21.002199999999998</v>
      </c>
      <c r="E451" s="1">
        <v>0</v>
      </c>
    </row>
    <row r="452" spans="1:5" x14ac:dyDescent="0.25">
      <c r="A452" t="s">
        <v>459</v>
      </c>
      <c r="B452" t="s">
        <v>1145</v>
      </c>
      <c r="C452" t="s">
        <v>1340</v>
      </c>
      <c r="D452" s="1">
        <v>29.506699999999999</v>
      </c>
      <c r="E452" s="1">
        <v>0</v>
      </c>
    </row>
    <row r="453" spans="1:5" x14ac:dyDescent="0.25">
      <c r="A453" t="s">
        <v>460</v>
      </c>
      <c r="B453" t="s">
        <v>1146</v>
      </c>
      <c r="C453" t="s">
        <v>1340</v>
      </c>
      <c r="D453" s="1">
        <v>84.008300000000006</v>
      </c>
      <c r="E453" s="1">
        <v>0</v>
      </c>
    </row>
    <row r="454" spans="1:5" x14ac:dyDescent="0.25">
      <c r="A454" t="s">
        <v>461</v>
      </c>
      <c r="B454" t="s">
        <v>1147</v>
      </c>
      <c r="C454" t="s">
        <v>1340</v>
      </c>
      <c r="D454" s="1">
        <v>25.22</v>
      </c>
      <c r="E454" s="1">
        <v>0</v>
      </c>
    </row>
    <row r="455" spans="1:5" x14ac:dyDescent="0.25">
      <c r="A455" t="s">
        <v>462</v>
      </c>
      <c r="B455" t="s">
        <v>1148</v>
      </c>
      <c r="C455" t="s">
        <v>1343</v>
      </c>
      <c r="D455" s="1">
        <v>183.97</v>
      </c>
      <c r="E455" s="1">
        <v>0</v>
      </c>
    </row>
    <row r="456" spans="1:5" x14ac:dyDescent="0.25">
      <c r="A456" t="s">
        <v>463</v>
      </c>
      <c r="B456" t="s">
        <v>1149</v>
      </c>
      <c r="C456" t="s">
        <v>1357</v>
      </c>
      <c r="D456" s="1">
        <v>277.08</v>
      </c>
      <c r="E456" s="1">
        <v>0</v>
      </c>
    </row>
    <row r="457" spans="1:5" x14ac:dyDescent="0.25">
      <c r="A457" t="s">
        <v>464</v>
      </c>
      <c r="B457" t="s">
        <v>1150</v>
      </c>
      <c r="C457" t="s">
        <v>1343</v>
      </c>
      <c r="D457" s="1">
        <v>323.92</v>
      </c>
      <c r="E457" s="1">
        <v>0</v>
      </c>
    </row>
    <row r="458" spans="1:5" x14ac:dyDescent="0.25">
      <c r="A458" t="s">
        <v>465</v>
      </c>
      <c r="B458" t="s">
        <v>1151</v>
      </c>
      <c r="C458" t="s">
        <v>1343</v>
      </c>
      <c r="D458" s="1">
        <v>231.68</v>
      </c>
      <c r="E458" s="1">
        <v>0</v>
      </c>
    </row>
    <row r="459" spans="1:5" x14ac:dyDescent="0.25">
      <c r="A459" t="s">
        <v>466</v>
      </c>
      <c r="B459" t="s">
        <v>1152</v>
      </c>
      <c r="C459" t="s">
        <v>1343</v>
      </c>
      <c r="D459" s="1">
        <v>173.75</v>
      </c>
      <c r="E459" s="1">
        <v>0</v>
      </c>
    </row>
    <row r="460" spans="1:5" x14ac:dyDescent="0.25">
      <c r="A460" t="s">
        <v>467</v>
      </c>
      <c r="B460" t="s">
        <v>1153</v>
      </c>
      <c r="C460" t="s">
        <v>1343</v>
      </c>
      <c r="D460" s="1">
        <v>545.11</v>
      </c>
      <c r="E460" s="1">
        <v>0</v>
      </c>
    </row>
    <row r="461" spans="1:5" x14ac:dyDescent="0.25">
      <c r="A461" t="s">
        <v>468</v>
      </c>
      <c r="B461" t="s">
        <v>1154</v>
      </c>
      <c r="C461" t="s">
        <v>1343</v>
      </c>
      <c r="D461" s="1">
        <v>667.34</v>
      </c>
      <c r="E461" s="1">
        <v>0</v>
      </c>
    </row>
    <row r="462" spans="1:5" x14ac:dyDescent="0.25">
      <c r="A462" t="s">
        <v>469</v>
      </c>
      <c r="B462" t="s">
        <v>1155</v>
      </c>
      <c r="C462" t="s">
        <v>1343</v>
      </c>
      <c r="D462" s="1">
        <v>1098.83</v>
      </c>
      <c r="E462" s="1">
        <v>0</v>
      </c>
    </row>
    <row r="463" spans="1:5" x14ac:dyDescent="0.25">
      <c r="A463" t="s">
        <v>470</v>
      </c>
      <c r="B463" t="s">
        <v>1156</v>
      </c>
      <c r="C463" t="s">
        <v>1343</v>
      </c>
      <c r="D463" s="1">
        <v>1225.6099999999999</v>
      </c>
      <c r="E463" s="1">
        <v>0</v>
      </c>
    </row>
    <row r="464" spans="1:5" x14ac:dyDescent="0.25">
      <c r="A464" t="s">
        <v>471</v>
      </c>
      <c r="B464" t="s">
        <v>1157</v>
      </c>
      <c r="C464" t="s">
        <v>1343</v>
      </c>
      <c r="D464" s="1">
        <v>0</v>
      </c>
      <c r="E464" s="1">
        <v>0</v>
      </c>
    </row>
    <row r="465" spans="1:5" x14ac:dyDescent="0.25">
      <c r="A465" t="s">
        <v>472</v>
      </c>
      <c r="B465" t="s">
        <v>1158</v>
      </c>
      <c r="C465" t="s">
        <v>1337</v>
      </c>
      <c r="D465" s="1">
        <v>0</v>
      </c>
      <c r="E465" s="1">
        <v>0</v>
      </c>
    </row>
    <row r="466" spans="1:5" x14ac:dyDescent="0.25">
      <c r="A466" t="s">
        <v>473</v>
      </c>
      <c r="B466" t="s">
        <v>1159</v>
      </c>
      <c r="C466" t="s">
        <v>1337</v>
      </c>
      <c r="D466" s="1">
        <v>0</v>
      </c>
      <c r="E466" s="1">
        <v>0</v>
      </c>
    </row>
    <row r="467" spans="1:5" x14ac:dyDescent="0.25">
      <c r="A467" t="s">
        <v>474</v>
      </c>
      <c r="B467" t="s">
        <v>1160</v>
      </c>
      <c r="C467" t="s">
        <v>1337</v>
      </c>
      <c r="D467" s="1">
        <v>0</v>
      </c>
      <c r="E467" s="1">
        <v>0</v>
      </c>
    </row>
    <row r="468" spans="1:5" x14ac:dyDescent="0.25">
      <c r="A468" t="s">
        <v>475</v>
      </c>
      <c r="B468" t="s">
        <v>1161</v>
      </c>
      <c r="C468" t="s">
        <v>1337</v>
      </c>
      <c r="D468" s="1">
        <v>0</v>
      </c>
      <c r="E468" s="1">
        <v>0</v>
      </c>
    </row>
    <row r="469" spans="1:5" x14ac:dyDescent="0.25">
      <c r="A469" t="s">
        <v>476</v>
      </c>
      <c r="B469" t="s">
        <v>1162</v>
      </c>
      <c r="C469" t="s">
        <v>1337</v>
      </c>
      <c r="D469" s="1">
        <v>0</v>
      </c>
      <c r="E469" s="1">
        <v>0</v>
      </c>
    </row>
    <row r="470" spans="1:5" x14ac:dyDescent="0.25">
      <c r="A470" t="s">
        <v>477</v>
      </c>
      <c r="B470" t="s">
        <v>1163</v>
      </c>
      <c r="C470" t="s">
        <v>1337</v>
      </c>
      <c r="D470" s="1">
        <v>0</v>
      </c>
      <c r="E470" s="1">
        <v>0</v>
      </c>
    </row>
    <row r="471" spans="1:5" x14ac:dyDescent="0.25">
      <c r="A471" t="s">
        <v>478</v>
      </c>
      <c r="B471" t="s">
        <v>1164</v>
      </c>
      <c r="C471" t="s">
        <v>1337</v>
      </c>
      <c r="D471" s="1">
        <v>0</v>
      </c>
      <c r="E471" s="1">
        <v>0</v>
      </c>
    </row>
    <row r="472" spans="1:5" x14ac:dyDescent="0.25">
      <c r="A472" t="s">
        <v>479</v>
      </c>
      <c r="B472" t="s">
        <v>1165</v>
      </c>
      <c r="C472" t="s">
        <v>1337</v>
      </c>
      <c r="D472" s="1">
        <v>0</v>
      </c>
      <c r="E472" s="1">
        <v>0</v>
      </c>
    </row>
    <row r="473" spans="1:5" x14ac:dyDescent="0.25">
      <c r="A473" t="s">
        <v>480</v>
      </c>
      <c r="B473" t="s">
        <v>1166</v>
      </c>
      <c r="C473" t="s">
        <v>1343</v>
      </c>
      <c r="D473" s="1">
        <v>843.26</v>
      </c>
      <c r="E473" s="1">
        <v>0</v>
      </c>
    </row>
    <row r="474" spans="1:5" x14ac:dyDescent="0.25">
      <c r="A474" t="s">
        <v>481</v>
      </c>
      <c r="B474" t="s">
        <v>1167</v>
      </c>
      <c r="C474" t="s">
        <v>1343</v>
      </c>
      <c r="D474" s="1">
        <v>145.15</v>
      </c>
      <c r="E474" s="1">
        <v>0</v>
      </c>
    </row>
    <row r="475" spans="1:5" x14ac:dyDescent="0.25">
      <c r="A475" t="s">
        <v>482</v>
      </c>
      <c r="B475" t="s">
        <v>1168</v>
      </c>
      <c r="C475" t="s">
        <v>1343</v>
      </c>
      <c r="D475" s="1">
        <v>767.34</v>
      </c>
      <c r="E475" s="1">
        <v>0</v>
      </c>
    </row>
    <row r="476" spans="1:5" x14ac:dyDescent="0.25">
      <c r="A476" t="s">
        <v>483</v>
      </c>
      <c r="B476" t="s">
        <v>1169</v>
      </c>
      <c r="C476" t="s">
        <v>1343</v>
      </c>
      <c r="D476" s="1">
        <v>315.08</v>
      </c>
      <c r="E476" s="1">
        <v>0</v>
      </c>
    </row>
    <row r="477" spans="1:5" x14ac:dyDescent="0.25">
      <c r="A477" t="s">
        <v>484</v>
      </c>
      <c r="B477" t="s">
        <v>1170</v>
      </c>
      <c r="C477" t="s">
        <v>1343</v>
      </c>
      <c r="D477" s="1">
        <v>16.55</v>
      </c>
      <c r="E477" s="1">
        <v>0</v>
      </c>
    </row>
    <row r="478" spans="1:5" x14ac:dyDescent="0.25">
      <c r="A478" t="s">
        <v>485</v>
      </c>
      <c r="B478" t="s">
        <v>1171</v>
      </c>
      <c r="C478" t="s">
        <v>1343</v>
      </c>
      <c r="D478" s="1">
        <v>671.9</v>
      </c>
      <c r="E478" s="1">
        <v>0</v>
      </c>
    </row>
    <row r="479" spans="1:5" x14ac:dyDescent="0.25">
      <c r="A479" t="s">
        <v>486</v>
      </c>
      <c r="B479" t="s">
        <v>1172</v>
      </c>
      <c r="C479" t="s">
        <v>1343</v>
      </c>
      <c r="D479" s="1">
        <v>474.28</v>
      </c>
      <c r="E479" s="1">
        <v>0</v>
      </c>
    </row>
    <row r="480" spans="1:5" x14ac:dyDescent="0.25">
      <c r="A480" t="s">
        <v>487</v>
      </c>
      <c r="B480" t="s">
        <v>1173</v>
      </c>
      <c r="C480" t="s">
        <v>1343</v>
      </c>
      <c r="D480" s="1">
        <v>39.03</v>
      </c>
      <c r="E480" s="1">
        <v>0</v>
      </c>
    </row>
    <row r="481" spans="1:5" x14ac:dyDescent="0.25">
      <c r="A481" t="s">
        <v>488</v>
      </c>
      <c r="B481" t="s">
        <v>1174</v>
      </c>
      <c r="C481" t="s">
        <v>1343</v>
      </c>
      <c r="D481" s="1">
        <v>284.04000000000002</v>
      </c>
      <c r="E481" s="1">
        <v>0</v>
      </c>
    </row>
    <row r="482" spans="1:5" x14ac:dyDescent="0.25">
      <c r="A482" t="s">
        <v>489</v>
      </c>
      <c r="B482" t="s">
        <v>1175</v>
      </c>
      <c r="C482" t="s">
        <v>1343</v>
      </c>
      <c r="D482" s="1">
        <v>431.21</v>
      </c>
      <c r="E482" s="1">
        <v>0</v>
      </c>
    </row>
    <row r="483" spans="1:5" x14ac:dyDescent="0.25">
      <c r="A483" t="s">
        <v>490</v>
      </c>
      <c r="B483" t="s">
        <v>1176</v>
      </c>
      <c r="C483" t="s">
        <v>1343</v>
      </c>
      <c r="D483" s="1">
        <v>286.60000000000002</v>
      </c>
      <c r="E483" s="1">
        <v>0</v>
      </c>
    </row>
    <row r="484" spans="1:5" x14ac:dyDescent="0.25">
      <c r="A484" t="s">
        <v>491</v>
      </c>
      <c r="B484" t="s">
        <v>1177</v>
      </c>
      <c r="C484" t="s">
        <v>1343</v>
      </c>
      <c r="D484" s="1">
        <v>243.11</v>
      </c>
      <c r="E484" s="1">
        <v>0</v>
      </c>
    </row>
    <row r="485" spans="1:5" x14ac:dyDescent="0.25">
      <c r="A485" t="s">
        <v>492</v>
      </c>
      <c r="B485" t="s">
        <v>1178</v>
      </c>
      <c r="C485" t="s">
        <v>1343</v>
      </c>
      <c r="D485" s="1">
        <v>457.55</v>
      </c>
      <c r="E485" s="1">
        <v>0</v>
      </c>
    </row>
    <row r="486" spans="1:5" x14ac:dyDescent="0.25">
      <c r="A486" t="s">
        <v>493</v>
      </c>
      <c r="B486" t="s">
        <v>1179</v>
      </c>
      <c r="C486" t="s">
        <v>1343</v>
      </c>
      <c r="D486" s="1">
        <v>220.35</v>
      </c>
      <c r="E486" s="1">
        <v>0</v>
      </c>
    </row>
    <row r="487" spans="1:5" x14ac:dyDescent="0.25">
      <c r="A487" t="s">
        <v>494</v>
      </c>
      <c r="B487" t="s">
        <v>1180</v>
      </c>
      <c r="C487" t="s">
        <v>1340</v>
      </c>
      <c r="D487" s="1">
        <v>1.32E-2</v>
      </c>
      <c r="E487" s="1">
        <v>0</v>
      </c>
    </row>
    <row r="488" spans="1:5" x14ac:dyDescent="0.25">
      <c r="A488" t="s">
        <v>495</v>
      </c>
      <c r="B488" t="s">
        <v>1181</v>
      </c>
      <c r="C488" t="s">
        <v>1337</v>
      </c>
      <c r="D488" s="1">
        <v>13.14</v>
      </c>
      <c r="E488" s="1">
        <v>0</v>
      </c>
    </row>
    <row r="489" spans="1:5" x14ac:dyDescent="0.25">
      <c r="A489" t="s">
        <v>496</v>
      </c>
      <c r="B489" t="s">
        <v>1182</v>
      </c>
      <c r="C489" t="s">
        <v>1340</v>
      </c>
      <c r="D489" s="1">
        <v>1.48</v>
      </c>
      <c r="E489" s="1">
        <v>0</v>
      </c>
    </row>
    <row r="490" spans="1:5" x14ac:dyDescent="0.25">
      <c r="A490" t="s">
        <v>497</v>
      </c>
      <c r="B490" t="s">
        <v>1183</v>
      </c>
      <c r="C490" t="s">
        <v>1337</v>
      </c>
      <c r="D490" s="1">
        <v>19.46</v>
      </c>
      <c r="E490" s="1">
        <v>0</v>
      </c>
    </row>
    <row r="491" spans="1:5" x14ac:dyDescent="0.25">
      <c r="A491" t="s">
        <v>498</v>
      </c>
      <c r="B491" t="s">
        <v>1184</v>
      </c>
      <c r="C491" t="s">
        <v>1343</v>
      </c>
      <c r="D491" s="1">
        <v>0</v>
      </c>
      <c r="E491" s="1">
        <v>0</v>
      </c>
    </row>
    <row r="492" spans="1:5" x14ac:dyDescent="0.25">
      <c r="A492" t="s">
        <v>499</v>
      </c>
      <c r="B492" t="s">
        <v>1185</v>
      </c>
      <c r="C492" t="s">
        <v>1337</v>
      </c>
      <c r="D492" s="1">
        <v>63.03</v>
      </c>
      <c r="E492" s="1">
        <v>0</v>
      </c>
    </row>
    <row r="493" spans="1:5" x14ac:dyDescent="0.25">
      <c r="A493" t="s">
        <v>500</v>
      </c>
      <c r="B493" t="s">
        <v>1186</v>
      </c>
      <c r="C493" t="s">
        <v>1337</v>
      </c>
      <c r="D493" s="1">
        <v>147.88999999999999</v>
      </c>
      <c r="E493" s="1">
        <v>0</v>
      </c>
    </row>
    <row r="494" spans="1:5" x14ac:dyDescent="0.25">
      <c r="A494" t="s">
        <v>501</v>
      </c>
      <c r="B494" t="s">
        <v>1187</v>
      </c>
      <c r="C494" t="s">
        <v>1340</v>
      </c>
      <c r="D494" s="1">
        <v>160.19999999999999</v>
      </c>
      <c r="E494" s="1">
        <v>0</v>
      </c>
    </row>
    <row r="495" spans="1:5" x14ac:dyDescent="0.25">
      <c r="A495" t="s">
        <v>502</v>
      </c>
      <c r="B495" t="s">
        <v>1188</v>
      </c>
      <c r="C495" t="s">
        <v>1343</v>
      </c>
      <c r="D495" s="1">
        <v>12.54</v>
      </c>
      <c r="E495" s="1">
        <v>0</v>
      </c>
    </row>
    <row r="496" spans="1:5" x14ac:dyDescent="0.25">
      <c r="A496" t="s">
        <v>503</v>
      </c>
      <c r="B496" t="s">
        <v>1189</v>
      </c>
      <c r="C496" t="s">
        <v>1343</v>
      </c>
      <c r="D496" s="1">
        <v>14.3</v>
      </c>
      <c r="E496" s="1">
        <v>0</v>
      </c>
    </row>
    <row r="497" spans="1:5" x14ac:dyDescent="0.25">
      <c r="A497" t="s">
        <v>504</v>
      </c>
      <c r="B497" t="s">
        <v>1190</v>
      </c>
      <c r="C497" t="s">
        <v>1343</v>
      </c>
      <c r="D497" s="1">
        <v>39.83</v>
      </c>
      <c r="E497" s="1">
        <v>0</v>
      </c>
    </row>
    <row r="498" spans="1:5" x14ac:dyDescent="0.25">
      <c r="A498" t="s">
        <v>505</v>
      </c>
      <c r="B498" t="s">
        <v>1191</v>
      </c>
      <c r="C498" t="s">
        <v>1343</v>
      </c>
      <c r="D498" s="1">
        <v>42.24</v>
      </c>
      <c r="E498" s="1">
        <v>0</v>
      </c>
    </row>
    <row r="499" spans="1:5" x14ac:dyDescent="0.25">
      <c r="A499" t="s">
        <v>506</v>
      </c>
      <c r="B499" t="s">
        <v>1192</v>
      </c>
      <c r="C499" t="s">
        <v>1340</v>
      </c>
      <c r="D499" s="1">
        <v>1.1200000000000001</v>
      </c>
      <c r="E499" s="1">
        <v>0</v>
      </c>
    </row>
    <row r="500" spans="1:5" x14ac:dyDescent="0.25">
      <c r="A500" t="s">
        <v>507</v>
      </c>
      <c r="B500" t="s">
        <v>1193</v>
      </c>
      <c r="C500" t="s">
        <v>1342</v>
      </c>
      <c r="D500" s="1">
        <v>2.09</v>
      </c>
      <c r="E500" s="1">
        <v>0</v>
      </c>
    </row>
    <row r="501" spans="1:5" x14ac:dyDescent="0.25">
      <c r="A501" t="s">
        <v>508</v>
      </c>
      <c r="B501" t="s">
        <v>1194</v>
      </c>
      <c r="C501" t="s">
        <v>1338</v>
      </c>
      <c r="D501" s="1">
        <v>0.01</v>
      </c>
      <c r="E501" s="1">
        <v>0</v>
      </c>
    </row>
    <row r="502" spans="1:5" x14ac:dyDescent="0.25">
      <c r="A502" t="s">
        <v>509</v>
      </c>
      <c r="B502" t="s">
        <v>1195</v>
      </c>
      <c r="C502" t="s">
        <v>1337</v>
      </c>
      <c r="D502" s="1">
        <v>190.4</v>
      </c>
      <c r="E502" s="1">
        <v>0</v>
      </c>
    </row>
    <row r="503" spans="1:5" x14ac:dyDescent="0.25">
      <c r="A503" t="s">
        <v>510</v>
      </c>
      <c r="B503" t="s">
        <v>1196</v>
      </c>
      <c r="C503" t="s">
        <v>1343</v>
      </c>
      <c r="D503" s="1">
        <v>337.19</v>
      </c>
      <c r="E503" s="1">
        <v>0</v>
      </c>
    </row>
    <row r="504" spans="1:5" x14ac:dyDescent="0.25">
      <c r="A504" t="s">
        <v>511</v>
      </c>
      <c r="B504" t="s">
        <v>1197</v>
      </c>
      <c r="C504" t="s">
        <v>4417</v>
      </c>
      <c r="D504" s="1">
        <v>21.333300000000001</v>
      </c>
      <c r="E504" s="1">
        <v>0</v>
      </c>
    </row>
    <row r="505" spans="1:5" x14ac:dyDescent="0.25">
      <c r="A505" t="s">
        <v>512</v>
      </c>
      <c r="B505" t="s">
        <v>1198</v>
      </c>
      <c r="C505" t="s">
        <v>1340</v>
      </c>
      <c r="D505" s="1">
        <v>2.99</v>
      </c>
      <c r="E505" s="1">
        <v>0</v>
      </c>
    </row>
    <row r="506" spans="1:5" x14ac:dyDescent="0.25">
      <c r="A506" t="s">
        <v>513</v>
      </c>
      <c r="B506" t="s">
        <v>1199</v>
      </c>
      <c r="C506" t="s">
        <v>1343</v>
      </c>
      <c r="D506" s="1">
        <v>14.25</v>
      </c>
      <c r="E506" s="1">
        <v>0</v>
      </c>
    </row>
    <row r="507" spans="1:5" x14ac:dyDescent="0.25">
      <c r="A507" t="s">
        <v>514</v>
      </c>
      <c r="B507" t="s">
        <v>1200</v>
      </c>
      <c r="C507" t="s">
        <v>1343</v>
      </c>
      <c r="D507" s="1">
        <v>14.25</v>
      </c>
      <c r="E507" s="1">
        <v>0</v>
      </c>
    </row>
    <row r="508" spans="1:5" x14ac:dyDescent="0.25">
      <c r="A508" t="s">
        <v>515</v>
      </c>
      <c r="B508" t="s">
        <v>1201</v>
      </c>
      <c r="C508" t="s">
        <v>1343</v>
      </c>
      <c r="D508" s="1">
        <v>16.399999999999999</v>
      </c>
      <c r="E508" s="1">
        <v>0</v>
      </c>
    </row>
    <row r="509" spans="1:5" x14ac:dyDescent="0.25">
      <c r="A509" t="s">
        <v>516</v>
      </c>
      <c r="B509" t="s">
        <v>1202</v>
      </c>
      <c r="C509" t="s">
        <v>1339</v>
      </c>
      <c r="D509" s="1">
        <v>0</v>
      </c>
      <c r="E509" s="1">
        <v>0</v>
      </c>
    </row>
    <row r="510" spans="1:5" x14ac:dyDescent="0.25">
      <c r="A510" t="s">
        <v>517</v>
      </c>
      <c r="B510" t="s">
        <v>1203</v>
      </c>
      <c r="C510" t="s">
        <v>1339</v>
      </c>
      <c r="D510" s="1">
        <v>0</v>
      </c>
      <c r="E510" s="1">
        <v>0</v>
      </c>
    </row>
    <row r="511" spans="1:5" x14ac:dyDescent="0.25">
      <c r="A511" t="s">
        <v>518</v>
      </c>
      <c r="B511" t="s">
        <v>1204</v>
      </c>
      <c r="C511" t="s">
        <v>1339</v>
      </c>
      <c r="D511" s="1">
        <v>0</v>
      </c>
      <c r="E511" s="1">
        <v>0</v>
      </c>
    </row>
    <row r="512" spans="1:5" x14ac:dyDescent="0.25">
      <c r="A512" t="s">
        <v>519</v>
      </c>
      <c r="B512" t="s">
        <v>1205</v>
      </c>
      <c r="C512" t="s">
        <v>1339</v>
      </c>
      <c r="D512" s="1">
        <v>0</v>
      </c>
      <c r="E512" s="1">
        <v>0</v>
      </c>
    </row>
    <row r="513" spans="1:5" x14ac:dyDescent="0.25">
      <c r="A513" t="s">
        <v>520</v>
      </c>
      <c r="B513" t="s">
        <v>1206</v>
      </c>
      <c r="C513" t="s">
        <v>1341</v>
      </c>
      <c r="D513" s="1">
        <v>3.28</v>
      </c>
      <c r="E513" s="1">
        <v>0</v>
      </c>
    </row>
    <row r="514" spans="1:5" x14ac:dyDescent="0.25">
      <c r="A514" t="s">
        <v>521</v>
      </c>
      <c r="B514" t="s">
        <v>1207</v>
      </c>
      <c r="C514" t="s">
        <v>1341</v>
      </c>
      <c r="D514" s="1">
        <v>3.28</v>
      </c>
      <c r="E514" s="1">
        <v>0</v>
      </c>
    </row>
    <row r="515" spans="1:5" x14ac:dyDescent="0.25">
      <c r="A515" t="s">
        <v>522</v>
      </c>
      <c r="B515" t="s">
        <v>1208</v>
      </c>
      <c r="C515" t="s">
        <v>1341</v>
      </c>
      <c r="D515" s="1">
        <v>3.28</v>
      </c>
      <c r="E515" s="1">
        <v>0</v>
      </c>
    </row>
    <row r="516" spans="1:5" x14ac:dyDescent="0.25">
      <c r="A516" t="s">
        <v>523</v>
      </c>
      <c r="B516" t="s">
        <v>1209</v>
      </c>
      <c r="C516" t="s">
        <v>1341</v>
      </c>
      <c r="D516" s="1">
        <v>3.44</v>
      </c>
      <c r="E516" s="1">
        <v>0</v>
      </c>
    </row>
    <row r="517" spans="1:5" x14ac:dyDescent="0.25">
      <c r="A517" t="s">
        <v>524</v>
      </c>
      <c r="B517" t="s">
        <v>1210</v>
      </c>
      <c r="C517" t="s">
        <v>1341</v>
      </c>
      <c r="D517" s="1">
        <v>3.44</v>
      </c>
      <c r="E517" s="1">
        <v>0</v>
      </c>
    </row>
    <row r="518" spans="1:5" x14ac:dyDescent="0.25">
      <c r="A518" t="s">
        <v>525</v>
      </c>
      <c r="B518" t="s">
        <v>1211</v>
      </c>
      <c r="C518" t="s">
        <v>1341</v>
      </c>
      <c r="D518" s="1">
        <v>3.31</v>
      </c>
      <c r="E518" s="1">
        <v>0</v>
      </c>
    </row>
    <row r="519" spans="1:5" x14ac:dyDescent="0.25">
      <c r="A519" t="s">
        <v>526</v>
      </c>
      <c r="B519" t="s">
        <v>1212</v>
      </c>
      <c r="C519" t="s">
        <v>1341</v>
      </c>
      <c r="D519" s="1">
        <v>3.31</v>
      </c>
      <c r="E519" s="1">
        <v>0</v>
      </c>
    </row>
    <row r="520" spans="1:5" x14ac:dyDescent="0.25">
      <c r="A520" t="s">
        <v>527</v>
      </c>
      <c r="B520" t="s">
        <v>1213</v>
      </c>
      <c r="C520" t="s">
        <v>1341</v>
      </c>
      <c r="D520" s="1">
        <v>3.31</v>
      </c>
      <c r="E520" s="1">
        <v>0</v>
      </c>
    </row>
    <row r="521" spans="1:5" x14ac:dyDescent="0.25">
      <c r="A521" t="s">
        <v>528</v>
      </c>
      <c r="B521" t="s">
        <v>1214</v>
      </c>
      <c r="C521" t="s">
        <v>4418</v>
      </c>
      <c r="D521" s="1">
        <v>16.5045</v>
      </c>
      <c r="E521" s="1">
        <v>0</v>
      </c>
    </row>
    <row r="522" spans="1:5" x14ac:dyDescent="0.25">
      <c r="A522" t="s">
        <v>529</v>
      </c>
      <c r="B522" t="s">
        <v>1215</v>
      </c>
      <c r="C522" t="s">
        <v>4418</v>
      </c>
      <c r="D522" s="1">
        <v>28.718900000000001</v>
      </c>
      <c r="E522" s="1">
        <v>0</v>
      </c>
    </row>
    <row r="523" spans="1:5" x14ac:dyDescent="0.25">
      <c r="A523" t="s">
        <v>530</v>
      </c>
      <c r="B523" t="s">
        <v>1216</v>
      </c>
      <c r="C523" t="s">
        <v>4418</v>
      </c>
      <c r="D523" s="1">
        <v>7.7527999999999997</v>
      </c>
      <c r="E523" s="1">
        <v>0</v>
      </c>
    </row>
    <row r="524" spans="1:5" x14ac:dyDescent="0.25">
      <c r="A524" t="s">
        <v>531</v>
      </c>
      <c r="B524" t="s">
        <v>1217</v>
      </c>
      <c r="C524" t="s">
        <v>4418</v>
      </c>
      <c r="D524" s="1">
        <v>7.3232999999999997</v>
      </c>
      <c r="E524" s="1">
        <v>0</v>
      </c>
    </row>
    <row r="525" spans="1:5" x14ac:dyDescent="0.25">
      <c r="A525" t="s">
        <v>532</v>
      </c>
      <c r="B525" t="s">
        <v>1218</v>
      </c>
      <c r="C525" t="s">
        <v>1341</v>
      </c>
      <c r="D525" s="1">
        <v>3.44</v>
      </c>
      <c r="E525" s="1">
        <v>0</v>
      </c>
    </row>
    <row r="526" spans="1:5" x14ac:dyDescent="0.25">
      <c r="A526" t="s">
        <v>533</v>
      </c>
      <c r="B526" t="s">
        <v>1219</v>
      </c>
      <c r="C526" t="s">
        <v>1343</v>
      </c>
      <c r="D526" s="1">
        <v>20.666699999999999</v>
      </c>
      <c r="E526" s="1">
        <v>0</v>
      </c>
    </row>
    <row r="527" spans="1:5" x14ac:dyDescent="0.25">
      <c r="A527" t="s">
        <v>534</v>
      </c>
      <c r="B527" t="s">
        <v>1220</v>
      </c>
      <c r="C527" t="s">
        <v>1343</v>
      </c>
      <c r="D527" s="1">
        <v>35.200000000000003</v>
      </c>
      <c r="E527" s="1">
        <v>0</v>
      </c>
    </row>
    <row r="528" spans="1:5" x14ac:dyDescent="0.25">
      <c r="A528" t="s">
        <v>535</v>
      </c>
      <c r="B528" t="s">
        <v>1221</v>
      </c>
      <c r="C528" t="s">
        <v>4418</v>
      </c>
      <c r="D528" s="1">
        <v>34.799599999999998</v>
      </c>
      <c r="E528" s="1">
        <v>0</v>
      </c>
    </row>
    <row r="529" spans="1:5" x14ac:dyDescent="0.25">
      <c r="A529" t="s">
        <v>536</v>
      </c>
      <c r="B529" t="s">
        <v>1222</v>
      </c>
      <c r="C529" t="s">
        <v>4418</v>
      </c>
      <c r="D529" s="1">
        <v>23.811</v>
      </c>
      <c r="E529" s="1">
        <v>0</v>
      </c>
    </row>
    <row r="530" spans="1:5" x14ac:dyDescent="0.25">
      <c r="A530" t="s">
        <v>537</v>
      </c>
      <c r="B530" t="s">
        <v>1223</v>
      </c>
      <c r="C530" t="s">
        <v>4418</v>
      </c>
      <c r="D530" s="1">
        <v>30.743200000000002</v>
      </c>
      <c r="E530" s="1">
        <v>0</v>
      </c>
    </row>
    <row r="531" spans="1:5" x14ac:dyDescent="0.25">
      <c r="A531" t="s">
        <v>538</v>
      </c>
      <c r="B531" t="s">
        <v>1224</v>
      </c>
      <c r="C531" t="s">
        <v>4418</v>
      </c>
      <c r="D531" s="1">
        <v>24.889500000000002</v>
      </c>
      <c r="E531" s="1">
        <v>0</v>
      </c>
    </row>
    <row r="532" spans="1:5" x14ac:dyDescent="0.25">
      <c r="A532" t="s">
        <v>539</v>
      </c>
      <c r="B532" t="s">
        <v>1225</v>
      </c>
      <c r="C532" t="s">
        <v>4418</v>
      </c>
      <c r="D532" s="1">
        <v>20.174700000000001</v>
      </c>
      <c r="E532" s="1">
        <v>0</v>
      </c>
    </row>
    <row r="533" spans="1:5" x14ac:dyDescent="0.25">
      <c r="A533" t="s">
        <v>540</v>
      </c>
      <c r="B533" t="s">
        <v>1226</v>
      </c>
      <c r="C533" t="s">
        <v>4418</v>
      </c>
      <c r="D533" s="1">
        <v>21.405100000000001</v>
      </c>
      <c r="E533" s="1">
        <v>0</v>
      </c>
    </row>
    <row r="534" spans="1:5" x14ac:dyDescent="0.25">
      <c r="A534" t="s">
        <v>541</v>
      </c>
      <c r="B534" t="s">
        <v>1227</v>
      </c>
      <c r="C534" t="s">
        <v>1338</v>
      </c>
      <c r="D534" s="1">
        <v>69.489999999999995</v>
      </c>
      <c r="E534" s="1">
        <v>0</v>
      </c>
    </row>
    <row r="535" spans="1:5" x14ac:dyDescent="0.25">
      <c r="A535" t="s">
        <v>542</v>
      </c>
      <c r="B535" t="s">
        <v>1228</v>
      </c>
      <c r="C535" t="s">
        <v>1338</v>
      </c>
      <c r="D535" s="1">
        <v>69.489999999999995</v>
      </c>
      <c r="E535" s="1">
        <v>0</v>
      </c>
    </row>
    <row r="536" spans="1:5" x14ac:dyDescent="0.25">
      <c r="A536" t="s">
        <v>543</v>
      </c>
      <c r="B536" t="s">
        <v>1229</v>
      </c>
      <c r="C536" t="s">
        <v>1338</v>
      </c>
      <c r="D536" s="1">
        <v>69.489999999999995</v>
      </c>
      <c r="E536" s="1">
        <v>0</v>
      </c>
    </row>
    <row r="537" spans="1:5" x14ac:dyDescent="0.25">
      <c r="A537" t="s">
        <v>544</v>
      </c>
      <c r="B537" t="s">
        <v>1230</v>
      </c>
      <c r="C537" t="s">
        <v>4411</v>
      </c>
      <c r="D537" s="1">
        <v>39.305</v>
      </c>
      <c r="E537" s="1">
        <v>0</v>
      </c>
    </row>
    <row r="538" spans="1:5" x14ac:dyDescent="0.25">
      <c r="A538" t="s">
        <v>545</v>
      </c>
      <c r="B538" t="s">
        <v>1231</v>
      </c>
      <c r="C538" t="s">
        <v>4411</v>
      </c>
      <c r="D538" s="1">
        <v>28.127500000000001</v>
      </c>
      <c r="E538" s="1">
        <v>0</v>
      </c>
    </row>
    <row r="539" spans="1:5" x14ac:dyDescent="0.25">
      <c r="A539" t="s">
        <v>546</v>
      </c>
      <c r="B539" t="s">
        <v>1232</v>
      </c>
      <c r="C539" t="s">
        <v>4411</v>
      </c>
      <c r="D539" s="1">
        <v>37.402500000000003</v>
      </c>
      <c r="E539" s="1">
        <v>0</v>
      </c>
    </row>
    <row r="540" spans="1:5" x14ac:dyDescent="0.25">
      <c r="A540" t="s">
        <v>547</v>
      </c>
      <c r="B540" t="s">
        <v>1233</v>
      </c>
      <c r="C540" t="s">
        <v>4411</v>
      </c>
      <c r="D540" s="1">
        <v>40.174999999999997</v>
      </c>
      <c r="E540" s="1">
        <v>0</v>
      </c>
    </row>
    <row r="541" spans="1:5" x14ac:dyDescent="0.25">
      <c r="A541" t="s">
        <v>548</v>
      </c>
      <c r="B541" t="s">
        <v>1234</v>
      </c>
      <c r="C541" t="s">
        <v>4411</v>
      </c>
      <c r="D541" s="1">
        <v>35.763800000000003</v>
      </c>
      <c r="E541" s="1">
        <v>0</v>
      </c>
    </row>
    <row r="542" spans="1:5" x14ac:dyDescent="0.25">
      <c r="A542" t="s">
        <v>549</v>
      </c>
      <c r="B542" t="s">
        <v>1235</v>
      </c>
      <c r="C542" t="s">
        <v>4411</v>
      </c>
      <c r="D542" s="1">
        <v>61.58</v>
      </c>
      <c r="E542" s="1">
        <v>0</v>
      </c>
    </row>
    <row r="543" spans="1:5" x14ac:dyDescent="0.25">
      <c r="A543" t="s">
        <v>550</v>
      </c>
      <c r="B543" t="s">
        <v>1236</v>
      </c>
      <c r="C543" t="s">
        <v>4411</v>
      </c>
      <c r="D543" s="1">
        <v>63.698799999999999</v>
      </c>
      <c r="E543" s="1">
        <v>0</v>
      </c>
    </row>
    <row r="544" spans="1:5" x14ac:dyDescent="0.25">
      <c r="A544" t="s">
        <v>551</v>
      </c>
      <c r="B544" t="s">
        <v>1237</v>
      </c>
      <c r="C544" t="s">
        <v>4411</v>
      </c>
      <c r="D544" s="1">
        <v>57.842500000000001</v>
      </c>
      <c r="E544" s="1">
        <v>0</v>
      </c>
    </row>
    <row r="545" spans="1:5" x14ac:dyDescent="0.25">
      <c r="A545" t="s">
        <v>552</v>
      </c>
      <c r="B545" t="s">
        <v>1237</v>
      </c>
      <c r="C545" t="s">
        <v>4411</v>
      </c>
      <c r="D545" s="1">
        <v>66.663799999999995</v>
      </c>
      <c r="E545" s="1">
        <v>0</v>
      </c>
    </row>
    <row r="546" spans="1:5" x14ac:dyDescent="0.25">
      <c r="A546" t="s">
        <v>553</v>
      </c>
      <c r="B546" t="s">
        <v>1237</v>
      </c>
      <c r="C546" t="s">
        <v>4411</v>
      </c>
      <c r="D546" s="1">
        <v>63.261200000000002</v>
      </c>
      <c r="E546" s="1">
        <v>0</v>
      </c>
    </row>
    <row r="547" spans="1:5" x14ac:dyDescent="0.25">
      <c r="A547" t="s">
        <v>554</v>
      </c>
      <c r="B547" t="s">
        <v>1237</v>
      </c>
      <c r="C547" t="s">
        <v>4411</v>
      </c>
      <c r="D547" s="1">
        <v>55.8262</v>
      </c>
      <c r="E547" s="1">
        <v>0</v>
      </c>
    </row>
    <row r="548" spans="1:5" x14ac:dyDescent="0.25">
      <c r="A548" t="s">
        <v>555</v>
      </c>
      <c r="B548" t="s">
        <v>1238</v>
      </c>
      <c r="C548" t="s">
        <v>4411</v>
      </c>
      <c r="D548" s="1">
        <v>27.723800000000001</v>
      </c>
      <c r="E548" s="1">
        <v>0</v>
      </c>
    </row>
    <row r="549" spans="1:5" x14ac:dyDescent="0.25">
      <c r="A549" t="s">
        <v>556</v>
      </c>
      <c r="B549" t="s">
        <v>1239</v>
      </c>
      <c r="C549" t="s">
        <v>1340</v>
      </c>
      <c r="D549" s="1">
        <v>11.82</v>
      </c>
      <c r="E549" s="1">
        <v>0</v>
      </c>
    </row>
    <row r="550" spans="1:5" x14ac:dyDescent="0.25">
      <c r="A550" t="s">
        <v>557</v>
      </c>
      <c r="B550" t="s">
        <v>1240</v>
      </c>
      <c r="C550" t="s">
        <v>1338</v>
      </c>
      <c r="D550" s="1">
        <v>55.56</v>
      </c>
      <c r="E550" s="1">
        <v>0</v>
      </c>
    </row>
    <row r="551" spans="1:5" x14ac:dyDescent="0.25">
      <c r="A551" s="294" t="s">
        <v>4452</v>
      </c>
      <c r="B551" s="294" t="s">
        <v>4447</v>
      </c>
      <c r="C551" s="294" t="s">
        <v>4446</v>
      </c>
      <c r="D551" s="295">
        <v>1</v>
      </c>
      <c r="E551" s="295"/>
    </row>
    <row r="552" spans="1:5" x14ac:dyDescent="0.25">
      <c r="A552" s="294" t="s">
        <v>4453</v>
      </c>
      <c r="B552" s="294" t="s">
        <v>4448</v>
      </c>
      <c r="C552" s="294" t="s">
        <v>4446</v>
      </c>
      <c r="D552" s="295">
        <v>1</v>
      </c>
      <c r="E552" s="295"/>
    </row>
    <row r="553" spans="1:5" x14ac:dyDescent="0.25">
      <c r="A553" s="294" t="s">
        <v>4454</v>
      </c>
      <c r="B553" s="294" t="s">
        <v>4455</v>
      </c>
      <c r="C553" s="294" t="s">
        <v>4446</v>
      </c>
      <c r="D553" s="295">
        <v>1</v>
      </c>
      <c r="E553" s="295"/>
    </row>
    <row r="554" spans="1:5" x14ac:dyDescent="0.25">
      <c r="A554" t="s">
        <v>558</v>
      </c>
      <c r="B554" t="s">
        <v>973</v>
      </c>
      <c r="C554" t="s">
        <v>1339</v>
      </c>
      <c r="D554" s="1">
        <v>0</v>
      </c>
      <c r="E554" s="1">
        <v>0</v>
      </c>
    </row>
    <row r="555" spans="1:5" x14ac:dyDescent="0.25">
      <c r="A555" t="s">
        <v>559</v>
      </c>
      <c r="B555" t="s">
        <v>1241</v>
      </c>
      <c r="C555" t="s">
        <v>1339</v>
      </c>
      <c r="D555" s="1">
        <v>0</v>
      </c>
      <c r="E555" s="1">
        <v>0</v>
      </c>
    </row>
    <row r="556" spans="1:5" x14ac:dyDescent="0.25">
      <c r="A556" t="s">
        <v>560</v>
      </c>
      <c r="B556" t="s">
        <v>1242</v>
      </c>
      <c r="C556" t="s">
        <v>1339</v>
      </c>
      <c r="D556" s="1">
        <v>0</v>
      </c>
      <c r="E556" s="1">
        <v>0</v>
      </c>
    </row>
    <row r="557" spans="1:5" x14ac:dyDescent="0.25">
      <c r="A557" t="s">
        <v>561</v>
      </c>
      <c r="B557" t="s">
        <v>1124</v>
      </c>
      <c r="C557" t="s">
        <v>1339</v>
      </c>
      <c r="D557" s="1">
        <v>0</v>
      </c>
      <c r="E557" s="1">
        <v>0</v>
      </c>
    </row>
    <row r="558" spans="1:5" x14ac:dyDescent="0.25">
      <c r="A558" t="s">
        <v>562</v>
      </c>
      <c r="B558" t="s">
        <v>1243</v>
      </c>
      <c r="C558" t="s">
        <v>1339</v>
      </c>
      <c r="D558" s="1">
        <v>0</v>
      </c>
      <c r="E558" s="1">
        <v>0</v>
      </c>
    </row>
    <row r="559" spans="1:5" x14ac:dyDescent="0.25">
      <c r="A559" t="s">
        <v>563</v>
      </c>
      <c r="B559" t="s">
        <v>1119</v>
      </c>
      <c r="C559" t="s">
        <v>1339</v>
      </c>
      <c r="D559" s="1">
        <v>0</v>
      </c>
      <c r="E559" s="1">
        <v>0</v>
      </c>
    </row>
    <row r="560" spans="1:5" x14ac:dyDescent="0.25">
      <c r="A560" t="s">
        <v>564</v>
      </c>
      <c r="B560" t="s">
        <v>1120</v>
      </c>
      <c r="C560" t="s">
        <v>1339</v>
      </c>
      <c r="D560" s="1">
        <v>0</v>
      </c>
      <c r="E560" s="1">
        <v>0</v>
      </c>
    </row>
    <row r="561" spans="1:5" x14ac:dyDescent="0.25">
      <c r="A561" t="s">
        <v>565</v>
      </c>
      <c r="B561" t="s">
        <v>1244</v>
      </c>
      <c r="C561" t="s">
        <v>1339</v>
      </c>
      <c r="D561" s="1">
        <v>0</v>
      </c>
      <c r="E561" s="1">
        <v>0</v>
      </c>
    </row>
    <row r="562" spans="1:5" x14ac:dyDescent="0.25">
      <c r="A562" t="s">
        <v>566</v>
      </c>
      <c r="B562" t="s">
        <v>1245</v>
      </c>
      <c r="C562" t="s">
        <v>1339</v>
      </c>
      <c r="D562" s="1">
        <v>0</v>
      </c>
      <c r="E562" s="1">
        <v>0</v>
      </c>
    </row>
    <row r="563" spans="1:5" x14ac:dyDescent="0.25">
      <c r="A563" t="s">
        <v>567</v>
      </c>
      <c r="B563" t="s">
        <v>1246</v>
      </c>
      <c r="C563" t="s">
        <v>1339</v>
      </c>
      <c r="D563" s="1">
        <v>0</v>
      </c>
      <c r="E563" s="1">
        <v>0</v>
      </c>
    </row>
    <row r="564" spans="1:5" x14ac:dyDescent="0.25">
      <c r="A564" t="s">
        <v>568</v>
      </c>
      <c r="B564" t="s">
        <v>1247</v>
      </c>
      <c r="C564" t="s">
        <v>1339</v>
      </c>
      <c r="D564" s="1">
        <v>0</v>
      </c>
      <c r="E564" s="1">
        <v>0</v>
      </c>
    </row>
    <row r="565" spans="1:5" x14ac:dyDescent="0.25">
      <c r="A565" t="s">
        <v>569</v>
      </c>
      <c r="B565" t="s">
        <v>1248</v>
      </c>
      <c r="C565" t="s">
        <v>1339</v>
      </c>
      <c r="D565" s="1">
        <v>0</v>
      </c>
      <c r="E565" s="1">
        <v>0</v>
      </c>
    </row>
    <row r="566" spans="1:5" x14ac:dyDescent="0.25">
      <c r="A566" t="s">
        <v>570</v>
      </c>
      <c r="B566" t="s">
        <v>1249</v>
      </c>
      <c r="C566" t="s">
        <v>1339</v>
      </c>
      <c r="D566" s="1">
        <v>0</v>
      </c>
      <c r="E566" s="1">
        <v>0</v>
      </c>
    </row>
    <row r="567" spans="1:5" x14ac:dyDescent="0.25">
      <c r="A567" t="s">
        <v>571</v>
      </c>
      <c r="B567" t="s">
        <v>1250</v>
      </c>
      <c r="C567" t="s">
        <v>1339</v>
      </c>
      <c r="D567" s="1">
        <v>0</v>
      </c>
      <c r="E567" s="1">
        <v>0</v>
      </c>
    </row>
    <row r="568" spans="1:5" x14ac:dyDescent="0.25">
      <c r="A568" t="s">
        <v>572</v>
      </c>
      <c r="B568" t="s">
        <v>1251</v>
      </c>
      <c r="C568" t="s">
        <v>1339</v>
      </c>
      <c r="D568" s="1">
        <v>0</v>
      </c>
      <c r="E568" s="1">
        <v>0</v>
      </c>
    </row>
    <row r="569" spans="1:5" x14ac:dyDescent="0.25">
      <c r="A569" t="s">
        <v>573</v>
      </c>
      <c r="B569" t="s">
        <v>1252</v>
      </c>
      <c r="C569" t="s">
        <v>1339</v>
      </c>
      <c r="D569" s="1">
        <v>0</v>
      </c>
      <c r="E569" s="1">
        <v>0</v>
      </c>
    </row>
    <row r="570" spans="1:5" x14ac:dyDescent="0.25">
      <c r="A570" t="s">
        <v>574</v>
      </c>
      <c r="B570" t="s">
        <v>960</v>
      </c>
      <c r="C570" t="s">
        <v>1339</v>
      </c>
      <c r="D570" s="1">
        <v>0</v>
      </c>
      <c r="E570" s="1">
        <v>0</v>
      </c>
    </row>
    <row r="571" spans="1:5" x14ac:dyDescent="0.25">
      <c r="A571" t="s">
        <v>575</v>
      </c>
      <c r="B571" t="s">
        <v>961</v>
      </c>
      <c r="C571" t="s">
        <v>1339</v>
      </c>
      <c r="D571" s="1">
        <v>0</v>
      </c>
      <c r="E571" s="1">
        <v>0</v>
      </c>
    </row>
    <row r="572" spans="1:5" x14ac:dyDescent="0.25">
      <c r="A572" t="s">
        <v>576</v>
      </c>
      <c r="B572" t="s">
        <v>962</v>
      </c>
      <c r="C572" t="s">
        <v>1339</v>
      </c>
      <c r="D572" s="1">
        <v>0</v>
      </c>
      <c r="E572" s="1">
        <v>0</v>
      </c>
    </row>
    <row r="573" spans="1:5" x14ac:dyDescent="0.25">
      <c r="A573" t="s">
        <v>577</v>
      </c>
      <c r="B573" t="s">
        <v>1253</v>
      </c>
      <c r="C573" t="s">
        <v>1339</v>
      </c>
      <c r="D573" s="1">
        <v>0</v>
      </c>
      <c r="E573" s="1">
        <v>0</v>
      </c>
    </row>
    <row r="574" spans="1:5" x14ac:dyDescent="0.25">
      <c r="A574" t="s">
        <v>578</v>
      </c>
      <c r="B574" t="s">
        <v>964</v>
      </c>
      <c r="C574" t="s">
        <v>1339</v>
      </c>
      <c r="D574" s="1">
        <v>0</v>
      </c>
      <c r="E574" s="1">
        <v>0</v>
      </c>
    </row>
    <row r="575" spans="1:5" x14ac:dyDescent="0.25">
      <c r="A575" t="s">
        <v>579</v>
      </c>
      <c r="B575" t="s">
        <v>1254</v>
      </c>
      <c r="C575" t="s">
        <v>1339</v>
      </c>
      <c r="D575" s="1">
        <v>0</v>
      </c>
      <c r="E575" s="1">
        <v>0</v>
      </c>
    </row>
    <row r="576" spans="1:5" x14ac:dyDescent="0.25">
      <c r="A576" t="s">
        <v>580</v>
      </c>
      <c r="B576" t="s">
        <v>1255</v>
      </c>
      <c r="C576" t="s">
        <v>1339</v>
      </c>
      <c r="D576" s="1">
        <v>0</v>
      </c>
      <c r="E576" s="1">
        <v>0</v>
      </c>
    </row>
    <row r="577" spans="1:5" x14ac:dyDescent="0.25">
      <c r="A577" t="s">
        <v>581</v>
      </c>
      <c r="B577" t="s">
        <v>958</v>
      </c>
      <c r="C577" t="s">
        <v>1339</v>
      </c>
      <c r="D577" s="1">
        <v>0</v>
      </c>
      <c r="E577" s="1">
        <v>0</v>
      </c>
    </row>
    <row r="578" spans="1:5" x14ac:dyDescent="0.25">
      <c r="A578" t="s">
        <v>582</v>
      </c>
      <c r="B578" t="s">
        <v>1136</v>
      </c>
      <c r="C578" t="s">
        <v>1339</v>
      </c>
      <c r="D578" s="1">
        <v>0</v>
      </c>
      <c r="E578" s="1">
        <v>0</v>
      </c>
    </row>
    <row r="579" spans="1:5" x14ac:dyDescent="0.25">
      <c r="A579" t="s">
        <v>583</v>
      </c>
      <c r="B579" t="s">
        <v>1256</v>
      </c>
      <c r="C579" t="s">
        <v>1339</v>
      </c>
      <c r="D579" s="1">
        <v>0</v>
      </c>
      <c r="E579" s="1">
        <v>0</v>
      </c>
    </row>
    <row r="580" spans="1:5" x14ac:dyDescent="0.25">
      <c r="A580" t="s">
        <v>584</v>
      </c>
      <c r="B580" t="s">
        <v>1257</v>
      </c>
      <c r="C580" t="s">
        <v>1339</v>
      </c>
      <c r="D580" s="1">
        <v>0</v>
      </c>
      <c r="E580" s="1">
        <v>0</v>
      </c>
    </row>
    <row r="581" spans="1:5" x14ac:dyDescent="0.25">
      <c r="A581" t="s">
        <v>585</v>
      </c>
      <c r="B581" t="s">
        <v>1258</v>
      </c>
      <c r="C581" t="s">
        <v>1339</v>
      </c>
      <c r="D581" s="1">
        <v>0</v>
      </c>
      <c r="E581" s="1">
        <v>0</v>
      </c>
    </row>
    <row r="582" spans="1:5" x14ac:dyDescent="0.25">
      <c r="A582" t="s">
        <v>586</v>
      </c>
      <c r="B582" t="s">
        <v>1259</v>
      </c>
      <c r="C582" t="s">
        <v>1339</v>
      </c>
      <c r="D582" s="1">
        <v>0</v>
      </c>
      <c r="E582" s="1">
        <v>0</v>
      </c>
    </row>
    <row r="583" spans="1:5" x14ac:dyDescent="0.25">
      <c r="A583" t="s">
        <v>587</v>
      </c>
      <c r="B583" t="s">
        <v>1260</v>
      </c>
      <c r="C583" t="s">
        <v>1339</v>
      </c>
      <c r="D583" s="1">
        <v>0</v>
      </c>
      <c r="E583" s="1">
        <v>0</v>
      </c>
    </row>
    <row r="584" spans="1:5" x14ac:dyDescent="0.25">
      <c r="A584" t="s">
        <v>588</v>
      </c>
      <c r="B584" t="s">
        <v>1261</v>
      </c>
      <c r="C584" t="s">
        <v>1339</v>
      </c>
      <c r="D584" s="1">
        <v>0</v>
      </c>
      <c r="E584" s="1">
        <v>0</v>
      </c>
    </row>
    <row r="585" spans="1:5" x14ac:dyDescent="0.25">
      <c r="A585" t="s">
        <v>589</v>
      </c>
      <c r="B585" t="s">
        <v>1262</v>
      </c>
      <c r="C585" t="s">
        <v>1339</v>
      </c>
      <c r="D585" s="1">
        <v>0</v>
      </c>
      <c r="E585" s="1">
        <v>0</v>
      </c>
    </row>
    <row r="586" spans="1:5" x14ac:dyDescent="0.25">
      <c r="A586" t="s">
        <v>590</v>
      </c>
      <c r="B586" t="s">
        <v>1263</v>
      </c>
      <c r="C586" t="s">
        <v>1339</v>
      </c>
      <c r="D586" s="1">
        <v>0</v>
      </c>
      <c r="E586" s="1">
        <v>0</v>
      </c>
    </row>
    <row r="587" spans="1:5" x14ac:dyDescent="0.25">
      <c r="A587" t="s">
        <v>591</v>
      </c>
      <c r="B587" t="s">
        <v>1264</v>
      </c>
      <c r="C587" t="s">
        <v>1339</v>
      </c>
      <c r="D587" s="1">
        <v>0</v>
      </c>
      <c r="E587" s="1">
        <v>0</v>
      </c>
    </row>
    <row r="588" spans="1:5" x14ac:dyDescent="0.25">
      <c r="A588" t="s">
        <v>592</v>
      </c>
      <c r="B588" t="s">
        <v>1265</v>
      </c>
      <c r="C588" t="s">
        <v>1339</v>
      </c>
      <c r="D588" s="1">
        <v>0</v>
      </c>
      <c r="E588" s="1">
        <v>0</v>
      </c>
    </row>
    <row r="589" spans="1:5" x14ac:dyDescent="0.25">
      <c r="A589" t="s">
        <v>593</v>
      </c>
      <c r="B589" t="s">
        <v>1266</v>
      </c>
      <c r="C589" t="s">
        <v>1339</v>
      </c>
      <c r="D589" s="1">
        <v>0</v>
      </c>
      <c r="E589" s="1">
        <v>0</v>
      </c>
    </row>
    <row r="590" spans="1:5" x14ac:dyDescent="0.25">
      <c r="A590" t="s">
        <v>594</v>
      </c>
      <c r="B590" t="s">
        <v>1267</v>
      </c>
      <c r="C590" t="s">
        <v>1339</v>
      </c>
      <c r="D590" s="1">
        <v>0</v>
      </c>
      <c r="E590" s="1">
        <v>0</v>
      </c>
    </row>
    <row r="591" spans="1:5" x14ac:dyDescent="0.25">
      <c r="A591" t="s">
        <v>595</v>
      </c>
      <c r="B591" t="s">
        <v>1268</v>
      </c>
      <c r="C591" t="s">
        <v>1339</v>
      </c>
      <c r="D591" s="1">
        <v>0</v>
      </c>
      <c r="E591" s="1">
        <v>0</v>
      </c>
    </row>
    <row r="592" spans="1:5" x14ac:dyDescent="0.25">
      <c r="A592" t="s">
        <v>596</v>
      </c>
      <c r="B592" t="s">
        <v>1094</v>
      </c>
      <c r="C592" t="s">
        <v>1339</v>
      </c>
      <c r="D592" s="1">
        <v>0</v>
      </c>
      <c r="E592" s="1">
        <v>0</v>
      </c>
    </row>
    <row r="593" spans="1:5" x14ac:dyDescent="0.25">
      <c r="A593" t="s">
        <v>597</v>
      </c>
      <c r="B593" t="s">
        <v>1269</v>
      </c>
      <c r="C593" t="s">
        <v>1339</v>
      </c>
      <c r="D593" s="1">
        <v>0</v>
      </c>
      <c r="E593" s="1">
        <v>0</v>
      </c>
    </row>
    <row r="594" spans="1:5" x14ac:dyDescent="0.25">
      <c r="A594" t="s">
        <v>598</v>
      </c>
      <c r="B594" t="s">
        <v>1270</v>
      </c>
      <c r="C594" t="s">
        <v>1339</v>
      </c>
      <c r="D594" s="1">
        <v>0</v>
      </c>
      <c r="E594" s="1">
        <v>0</v>
      </c>
    </row>
    <row r="595" spans="1:5" x14ac:dyDescent="0.25">
      <c r="A595" t="s">
        <v>599</v>
      </c>
      <c r="B595" t="s">
        <v>1271</v>
      </c>
      <c r="C595" t="s">
        <v>1339</v>
      </c>
      <c r="D595" s="1">
        <v>0</v>
      </c>
      <c r="E595" s="1">
        <v>0</v>
      </c>
    </row>
    <row r="596" spans="1:5" x14ac:dyDescent="0.25">
      <c r="A596" t="s">
        <v>600</v>
      </c>
      <c r="B596" t="s">
        <v>1272</v>
      </c>
      <c r="C596" t="s">
        <v>1339</v>
      </c>
      <c r="D596" s="1">
        <v>0</v>
      </c>
      <c r="E596" s="1">
        <v>0</v>
      </c>
    </row>
    <row r="597" spans="1:5" x14ac:dyDescent="0.25">
      <c r="A597" t="s">
        <v>601</v>
      </c>
      <c r="B597" t="s">
        <v>1204</v>
      </c>
      <c r="C597" t="s">
        <v>1339</v>
      </c>
      <c r="D597" s="1">
        <v>0</v>
      </c>
      <c r="E597" s="1">
        <v>0</v>
      </c>
    </row>
    <row r="598" spans="1:5" x14ac:dyDescent="0.25">
      <c r="A598" t="s">
        <v>602</v>
      </c>
      <c r="B598" t="s">
        <v>1273</v>
      </c>
      <c r="C598" t="s">
        <v>1339</v>
      </c>
      <c r="D598" s="1">
        <v>0</v>
      </c>
      <c r="E598" s="1">
        <v>0</v>
      </c>
    </row>
    <row r="599" spans="1:5" x14ac:dyDescent="0.25">
      <c r="A599" t="s">
        <v>603</v>
      </c>
      <c r="B599" t="s">
        <v>1274</v>
      </c>
      <c r="C599" t="s">
        <v>1339</v>
      </c>
      <c r="D599" s="1">
        <v>0</v>
      </c>
      <c r="E599" s="1">
        <v>0</v>
      </c>
    </row>
    <row r="600" spans="1:5" x14ac:dyDescent="0.25">
      <c r="A600" t="s">
        <v>604</v>
      </c>
      <c r="B600" t="s">
        <v>1001</v>
      </c>
      <c r="C600" t="s">
        <v>1339</v>
      </c>
      <c r="D600" s="1">
        <v>0</v>
      </c>
      <c r="E600" s="1">
        <v>0</v>
      </c>
    </row>
    <row r="601" spans="1:5" x14ac:dyDescent="0.25">
      <c r="A601" t="s">
        <v>605</v>
      </c>
      <c r="B601" t="s">
        <v>1275</v>
      </c>
      <c r="C601" t="s">
        <v>1339</v>
      </c>
      <c r="D601" s="1">
        <v>0</v>
      </c>
      <c r="E601" s="1">
        <v>0</v>
      </c>
    </row>
    <row r="602" spans="1:5" x14ac:dyDescent="0.25">
      <c r="A602" t="s">
        <v>606</v>
      </c>
      <c r="B602" t="s">
        <v>994</v>
      </c>
      <c r="C602" t="s">
        <v>1339</v>
      </c>
      <c r="D602" s="1">
        <v>0</v>
      </c>
      <c r="E602" s="1">
        <v>0</v>
      </c>
    </row>
    <row r="603" spans="1:5" x14ac:dyDescent="0.25">
      <c r="A603" t="s">
        <v>607</v>
      </c>
      <c r="B603" t="s">
        <v>1045</v>
      </c>
      <c r="C603" t="s">
        <v>1339</v>
      </c>
      <c r="D603" s="1">
        <v>0</v>
      </c>
      <c r="E603" s="1">
        <v>0</v>
      </c>
    </row>
    <row r="604" spans="1:5" x14ac:dyDescent="0.25">
      <c r="A604" t="s">
        <v>608</v>
      </c>
      <c r="B604" t="s">
        <v>1046</v>
      </c>
      <c r="C604" t="s">
        <v>1339</v>
      </c>
      <c r="D604" s="1">
        <v>0</v>
      </c>
      <c r="E604" s="1">
        <v>0</v>
      </c>
    </row>
    <row r="605" spans="1:5" x14ac:dyDescent="0.25">
      <c r="A605" t="s">
        <v>609</v>
      </c>
      <c r="B605" t="s">
        <v>1047</v>
      </c>
      <c r="C605" t="s">
        <v>1339</v>
      </c>
      <c r="D605" s="1">
        <v>0</v>
      </c>
      <c r="E605" s="1">
        <v>0</v>
      </c>
    </row>
    <row r="606" spans="1:5" x14ac:dyDescent="0.25">
      <c r="A606" t="s">
        <v>610</v>
      </c>
      <c r="B606" t="s">
        <v>1048</v>
      </c>
      <c r="C606" t="s">
        <v>1339</v>
      </c>
      <c r="D606" s="1">
        <v>0</v>
      </c>
      <c r="E606" s="1">
        <v>0</v>
      </c>
    </row>
    <row r="607" spans="1:5" x14ac:dyDescent="0.25">
      <c r="A607" t="s">
        <v>611</v>
      </c>
      <c r="B607" t="s">
        <v>1054</v>
      </c>
      <c r="C607" t="s">
        <v>1339</v>
      </c>
      <c r="D607" s="1">
        <v>0</v>
      </c>
      <c r="E607" s="1">
        <v>0</v>
      </c>
    </row>
    <row r="608" spans="1:5" x14ac:dyDescent="0.25">
      <c r="A608" t="s">
        <v>612</v>
      </c>
      <c r="B608" t="s">
        <v>1055</v>
      </c>
      <c r="C608" t="s">
        <v>1339</v>
      </c>
      <c r="D608" s="1">
        <v>0</v>
      </c>
      <c r="E608" s="1">
        <v>0</v>
      </c>
    </row>
    <row r="609" spans="1:5" x14ac:dyDescent="0.25">
      <c r="A609" t="s">
        <v>613</v>
      </c>
      <c r="B609" t="s">
        <v>1056</v>
      </c>
      <c r="C609" t="s">
        <v>1339</v>
      </c>
      <c r="D609" s="1">
        <v>0</v>
      </c>
      <c r="E609" s="1">
        <v>0</v>
      </c>
    </row>
    <row r="610" spans="1:5" x14ac:dyDescent="0.25">
      <c r="A610" t="s">
        <v>614</v>
      </c>
      <c r="B610" t="s">
        <v>1057</v>
      </c>
      <c r="C610" t="s">
        <v>1339</v>
      </c>
      <c r="D610" s="1">
        <v>0</v>
      </c>
      <c r="E610" s="1">
        <v>0</v>
      </c>
    </row>
    <row r="611" spans="1:5" x14ac:dyDescent="0.25">
      <c r="A611" t="s">
        <v>615</v>
      </c>
      <c r="B611" t="s">
        <v>1276</v>
      </c>
      <c r="C611" t="s">
        <v>1339</v>
      </c>
      <c r="D611" s="1">
        <v>0</v>
      </c>
      <c r="E611" s="1">
        <v>0</v>
      </c>
    </row>
    <row r="612" spans="1:5" x14ac:dyDescent="0.25">
      <c r="A612" t="s">
        <v>616</v>
      </c>
      <c r="B612" t="s">
        <v>1277</v>
      </c>
      <c r="C612" t="s">
        <v>1339</v>
      </c>
      <c r="D612" s="1">
        <v>0</v>
      </c>
      <c r="E612" s="1">
        <v>0</v>
      </c>
    </row>
    <row r="613" spans="1:5" x14ac:dyDescent="0.25">
      <c r="A613" t="s">
        <v>617</v>
      </c>
      <c r="B613" t="s">
        <v>1278</v>
      </c>
      <c r="C613" t="s">
        <v>1339</v>
      </c>
      <c r="D613" s="1">
        <v>0</v>
      </c>
      <c r="E613" s="1">
        <v>0</v>
      </c>
    </row>
    <row r="614" spans="1:5" x14ac:dyDescent="0.25">
      <c r="A614" t="s">
        <v>618</v>
      </c>
      <c r="B614" t="s">
        <v>1279</v>
      </c>
      <c r="C614" t="s">
        <v>1339</v>
      </c>
      <c r="D614" s="1">
        <v>0</v>
      </c>
      <c r="E614" s="1">
        <v>0</v>
      </c>
    </row>
    <row r="615" spans="1:5" x14ac:dyDescent="0.25">
      <c r="A615" t="s">
        <v>619</v>
      </c>
      <c r="B615" t="s">
        <v>1280</v>
      </c>
      <c r="C615" t="s">
        <v>1339</v>
      </c>
      <c r="D615" s="1">
        <v>0</v>
      </c>
      <c r="E615" s="1">
        <v>0</v>
      </c>
    </row>
    <row r="616" spans="1:5" x14ac:dyDescent="0.25">
      <c r="A616" t="s">
        <v>620</v>
      </c>
      <c r="B616" t="s">
        <v>1281</v>
      </c>
      <c r="C616" t="s">
        <v>1339</v>
      </c>
      <c r="D616" s="1">
        <v>0</v>
      </c>
      <c r="E616" s="1">
        <v>0</v>
      </c>
    </row>
    <row r="617" spans="1:5" x14ac:dyDescent="0.25">
      <c r="A617" t="s">
        <v>621</v>
      </c>
      <c r="B617" t="s">
        <v>1282</v>
      </c>
      <c r="C617" t="s">
        <v>1339</v>
      </c>
      <c r="D617" s="1">
        <v>0</v>
      </c>
      <c r="E617" s="1">
        <v>0</v>
      </c>
    </row>
    <row r="618" spans="1:5" x14ac:dyDescent="0.25">
      <c r="A618" t="s">
        <v>622</v>
      </c>
      <c r="B618" t="s">
        <v>1283</v>
      </c>
      <c r="C618" t="s">
        <v>1339</v>
      </c>
      <c r="D618" s="1">
        <v>0</v>
      </c>
      <c r="E618" s="1">
        <v>0</v>
      </c>
    </row>
    <row r="619" spans="1:5" x14ac:dyDescent="0.25">
      <c r="A619" t="s">
        <v>623</v>
      </c>
      <c r="B619" t="s">
        <v>1284</v>
      </c>
      <c r="C619" t="s">
        <v>1339</v>
      </c>
      <c r="D619" s="1">
        <v>0</v>
      </c>
      <c r="E619" s="1">
        <v>0</v>
      </c>
    </row>
    <row r="620" spans="1:5" x14ac:dyDescent="0.25">
      <c r="A620" t="s">
        <v>624</v>
      </c>
      <c r="B620" t="s">
        <v>1285</v>
      </c>
      <c r="C620" t="s">
        <v>1339</v>
      </c>
      <c r="D620" s="1">
        <v>0</v>
      </c>
      <c r="E620" s="1">
        <v>0</v>
      </c>
    </row>
    <row r="621" spans="1:5" x14ac:dyDescent="0.25">
      <c r="A621" t="s">
        <v>625</v>
      </c>
      <c r="B621" t="s">
        <v>1286</v>
      </c>
      <c r="C621" t="s">
        <v>1339</v>
      </c>
      <c r="D621" s="1">
        <v>0</v>
      </c>
      <c r="E621" s="1">
        <v>0</v>
      </c>
    </row>
    <row r="622" spans="1:5" x14ac:dyDescent="0.25">
      <c r="A622" t="s">
        <v>626</v>
      </c>
      <c r="B622" t="s">
        <v>1287</v>
      </c>
      <c r="C622" t="s">
        <v>1339</v>
      </c>
      <c r="D622" s="1">
        <v>0</v>
      </c>
      <c r="E622" s="1">
        <v>0</v>
      </c>
    </row>
    <row r="623" spans="1:5" x14ac:dyDescent="0.25">
      <c r="A623" t="s">
        <v>627</v>
      </c>
      <c r="B623" t="s">
        <v>1288</v>
      </c>
      <c r="C623" t="s">
        <v>1339</v>
      </c>
      <c r="D623" s="1">
        <v>0</v>
      </c>
      <c r="E623" s="1">
        <v>0</v>
      </c>
    </row>
    <row r="624" spans="1:5" x14ac:dyDescent="0.25">
      <c r="A624" t="s">
        <v>628</v>
      </c>
      <c r="B624" t="s">
        <v>1026</v>
      </c>
      <c r="C624" t="s">
        <v>1339</v>
      </c>
      <c r="D624" s="1">
        <v>0</v>
      </c>
      <c r="E624" s="1">
        <v>0</v>
      </c>
    </row>
    <row r="625" spans="1:5" x14ac:dyDescent="0.25">
      <c r="A625" t="s">
        <v>629</v>
      </c>
      <c r="B625" t="s">
        <v>1027</v>
      </c>
      <c r="C625" t="s">
        <v>1339</v>
      </c>
      <c r="D625" s="1">
        <v>0</v>
      </c>
      <c r="E625" s="1">
        <v>0</v>
      </c>
    </row>
    <row r="626" spans="1:5" x14ac:dyDescent="0.25">
      <c r="A626" t="s">
        <v>630</v>
      </c>
      <c r="B626" t="s">
        <v>1028</v>
      </c>
      <c r="C626" t="s">
        <v>1339</v>
      </c>
      <c r="D626" s="1">
        <v>0</v>
      </c>
      <c r="E626" s="1">
        <v>0</v>
      </c>
    </row>
    <row r="627" spans="1:5" x14ac:dyDescent="0.25">
      <c r="A627" t="s">
        <v>631</v>
      </c>
      <c r="B627" t="s">
        <v>1029</v>
      </c>
      <c r="C627" t="s">
        <v>1339</v>
      </c>
      <c r="D627" s="1">
        <v>0</v>
      </c>
      <c r="E627" s="1">
        <v>0</v>
      </c>
    </row>
    <row r="628" spans="1:5" x14ac:dyDescent="0.25">
      <c r="A628" t="s">
        <v>632</v>
      </c>
      <c r="B628" t="s">
        <v>1031</v>
      </c>
      <c r="C628" t="s">
        <v>1339</v>
      </c>
      <c r="D628" s="1">
        <v>0</v>
      </c>
      <c r="E628" s="1">
        <v>0</v>
      </c>
    </row>
    <row r="629" spans="1:5" x14ac:dyDescent="0.25">
      <c r="A629" t="s">
        <v>633</v>
      </c>
      <c r="B629" t="s">
        <v>1033</v>
      </c>
      <c r="C629" t="s">
        <v>1339</v>
      </c>
      <c r="D629" s="1">
        <v>0</v>
      </c>
      <c r="E629" s="1">
        <v>0</v>
      </c>
    </row>
    <row r="630" spans="1:5" x14ac:dyDescent="0.25">
      <c r="A630" t="s">
        <v>634</v>
      </c>
      <c r="B630" t="s">
        <v>1022</v>
      </c>
      <c r="C630" t="s">
        <v>1339</v>
      </c>
      <c r="D630" s="1">
        <v>0</v>
      </c>
      <c r="E630" s="1">
        <v>0</v>
      </c>
    </row>
    <row r="631" spans="1:5" x14ac:dyDescent="0.25">
      <c r="A631" t="s">
        <v>635</v>
      </c>
      <c r="B631" t="s">
        <v>1023</v>
      </c>
      <c r="C631" t="s">
        <v>1339</v>
      </c>
      <c r="D631" s="1">
        <v>0</v>
      </c>
      <c r="E631" s="1">
        <v>0</v>
      </c>
    </row>
    <row r="632" spans="1:5" x14ac:dyDescent="0.25">
      <c r="A632" t="s">
        <v>636</v>
      </c>
      <c r="B632" t="s">
        <v>1024</v>
      </c>
      <c r="C632" t="s">
        <v>1339</v>
      </c>
      <c r="D632" s="1">
        <v>0</v>
      </c>
      <c r="E632" s="1">
        <v>0</v>
      </c>
    </row>
    <row r="633" spans="1:5" x14ac:dyDescent="0.25">
      <c r="A633" t="s">
        <v>637</v>
      </c>
      <c r="B633" t="s">
        <v>1025</v>
      </c>
      <c r="C633" t="s">
        <v>1339</v>
      </c>
      <c r="D633" s="1">
        <v>0</v>
      </c>
      <c r="E633" s="1">
        <v>0</v>
      </c>
    </row>
    <row r="634" spans="1:5" x14ac:dyDescent="0.25">
      <c r="A634" t="s">
        <v>638</v>
      </c>
      <c r="B634" t="s">
        <v>1289</v>
      </c>
      <c r="C634" t="s">
        <v>1339</v>
      </c>
      <c r="D634" s="1">
        <v>0</v>
      </c>
      <c r="E634" s="1">
        <v>0</v>
      </c>
    </row>
    <row r="635" spans="1:5" x14ac:dyDescent="0.25">
      <c r="A635" t="s">
        <v>639</v>
      </c>
      <c r="B635" t="s">
        <v>1290</v>
      </c>
      <c r="C635" t="s">
        <v>1339</v>
      </c>
      <c r="D635" s="1">
        <v>0</v>
      </c>
      <c r="E635" s="1">
        <v>0</v>
      </c>
    </row>
    <row r="636" spans="1:5" x14ac:dyDescent="0.25">
      <c r="A636" t="s">
        <v>640</v>
      </c>
      <c r="B636" t="s">
        <v>1291</v>
      </c>
      <c r="C636" t="s">
        <v>1339</v>
      </c>
      <c r="D636" s="1">
        <v>0</v>
      </c>
      <c r="E636" s="1">
        <v>0</v>
      </c>
    </row>
    <row r="637" spans="1:5" x14ac:dyDescent="0.25">
      <c r="A637" t="s">
        <v>641</v>
      </c>
      <c r="B637" t="s">
        <v>1292</v>
      </c>
      <c r="C637" t="s">
        <v>1339</v>
      </c>
      <c r="D637" s="1">
        <v>0</v>
      </c>
      <c r="E637" s="1">
        <v>0</v>
      </c>
    </row>
    <row r="638" spans="1:5" x14ac:dyDescent="0.25">
      <c r="A638" t="s">
        <v>642</v>
      </c>
      <c r="B638" t="s">
        <v>1293</v>
      </c>
      <c r="C638" t="s">
        <v>1339</v>
      </c>
      <c r="D638" s="1">
        <v>0</v>
      </c>
      <c r="E638" s="1">
        <v>0</v>
      </c>
    </row>
    <row r="639" spans="1:5" x14ac:dyDescent="0.25">
      <c r="A639" t="s">
        <v>643</v>
      </c>
      <c r="B639" t="s">
        <v>1294</v>
      </c>
      <c r="C639" t="s">
        <v>1339</v>
      </c>
      <c r="D639" s="1">
        <v>0</v>
      </c>
      <c r="E639" s="1">
        <v>0</v>
      </c>
    </row>
    <row r="640" spans="1:5" x14ac:dyDescent="0.25">
      <c r="A640" t="s">
        <v>644</v>
      </c>
      <c r="B640" t="s">
        <v>1147</v>
      </c>
      <c r="C640" t="s">
        <v>1339</v>
      </c>
      <c r="D640" s="1">
        <v>0</v>
      </c>
      <c r="E640" s="1">
        <v>0</v>
      </c>
    </row>
    <row r="641" spans="1:5" x14ac:dyDescent="0.25">
      <c r="A641" t="s">
        <v>645</v>
      </c>
      <c r="B641" t="s">
        <v>1295</v>
      </c>
      <c r="C641" t="s">
        <v>1339</v>
      </c>
      <c r="D641" s="1">
        <v>0</v>
      </c>
      <c r="E641" s="1">
        <v>0</v>
      </c>
    </row>
    <row r="642" spans="1:5" x14ac:dyDescent="0.25">
      <c r="A642" t="s">
        <v>646</v>
      </c>
      <c r="B642" t="s">
        <v>1296</v>
      </c>
      <c r="C642" t="s">
        <v>1339</v>
      </c>
      <c r="D642" s="1">
        <v>0</v>
      </c>
      <c r="E642" s="1">
        <v>0</v>
      </c>
    </row>
    <row r="643" spans="1:5" x14ac:dyDescent="0.25">
      <c r="A643" t="s">
        <v>647</v>
      </c>
      <c r="B643" t="s">
        <v>1297</v>
      </c>
      <c r="C643" t="s">
        <v>1339</v>
      </c>
      <c r="D643" s="1">
        <v>0</v>
      </c>
      <c r="E643" s="1">
        <v>0</v>
      </c>
    </row>
    <row r="644" spans="1:5" x14ac:dyDescent="0.25">
      <c r="A644" t="s">
        <v>648</v>
      </c>
      <c r="B644" t="s">
        <v>1298</v>
      </c>
      <c r="C644" t="s">
        <v>1339</v>
      </c>
      <c r="D644" s="1">
        <v>0</v>
      </c>
      <c r="E644" s="1">
        <v>0</v>
      </c>
    </row>
    <row r="645" spans="1:5" x14ac:dyDescent="0.25">
      <c r="A645" t="s">
        <v>649</v>
      </c>
      <c r="B645" t="s">
        <v>1010</v>
      </c>
      <c r="C645" t="s">
        <v>1339</v>
      </c>
      <c r="D645" s="1">
        <v>0</v>
      </c>
      <c r="E645" s="1">
        <v>0</v>
      </c>
    </row>
    <row r="646" spans="1:5" x14ac:dyDescent="0.25">
      <c r="A646" t="s">
        <v>650</v>
      </c>
      <c r="B646" t="s">
        <v>1299</v>
      </c>
      <c r="C646" t="s">
        <v>1339</v>
      </c>
      <c r="D646" s="1">
        <v>0</v>
      </c>
      <c r="E646" s="1">
        <v>0</v>
      </c>
    </row>
    <row r="647" spans="1:5" x14ac:dyDescent="0.25">
      <c r="A647" t="s">
        <v>651</v>
      </c>
      <c r="B647" t="s">
        <v>1207</v>
      </c>
      <c r="C647" t="s">
        <v>1339</v>
      </c>
      <c r="D647" s="1">
        <v>0</v>
      </c>
      <c r="E647" s="1">
        <v>0</v>
      </c>
    </row>
    <row r="648" spans="1:5" x14ac:dyDescent="0.25">
      <c r="A648" t="s">
        <v>652</v>
      </c>
      <c r="B648" t="s">
        <v>997</v>
      </c>
      <c r="C648" t="s">
        <v>1339</v>
      </c>
      <c r="D648" s="1">
        <v>0</v>
      </c>
      <c r="E648" s="1">
        <v>0</v>
      </c>
    </row>
    <row r="649" spans="1:5" x14ac:dyDescent="0.25">
      <c r="A649" t="s">
        <v>653</v>
      </c>
      <c r="B649" t="s">
        <v>1300</v>
      </c>
      <c r="C649" t="s">
        <v>1339</v>
      </c>
      <c r="D649" s="1">
        <v>0</v>
      </c>
      <c r="E649" s="1">
        <v>0</v>
      </c>
    </row>
    <row r="650" spans="1:5" x14ac:dyDescent="0.25">
      <c r="A650" t="s">
        <v>654</v>
      </c>
      <c r="B650" t="s">
        <v>1301</v>
      </c>
      <c r="C650" t="s">
        <v>1339</v>
      </c>
      <c r="D650" s="1">
        <v>0</v>
      </c>
      <c r="E650" s="1">
        <v>0</v>
      </c>
    </row>
    <row r="651" spans="1:5" x14ac:dyDescent="0.25">
      <c r="A651" t="s">
        <v>655</v>
      </c>
      <c r="B651" t="s">
        <v>1302</v>
      </c>
      <c r="C651" t="s">
        <v>1339</v>
      </c>
      <c r="D651" s="1">
        <v>0</v>
      </c>
      <c r="E651" s="1">
        <v>0</v>
      </c>
    </row>
    <row r="652" spans="1:5" x14ac:dyDescent="0.25">
      <c r="A652" t="s">
        <v>656</v>
      </c>
      <c r="B652" t="s">
        <v>1303</v>
      </c>
      <c r="C652" t="s">
        <v>1339</v>
      </c>
      <c r="D652" s="1">
        <v>0</v>
      </c>
      <c r="E652" s="1">
        <v>0</v>
      </c>
    </row>
    <row r="653" spans="1:5" x14ac:dyDescent="0.25">
      <c r="A653" t="s">
        <v>657</v>
      </c>
      <c r="B653" t="s">
        <v>1304</v>
      </c>
      <c r="C653" t="s">
        <v>1339</v>
      </c>
      <c r="D653" s="1">
        <v>0</v>
      </c>
      <c r="E653" s="1">
        <v>0</v>
      </c>
    </row>
    <row r="654" spans="1:5" x14ac:dyDescent="0.25">
      <c r="A654" t="s">
        <v>658</v>
      </c>
      <c r="B654" t="s">
        <v>1305</v>
      </c>
      <c r="C654" t="s">
        <v>1339</v>
      </c>
      <c r="D654" s="1">
        <v>0</v>
      </c>
      <c r="E654" s="1">
        <v>0</v>
      </c>
    </row>
    <row r="655" spans="1:5" x14ac:dyDescent="0.25">
      <c r="A655" t="s">
        <v>659</v>
      </c>
      <c r="B655" t="s">
        <v>1306</v>
      </c>
      <c r="C655" t="s">
        <v>1339</v>
      </c>
      <c r="D655" s="1">
        <v>0</v>
      </c>
      <c r="E655" s="1">
        <v>0</v>
      </c>
    </row>
    <row r="656" spans="1:5" x14ac:dyDescent="0.25">
      <c r="A656" t="s">
        <v>660</v>
      </c>
      <c r="B656" t="s">
        <v>1307</v>
      </c>
      <c r="C656" t="s">
        <v>1339</v>
      </c>
      <c r="D656" s="1">
        <v>0</v>
      </c>
      <c r="E656" s="1">
        <v>0</v>
      </c>
    </row>
    <row r="657" spans="1:5" x14ac:dyDescent="0.25">
      <c r="A657" t="s">
        <v>661</v>
      </c>
      <c r="B657" t="s">
        <v>1308</v>
      </c>
      <c r="C657" t="s">
        <v>1339</v>
      </c>
      <c r="D657" s="1">
        <v>0</v>
      </c>
      <c r="E657" s="1">
        <v>0</v>
      </c>
    </row>
    <row r="658" spans="1:5" x14ac:dyDescent="0.25">
      <c r="A658" t="s">
        <v>662</v>
      </c>
      <c r="B658" t="s">
        <v>1309</v>
      </c>
      <c r="C658" t="s">
        <v>1339</v>
      </c>
      <c r="D658" s="1">
        <v>0</v>
      </c>
      <c r="E658" s="1">
        <v>0</v>
      </c>
    </row>
    <row r="659" spans="1:5" x14ac:dyDescent="0.25">
      <c r="A659" t="s">
        <v>663</v>
      </c>
      <c r="B659" t="s">
        <v>1310</v>
      </c>
      <c r="C659" t="s">
        <v>1339</v>
      </c>
      <c r="D659" s="1">
        <v>0</v>
      </c>
      <c r="E659" s="1">
        <v>0</v>
      </c>
    </row>
    <row r="660" spans="1:5" x14ac:dyDescent="0.25">
      <c r="A660" t="s">
        <v>664</v>
      </c>
      <c r="B660" t="s">
        <v>1311</v>
      </c>
      <c r="C660" t="s">
        <v>1339</v>
      </c>
      <c r="D660" s="1">
        <v>0</v>
      </c>
      <c r="E660" s="1">
        <v>0</v>
      </c>
    </row>
    <row r="661" spans="1:5" x14ac:dyDescent="0.25">
      <c r="A661" t="s">
        <v>665</v>
      </c>
      <c r="B661" t="s">
        <v>966</v>
      </c>
      <c r="C661" t="s">
        <v>1339</v>
      </c>
      <c r="D661" s="1">
        <v>0</v>
      </c>
      <c r="E661" s="1">
        <v>0</v>
      </c>
    </row>
    <row r="662" spans="1:5" x14ac:dyDescent="0.25">
      <c r="A662" t="s">
        <v>666</v>
      </c>
      <c r="B662" t="s">
        <v>1312</v>
      </c>
      <c r="C662" t="s">
        <v>1339</v>
      </c>
      <c r="D662" s="1">
        <v>0</v>
      </c>
      <c r="E662" s="1">
        <v>0</v>
      </c>
    </row>
    <row r="663" spans="1:5" x14ac:dyDescent="0.25">
      <c r="A663" t="s">
        <v>667</v>
      </c>
      <c r="B663" t="s">
        <v>1313</v>
      </c>
      <c r="C663" t="s">
        <v>1339</v>
      </c>
      <c r="D663" s="1">
        <v>0</v>
      </c>
      <c r="E663" s="1">
        <v>0</v>
      </c>
    </row>
    <row r="664" spans="1:5" x14ac:dyDescent="0.25">
      <c r="A664" t="s">
        <v>668</v>
      </c>
      <c r="B664" t="s">
        <v>1314</v>
      </c>
      <c r="C664" t="s">
        <v>1339</v>
      </c>
      <c r="D664" s="1">
        <v>0</v>
      </c>
      <c r="E664" s="1">
        <v>0</v>
      </c>
    </row>
    <row r="665" spans="1:5" x14ac:dyDescent="0.25">
      <c r="A665" t="s">
        <v>669</v>
      </c>
      <c r="B665" t="s">
        <v>1315</v>
      </c>
      <c r="C665" t="s">
        <v>1339</v>
      </c>
      <c r="D665" s="1">
        <v>0</v>
      </c>
      <c r="E665" s="1">
        <v>0</v>
      </c>
    </row>
    <row r="666" spans="1:5" x14ac:dyDescent="0.25">
      <c r="A666" t="s">
        <v>670</v>
      </c>
      <c r="B666" t="s">
        <v>1205</v>
      </c>
      <c r="C666" t="s">
        <v>1339</v>
      </c>
      <c r="D666" s="1">
        <v>0</v>
      </c>
      <c r="E666" s="1">
        <v>0</v>
      </c>
    </row>
    <row r="667" spans="1:5" x14ac:dyDescent="0.25">
      <c r="A667" t="s">
        <v>671</v>
      </c>
      <c r="B667" t="s">
        <v>1316</v>
      </c>
      <c r="C667" t="s">
        <v>1339</v>
      </c>
      <c r="D667" s="1">
        <v>0</v>
      </c>
      <c r="E667" s="1">
        <v>0</v>
      </c>
    </row>
    <row r="668" spans="1:5" x14ac:dyDescent="0.25">
      <c r="A668" t="s">
        <v>672</v>
      </c>
      <c r="B668" t="s">
        <v>1072</v>
      </c>
      <c r="C668" t="s">
        <v>1339</v>
      </c>
      <c r="D668" s="1">
        <v>0</v>
      </c>
      <c r="E668" s="1">
        <v>0</v>
      </c>
    </row>
    <row r="669" spans="1:5" x14ac:dyDescent="0.25">
      <c r="A669" t="s">
        <v>673</v>
      </c>
      <c r="B669" t="s">
        <v>1074</v>
      </c>
      <c r="C669" t="s">
        <v>1339</v>
      </c>
      <c r="D669" s="1">
        <v>0</v>
      </c>
      <c r="E669" s="1">
        <v>0</v>
      </c>
    </row>
    <row r="670" spans="1:5" x14ac:dyDescent="0.25">
      <c r="A670" t="s">
        <v>674</v>
      </c>
      <c r="B670" t="s">
        <v>1079</v>
      </c>
      <c r="C670" t="s">
        <v>1339</v>
      </c>
      <c r="D670" s="1">
        <v>0</v>
      </c>
      <c r="E670" s="1">
        <v>0</v>
      </c>
    </row>
    <row r="671" spans="1:5" x14ac:dyDescent="0.25">
      <c r="A671" t="s">
        <v>675</v>
      </c>
      <c r="B671" t="s">
        <v>1032</v>
      </c>
      <c r="C671" t="s">
        <v>1339</v>
      </c>
      <c r="D671" s="1">
        <v>0</v>
      </c>
      <c r="E671" s="1">
        <v>0</v>
      </c>
    </row>
    <row r="672" spans="1:5" x14ac:dyDescent="0.25">
      <c r="A672" t="s">
        <v>676</v>
      </c>
      <c r="B672" t="s">
        <v>1317</v>
      </c>
      <c r="C672" t="s">
        <v>1339</v>
      </c>
      <c r="D672" s="1">
        <v>0</v>
      </c>
      <c r="E672" s="1">
        <v>0</v>
      </c>
    </row>
    <row r="673" spans="1:5" x14ac:dyDescent="0.25">
      <c r="A673" t="s">
        <v>677</v>
      </c>
      <c r="B673" t="s">
        <v>1318</v>
      </c>
      <c r="C673" t="s">
        <v>1339</v>
      </c>
      <c r="D673" s="1">
        <v>0</v>
      </c>
      <c r="E673" s="1">
        <v>0</v>
      </c>
    </row>
    <row r="674" spans="1:5" x14ac:dyDescent="0.25">
      <c r="A674" t="s">
        <v>678</v>
      </c>
      <c r="B674" t="s">
        <v>1319</v>
      </c>
      <c r="C674" t="s">
        <v>1339</v>
      </c>
      <c r="D674" s="1">
        <v>0</v>
      </c>
      <c r="E674" s="1">
        <v>0</v>
      </c>
    </row>
    <row r="675" spans="1:5" x14ac:dyDescent="0.25">
      <c r="A675" t="s">
        <v>679</v>
      </c>
      <c r="B675" t="s">
        <v>1320</v>
      </c>
      <c r="C675" t="s">
        <v>1339</v>
      </c>
      <c r="D675" s="1">
        <v>0</v>
      </c>
      <c r="E675" s="1">
        <v>0</v>
      </c>
    </row>
    <row r="676" spans="1:5" x14ac:dyDescent="0.25">
      <c r="A676" t="s">
        <v>680</v>
      </c>
      <c r="B676" t="s">
        <v>1203</v>
      </c>
      <c r="C676" t="s">
        <v>1339</v>
      </c>
      <c r="D676" s="1">
        <v>0</v>
      </c>
      <c r="E676" s="1">
        <v>0</v>
      </c>
    </row>
    <row r="677" spans="1:5" x14ac:dyDescent="0.25">
      <c r="A677" t="s">
        <v>681</v>
      </c>
      <c r="B677" t="s">
        <v>1321</v>
      </c>
      <c r="C677" t="s">
        <v>1339</v>
      </c>
      <c r="D677" s="1">
        <v>0</v>
      </c>
      <c r="E677" s="1">
        <v>0</v>
      </c>
    </row>
    <row r="678" spans="1:5" x14ac:dyDescent="0.25">
      <c r="A678" t="s">
        <v>682</v>
      </c>
      <c r="B678" t="s">
        <v>1322</v>
      </c>
      <c r="C678" t="s">
        <v>1339</v>
      </c>
      <c r="D678" s="1">
        <v>0</v>
      </c>
      <c r="E678" s="1">
        <v>0</v>
      </c>
    </row>
    <row r="679" spans="1:5" x14ac:dyDescent="0.25">
      <c r="A679" t="s">
        <v>683</v>
      </c>
      <c r="B679" t="s">
        <v>995</v>
      </c>
      <c r="C679" t="s">
        <v>1339</v>
      </c>
      <c r="D679" s="1">
        <v>0</v>
      </c>
      <c r="E679" s="1">
        <v>0</v>
      </c>
    </row>
    <row r="680" spans="1:5" x14ac:dyDescent="0.25">
      <c r="A680" t="s">
        <v>684</v>
      </c>
      <c r="B680" t="s">
        <v>967</v>
      </c>
      <c r="C680" t="s">
        <v>1339</v>
      </c>
      <c r="D680" s="1">
        <v>0</v>
      </c>
      <c r="E680" s="1">
        <v>0</v>
      </c>
    </row>
    <row r="681" spans="1:5" x14ac:dyDescent="0.25">
      <c r="A681" t="s">
        <v>685</v>
      </c>
      <c r="B681" t="s">
        <v>1323</v>
      </c>
      <c r="C681" t="s">
        <v>1339</v>
      </c>
      <c r="D681" s="1">
        <v>0</v>
      </c>
      <c r="E681" s="1">
        <v>0</v>
      </c>
    </row>
    <row r="682" spans="1:5" x14ac:dyDescent="0.25">
      <c r="A682" t="s">
        <v>686</v>
      </c>
      <c r="B682" t="s">
        <v>1324</v>
      </c>
      <c r="C682" t="s">
        <v>1339</v>
      </c>
      <c r="D682" s="1">
        <v>0</v>
      </c>
      <c r="E682" s="1">
        <v>0</v>
      </c>
    </row>
    <row r="683" spans="1:5" x14ac:dyDescent="0.25">
      <c r="A683" t="s">
        <v>687</v>
      </c>
      <c r="B683" t="s">
        <v>1325</v>
      </c>
      <c r="C683" t="s">
        <v>1339</v>
      </c>
      <c r="D683" s="1">
        <v>0</v>
      </c>
      <c r="E683" s="1">
        <v>0</v>
      </c>
    </row>
    <row r="684" spans="1:5" x14ac:dyDescent="0.25">
      <c r="A684" t="s">
        <v>688</v>
      </c>
      <c r="B684" t="s">
        <v>972</v>
      </c>
      <c r="C684" t="s">
        <v>1339</v>
      </c>
      <c r="D684" s="1">
        <v>0</v>
      </c>
      <c r="E684" s="1">
        <v>0</v>
      </c>
    </row>
    <row r="685" spans="1:5" x14ac:dyDescent="0.25">
      <c r="A685" t="s">
        <v>689</v>
      </c>
      <c r="B685" t="s">
        <v>1123</v>
      </c>
      <c r="C685" t="s">
        <v>1339</v>
      </c>
      <c r="D685" s="1">
        <v>0</v>
      </c>
      <c r="E685" s="1">
        <v>0</v>
      </c>
    </row>
    <row r="686" spans="1:5" x14ac:dyDescent="0.25">
      <c r="A686" t="s">
        <v>690</v>
      </c>
      <c r="B686" t="s">
        <v>1122</v>
      </c>
      <c r="C686" t="s">
        <v>1339</v>
      </c>
      <c r="D686" s="1">
        <v>0</v>
      </c>
      <c r="E686" s="1">
        <v>0</v>
      </c>
    </row>
    <row r="687" spans="1:5" x14ac:dyDescent="0.25">
      <c r="A687" t="s">
        <v>691</v>
      </c>
      <c r="B687" t="s">
        <v>1202</v>
      </c>
      <c r="C687" t="s">
        <v>1339</v>
      </c>
      <c r="D687" s="1">
        <v>0</v>
      </c>
      <c r="E687" s="1">
        <v>0</v>
      </c>
    </row>
    <row r="688" spans="1:5" x14ac:dyDescent="0.25">
      <c r="A688" t="s">
        <v>692</v>
      </c>
      <c r="B688" t="s">
        <v>1326</v>
      </c>
      <c r="C688" t="s">
        <v>1339</v>
      </c>
      <c r="D688" s="1">
        <v>0</v>
      </c>
      <c r="E688" s="1">
        <v>0</v>
      </c>
    </row>
    <row r="689" spans="1:5" x14ac:dyDescent="0.25">
      <c r="A689" t="s">
        <v>693</v>
      </c>
      <c r="B689" t="s">
        <v>1327</v>
      </c>
      <c r="C689" t="s">
        <v>1339</v>
      </c>
      <c r="D689" s="1">
        <v>0</v>
      </c>
      <c r="E689" s="1">
        <v>0</v>
      </c>
    </row>
    <row r="690" spans="1:5" x14ac:dyDescent="0.25">
      <c r="A690" t="s">
        <v>694</v>
      </c>
      <c r="B690" t="s">
        <v>1328</v>
      </c>
      <c r="C690" t="s">
        <v>1339</v>
      </c>
      <c r="D690" s="1">
        <v>0</v>
      </c>
      <c r="E690" s="1">
        <v>0</v>
      </c>
    </row>
    <row r="691" spans="1:5" x14ac:dyDescent="0.25">
      <c r="A691" t="s">
        <v>695</v>
      </c>
      <c r="B691" t="s">
        <v>1329</v>
      </c>
      <c r="C691" t="s">
        <v>1339</v>
      </c>
      <c r="D691" s="1">
        <v>0</v>
      </c>
      <c r="E691" s="1">
        <v>0</v>
      </c>
    </row>
    <row r="692" spans="1:5" x14ac:dyDescent="0.25">
      <c r="A692" t="s">
        <v>696</v>
      </c>
      <c r="B692" t="s">
        <v>974</v>
      </c>
      <c r="C692" t="s">
        <v>1339</v>
      </c>
      <c r="D692" s="1">
        <v>0</v>
      </c>
      <c r="E692" s="1">
        <v>0</v>
      </c>
    </row>
    <row r="693" spans="1:5" x14ac:dyDescent="0.25">
      <c r="A693" t="s">
        <v>697</v>
      </c>
      <c r="B693" t="s">
        <v>1330</v>
      </c>
      <c r="C693" t="s">
        <v>1339</v>
      </c>
      <c r="D693" s="1">
        <v>0</v>
      </c>
      <c r="E693" s="1">
        <v>0</v>
      </c>
    </row>
    <row r="694" spans="1:5" x14ac:dyDescent="0.25">
      <c r="A694" t="s">
        <v>698</v>
      </c>
      <c r="B694" t="s">
        <v>976</v>
      </c>
      <c r="C694" t="s">
        <v>1339</v>
      </c>
      <c r="D694" s="1">
        <v>0</v>
      </c>
      <c r="E694" s="1">
        <v>0</v>
      </c>
    </row>
    <row r="695" spans="1:5" x14ac:dyDescent="0.25">
      <c r="A695" t="s">
        <v>699</v>
      </c>
      <c r="B695" t="s">
        <v>977</v>
      </c>
      <c r="C695" t="s">
        <v>1339</v>
      </c>
      <c r="D695" s="1">
        <v>0</v>
      </c>
      <c r="E695" s="1">
        <v>0</v>
      </c>
    </row>
    <row r="696" spans="1:5" x14ac:dyDescent="0.25">
      <c r="A696" t="s">
        <v>700</v>
      </c>
      <c r="B696" t="s">
        <v>978</v>
      </c>
      <c r="C696" t="s">
        <v>1339</v>
      </c>
      <c r="D696" s="1">
        <v>0</v>
      </c>
      <c r="E696" s="1">
        <v>0</v>
      </c>
    </row>
    <row r="697" spans="1:5" x14ac:dyDescent="0.25">
      <c r="A697" t="s">
        <v>701</v>
      </c>
      <c r="B697" t="s">
        <v>979</v>
      </c>
      <c r="C697" t="s">
        <v>1339</v>
      </c>
      <c r="D697" s="1">
        <v>0</v>
      </c>
      <c r="E697" s="1">
        <v>0</v>
      </c>
    </row>
    <row r="698" spans="1:5" x14ac:dyDescent="0.25">
      <c r="A698" t="s">
        <v>702</v>
      </c>
      <c r="B698" t="s">
        <v>980</v>
      </c>
      <c r="C698" t="s">
        <v>1339</v>
      </c>
      <c r="D698" s="1">
        <v>0</v>
      </c>
      <c r="E698" s="1">
        <v>0</v>
      </c>
    </row>
    <row r="699" spans="1:5" x14ac:dyDescent="0.25">
      <c r="A699" t="s">
        <v>703</v>
      </c>
      <c r="B699" t="s">
        <v>981</v>
      </c>
      <c r="C699" t="s">
        <v>1339</v>
      </c>
      <c r="D699" s="1">
        <v>0</v>
      </c>
      <c r="E699" s="1">
        <v>0</v>
      </c>
    </row>
    <row r="700" spans="1:5" x14ac:dyDescent="0.25">
      <c r="A700" t="s">
        <v>704</v>
      </c>
      <c r="B700" t="s">
        <v>982</v>
      </c>
      <c r="C700" t="s">
        <v>1339</v>
      </c>
      <c r="D700" s="1">
        <v>0</v>
      </c>
      <c r="E700" s="1">
        <v>0</v>
      </c>
    </row>
    <row r="701" spans="1:5" x14ac:dyDescent="0.25">
      <c r="A701" t="s">
        <v>705</v>
      </c>
      <c r="B701" t="s">
        <v>983</v>
      </c>
      <c r="C701" t="s">
        <v>1339</v>
      </c>
      <c r="D701" s="1">
        <v>0</v>
      </c>
      <c r="E701" s="1">
        <v>0</v>
      </c>
    </row>
    <row r="702" spans="1:5" x14ac:dyDescent="0.25">
      <c r="A702" t="s">
        <v>706</v>
      </c>
      <c r="B702" t="s">
        <v>984</v>
      </c>
      <c r="C702" t="s">
        <v>1339</v>
      </c>
      <c r="D702" s="1">
        <v>0</v>
      </c>
      <c r="E702" s="1">
        <v>0</v>
      </c>
    </row>
    <row r="703" spans="1:5" x14ac:dyDescent="0.25">
      <c r="A703" t="s">
        <v>707</v>
      </c>
      <c r="B703" t="s">
        <v>985</v>
      </c>
      <c r="C703" t="s">
        <v>1339</v>
      </c>
      <c r="D703" s="1">
        <v>0</v>
      </c>
      <c r="E703" s="1">
        <v>0</v>
      </c>
    </row>
    <row r="704" spans="1:5" x14ac:dyDescent="0.25">
      <c r="A704" t="s">
        <v>708</v>
      </c>
      <c r="B704" t="s">
        <v>986</v>
      </c>
      <c r="C704" t="s">
        <v>1339</v>
      </c>
      <c r="D704" s="1">
        <v>0</v>
      </c>
      <c r="E704" s="1">
        <v>0</v>
      </c>
    </row>
    <row r="705" spans="1:5" x14ac:dyDescent="0.25">
      <c r="A705" t="s">
        <v>709</v>
      </c>
      <c r="B705" t="s">
        <v>987</v>
      </c>
      <c r="C705" t="s">
        <v>1339</v>
      </c>
      <c r="D705" s="1">
        <v>0</v>
      </c>
      <c r="E705" s="1">
        <v>0</v>
      </c>
    </row>
    <row r="706" spans="1:5" x14ac:dyDescent="0.25">
      <c r="A706" t="s">
        <v>710</v>
      </c>
      <c r="B706" t="s">
        <v>988</v>
      </c>
      <c r="C706" t="s">
        <v>1339</v>
      </c>
      <c r="D706" s="1">
        <v>0</v>
      </c>
      <c r="E706" s="1">
        <v>0</v>
      </c>
    </row>
    <row r="707" spans="1:5" x14ac:dyDescent="0.25">
      <c r="A707" t="s">
        <v>711</v>
      </c>
      <c r="B707" t="s">
        <v>989</v>
      </c>
      <c r="C707" t="s">
        <v>1339</v>
      </c>
      <c r="D707" s="1">
        <v>0</v>
      </c>
      <c r="E707" s="1">
        <v>0</v>
      </c>
    </row>
    <row r="708" spans="1:5" x14ac:dyDescent="0.25">
      <c r="A708" t="s">
        <v>712</v>
      </c>
      <c r="B708" t="s">
        <v>990</v>
      </c>
      <c r="C708" t="s">
        <v>1339</v>
      </c>
      <c r="D708" s="1">
        <v>0</v>
      </c>
      <c r="E708" s="1">
        <v>0</v>
      </c>
    </row>
    <row r="709" spans="1:5" x14ac:dyDescent="0.25">
      <c r="A709" t="s">
        <v>713</v>
      </c>
      <c r="B709" t="s">
        <v>991</v>
      </c>
      <c r="C709" t="s">
        <v>1339</v>
      </c>
      <c r="D709" s="1">
        <v>0</v>
      </c>
      <c r="E709" s="1">
        <v>0</v>
      </c>
    </row>
    <row r="710" spans="1:5" x14ac:dyDescent="0.25">
      <c r="A710" t="s">
        <v>714</v>
      </c>
      <c r="B710" t="s">
        <v>992</v>
      </c>
      <c r="C710" t="s">
        <v>1339</v>
      </c>
      <c r="D710" s="1">
        <v>0</v>
      </c>
      <c r="E710" s="1">
        <v>0</v>
      </c>
    </row>
    <row r="711" spans="1:5" x14ac:dyDescent="0.25">
      <c r="A711" t="s">
        <v>715</v>
      </c>
      <c r="B711" t="s">
        <v>993</v>
      </c>
      <c r="C711" t="s">
        <v>1339</v>
      </c>
      <c r="D711" s="1">
        <v>0</v>
      </c>
      <c r="E711" s="1">
        <v>0</v>
      </c>
    </row>
    <row r="712" spans="1:5" x14ac:dyDescent="0.25">
      <c r="A712" t="s">
        <v>716</v>
      </c>
      <c r="B712" t="s">
        <v>1331</v>
      </c>
      <c r="C712" t="s">
        <v>1339</v>
      </c>
      <c r="D712" s="1">
        <v>0</v>
      </c>
      <c r="E712" s="1">
        <v>0</v>
      </c>
    </row>
    <row r="713" spans="1:5" x14ac:dyDescent="0.25">
      <c r="A713" t="s">
        <v>717</v>
      </c>
      <c r="B713" t="s">
        <v>1332</v>
      </c>
      <c r="C713" t="s">
        <v>1339</v>
      </c>
      <c r="D713" s="1">
        <v>0</v>
      </c>
      <c r="E713" s="1">
        <v>0</v>
      </c>
    </row>
    <row r="714" spans="1:5" x14ac:dyDescent="0.25">
      <c r="A714" t="s">
        <v>4444</v>
      </c>
      <c r="B714" t="s">
        <v>4445</v>
      </c>
      <c r="C714" t="s">
        <v>4446</v>
      </c>
      <c r="D714" s="1">
        <v>1</v>
      </c>
    </row>
    <row r="718" spans="1:5" x14ac:dyDescent="0.25">
      <c r="A718" s="294" t="s">
        <v>4427</v>
      </c>
      <c r="B718" t="s">
        <v>4432</v>
      </c>
    </row>
    <row r="719" spans="1:5" x14ac:dyDescent="0.25">
      <c r="A719" s="294" t="s">
        <v>4428</v>
      </c>
      <c r="B719" t="s">
        <v>4433</v>
      </c>
    </row>
    <row r="720" spans="1:5" x14ac:dyDescent="0.25">
      <c r="A720" s="294" t="s">
        <v>4429</v>
      </c>
      <c r="B720" t="s">
        <v>4434</v>
      </c>
    </row>
    <row r="721" spans="1:2" x14ac:dyDescent="0.25">
      <c r="A721" s="294" t="s">
        <v>4430</v>
      </c>
      <c r="B721" t="s">
        <v>4435</v>
      </c>
    </row>
    <row r="722" spans="1:2" x14ac:dyDescent="0.25">
      <c r="A722" s="294" t="s">
        <v>4431</v>
      </c>
      <c r="B722" t="s">
        <v>4435</v>
      </c>
    </row>
  </sheetData>
  <autoFilter ref="A2:E713">
    <sortState ref="A2:E704">
      <sortCondition ref="A1"/>
    </sortState>
  </autoFilter>
  <sortState ref="A1:E1">
    <sortCondition ref="A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88"/>
  <sheetViews>
    <sheetView zoomScaleNormal="100" workbookViewId="0">
      <pane ySplit="2" topLeftCell="A19" activePane="bottomLeft" state="frozen"/>
      <selection pane="bottomLeft" activeCell="A19" sqref="A19"/>
    </sheetView>
  </sheetViews>
  <sheetFormatPr defaultRowHeight="15" x14ac:dyDescent="0.25"/>
  <cols>
    <col min="1" max="1" width="14.140625" customWidth="1"/>
    <col min="2" max="2" width="65.85546875" bestFit="1" customWidth="1"/>
    <col min="3" max="3" width="11.42578125" customWidth="1"/>
    <col min="4" max="4" width="14.28515625" customWidth="1"/>
    <col min="5" max="5" width="13.140625" customWidth="1"/>
    <col min="6" max="6" width="9.140625" bestFit="1" customWidth="1"/>
    <col min="7" max="7" width="9" customWidth="1"/>
    <col min="8" max="8" width="13.140625" customWidth="1"/>
    <col min="9" max="9" width="11.85546875" customWidth="1"/>
    <col min="10" max="10" width="12.140625" customWidth="1"/>
    <col min="11" max="11" width="10.5703125" customWidth="1"/>
    <col min="12" max="12" width="10.42578125" customWidth="1"/>
    <col min="13" max="13" width="75.140625" bestFit="1" customWidth="1"/>
    <col min="14" max="14" width="14.42578125" style="307" bestFit="1" customWidth="1"/>
    <col min="16" max="16" width="8.85546875" style="307"/>
  </cols>
  <sheetData>
    <row r="1" spans="1:16" x14ac:dyDescent="0.25">
      <c r="A1" t="s">
        <v>1334</v>
      </c>
      <c r="C1" s="297"/>
      <c r="D1" s="297"/>
      <c r="F1" s="297"/>
      <c r="H1" s="297"/>
    </row>
    <row r="2" spans="1:16" s="221" customFormat="1" ht="45" x14ac:dyDescent="0.25">
      <c r="A2" s="226" t="s">
        <v>4410</v>
      </c>
      <c r="B2" s="226" t="s">
        <v>1335</v>
      </c>
      <c r="C2" s="226" t="s">
        <v>1336</v>
      </c>
      <c r="D2" s="226" t="s">
        <v>4400</v>
      </c>
      <c r="E2" s="226" t="s">
        <v>4401</v>
      </c>
      <c r="F2" s="226" t="s">
        <v>4402</v>
      </c>
      <c r="G2" s="226" t="s">
        <v>4403</v>
      </c>
      <c r="H2" s="226" t="s">
        <v>4404</v>
      </c>
      <c r="I2" s="226" t="s">
        <v>4405</v>
      </c>
      <c r="J2" s="226" t="s">
        <v>4406</v>
      </c>
      <c r="K2" s="226" t="s">
        <v>4409</v>
      </c>
      <c r="L2" s="226" t="s">
        <v>4407</v>
      </c>
      <c r="M2" s="226" t="s">
        <v>4408</v>
      </c>
      <c r="N2" s="308"/>
      <c r="P2" s="308"/>
    </row>
    <row r="3" spans="1:16" x14ac:dyDescent="0.25">
      <c r="A3" s="314" t="s">
        <v>4451</v>
      </c>
      <c r="B3" s="299" t="s">
        <v>4459</v>
      </c>
      <c r="C3" s="304" t="s">
        <v>4411</v>
      </c>
      <c r="D3" s="304">
        <v>1</v>
      </c>
      <c r="E3" s="298"/>
      <c r="F3" s="313" t="s">
        <v>4460</v>
      </c>
      <c r="G3" s="225"/>
      <c r="H3" s="296">
        <f>0.3/10</f>
        <v>0.03</v>
      </c>
      <c r="I3" s="296"/>
      <c r="J3" s="224"/>
      <c r="K3" s="224"/>
      <c r="L3" s="224" t="s">
        <v>4411</v>
      </c>
      <c r="M3" s="224" t="s">
        <v>4437</v>
      </c>
      <c r="N3" s="309"/>
    </row>
    <row r="4" spans="1:16" x14ac:dyDescent="0.25">
      <c r="A4" s="224"/>
      <c r="B4" s="224"/>
      <c r="C4" s="305"/>
      <c r="D4" s="305"/>
      <c r="E4" s="225"/>
      <c r="F4" s="313" t="s">
        <v>4460</v>
      </c>
      <c r="G4" s="225"/>
      <c r="H4" s="296">
        <f>0.7/10</f>
        <v>6.9999999999999993E-2</v>
      </c>
      <c r="I4" s="296"/>
      <c r="J4" s="224"/>
      <c r="K4" s="224"/>
      <c r="L4" s="224" t="s">
        <v>4411</v>
      </c>
      <c r="M4" s="224" t="s">
        <v>4439</v>
      </c>
      <c r="N4" s="309"/>
    </row>
    <row r="5" spans="1:16" x14ac:dyDescent="0.25">
      <c r="A5" s="224"/>
      <c r="B5" s="224"/>
      <c r="C5" s="305"/>
      <c r="D5" s="305"/>
      <c r="E5" s="225"/>
      <c r="F5" s="313" t="s">
        <v>4460</v>
      </c>
      <c r="G5" s="225"/>
      <c r="H5" s="296">
        <f>3/10</f>
        <v>0.3</v>
      </c>
      <c r="I5" s="296"/>
      <c r="J5" s="224"/>
      <c r="K5" s="224"/>
      <c r="L5" s="224" t="s">
        <v>4411</v>
      </c>
      <c r="M5" s="224" t="s">
        <v>4442</v>
      </c>
      <c r="N5" s="309"/>
    </row>
    <row r="6" spans="1:16" x14ac:dyDescent="0.25">
      <c r="A6" s="224"/>
      <c r="B6" s="224"/>
      <c r="C6" s="305"/>
      <c r="D6" s="305"/>
      <c r="E6" s="225"/>
      <c r="F6" s="313" t="s">
        <v>4460</v>
      </c>
      <c r="G6" s="225"/>
      <c r="H6" s="296">
        <f>6/10</f>
        <v>0.6</v>
      </c>
      <c r="I6" s="296"/>
      <c r="J6" s="224"/>
      <c r="K6" s="224"/>
      <c r="L6" s="224" t="s">
        <v>4411</v>
      </c>
      <c r="M6" s="224" t="s">
        <v>4443</v>
      </c>
      <c r="N6" s="309"/>
    </row>
    <row r="7" spans="1:16" x14ac:dyDescent="0.25">
      <c r="A7" s="314" t="s">
        <v>4458</v>
      </c>
      <c r="B7" s="299" t="s">
        <v>4461</v>
      </c>
      <c r="C7" s="306"/>
      <c r="D7" s="306"/>
      <c r="E7" s="300"/>
      <c r="F7" s="313" t="s">
        <v>4460</v>
      </c>
      <c r="G7" s="302"/>
      <c r="H7" s="303">
        <f>0.3/10</f>
        <v>0.03</v>
      </c>
      <c r="I7" s="303"/>
      <c r="J7" s="301"/>
      <c r="K7" s="301"/>
      <c r="L7" s="301" t="s">
        <v>4411</v>
      </c>
      <c r="M7" s="301" t="s">
        <v>4437</v>
      </c>
      <c r="N7" s="310"/>
      <c r="O7" s="223"/>
    </row>
    <row r="8" spans="1:16" x14ac:dyDescent="0.25">
      <c r="A8" s="224"/>
      <c r="B8" s="224"/>
      <c r="C8" s="224"/>
      <c r="D8" s="224"/>
      <c r="E8" s="225"/>
      <c r="F8" s="313" t="s">
        <v>4460</v>
      </c>
      <c r="G8" s="225"/>
      <c r="H8" s="296">
        <f>0.7/10</f>
        <v>6.9999999999999993E-2</v>
      </c>
      <c r="I8" s="296"/>
      <c r="J8" s="224"/>
      <c r="K8" s="224"/>
      <c r="L8" s="224" t="s">
        <v>4411</v>
      </c>
      <c r="M8" s="224" t="s">
        <v>4439</v>
      </c>
      <c r="N8" s="309"/>
    </row>
    <row r="9" spans="1:16" x14ac:dyDescent="0.25">
      <c r="A9" s="224"/>
      <c r="B9" s="224"/>
      <c r="C9" s="224"/>
      <c r="D9" s="224"/>
      <c r="E9" s="225"/>
      <c r="F9" s="313" t="s">
        <v>4460</v>
      </c>
      <c r="G9" s="225"/>
      <c r="H9" s="296">
        <f>3/10</f>
        <v>0.3</v>
      </c>
      <c r="I9" s="296"/>
      <c r="J9" s="224"/>
      <c r="K9" s="224"/>
      <c r="L9" s="224" t="s">
        <v>4411</v>
      </c>
      <c r="M9" s="224" t="s">
        <v>4442</v>
      </c>
      <c r="N9" s="309"/>
    </row>
    <row r="10" spans="1:16" x14ac:dyDescent="0.25">
      <c r="A10" s="224"/>
      <c r="B10" s="224"/>
      <c r="C10" s="224"/>
      <c r="D10" s="224"/>
      <c r="E10" s="225"/>
      <c r="F10" s="313" t="s">
        <v>4460</v>
      </c>
      <c r="G10" s="225"/>
      <c r="H10" s="296">
        <f>6/10</f>
        <v>0.6</v>
      </c>
      <c r="I10" s="296"/>
      <c r="J10" s="224"/>
      <c r="K10" s="224"/>
      <c r="L10" s="224" t="s">
        <v>4411</v>
      </c>
      <c r="M10" s="224" t="s">
        <v>4443</v>
      </c>
      <c r="N10" s="309"/>
    </row>
    <row r="11" spans="1:16" x14ac:dyDescent="0.25">
      <c r="A11" s="314" t="s">
        <v>4463</v>
      </c>
      <c r="B11" s="299" t="s">
        <v>4462</v>
      </c>
      <c r="C11" s="306"/>
      <c r="D11" s="306"/>
      <c r="E11" s="300"/>
      <c r="F11" s="313" t="s">
        <v>4460</v>
      </c>
      <c r="G11" s="302"/>
      <c r="H11" s="303">
        <v>0.1</v>
      </c>
      <c r="I11" s="303"/>
      <c r="J11" s="301"/>
      <c r="K11" s="301"/>
      <c r="L11" s="301" t="s">
        <v>4411</v>
      </c>
      <c r="M11" s="301" t="s">
        <v>4437</v>
      </c>
      <c r="N11" s="310"/>
      <c r="O11" s="223"/>
    </row>
    <row r="12" spans="1:16" x14ac:dyDescent="0.25">
      <c r="A12" s="224"/>
      <c r="B12" s="224"/>
      <c r="C12" s="224"/>
      <c r="D12" s="224"/>
      <c r="E12" s="225"/>
      <c r="F12" s="313" t="s">
        <v>4460</v>
      </c>
      <c r="G12" s="225"/>
      <c r="H12" s="296">
        <v>0.2</v>
      </c>
      <c r="I12" s="296"/>
      <c r="J12" s="224"/>
      <c r="K12" s="224"/>
      <c r="L12" s="224" t="s">
        <v>4411</v>
      </c>
      <c r="M12" s="224" t="s">
        <v>4439</v>
      </c>
      <c r="N12" s="309"/>
    </row>
    <row r="13" spans="1:16" x14ac:dyDescent="0.25">
      <c r="A13" s="224"/>
      <c r="B13" s="224"/>
      <c r="C13" s="224"/>
      <c r="D13" s="224"/>
      <c r="E13" s="225"/>
      <c r="F13" s="313" t="s">
        <v>4460</v>
      </c>
      <c r="G13" s="225"/>
      <c r="H13" s="296">
        <v>0.3</v>
      </c>
      <c r="I13" s="296"/>
      <c r="J13" s="224"/>
      <c r="K13" s="224"/>
      <c r="L13" s="224" t="s">
        <v>4411</v>
      </c>
      <c r="M13" s="224" t="s">
        <v>4442</v>
      </c>
      <c r="N13" s="309"/>
    </row>
    <row r="14" spans="1:16" x14ac:dyDescent="0.25">
      <c r="A14" s="224"/>
      <c r="B14" s="224"/>
      <c r="C14" s="224"/>
      <c r="D14" s="224"/>
      <c r="E14" s="225"/>
      <c r="F14" s="313" t="s">
        <v>4460</v>
      </c>
      <c r="G14" s="225"/>
      <c r="H14" s="296">
        <v>0.4</v>
      </c>
      <c r="I14" s="296"/>
      <c r="J14" s="224"/>
      <c r="K14" s="224"/>
      <c r="L14" s="224" t="s">
        <v>4411</v>
      </c>
      <c r="M14" s="224" t="s">
        <v>4443</v>
      </c>
      <c r="N14" s="309"/>
    </row>
    <row r="15" spans="1:16" x14ac:dyDescent="0.25">
      <c r="A15" s="314" t="s">
        <v>4465</v>
      </c>
      <c r="B15" s="299" t="s">
        <v>4464</v>
      </c>
      <c r="C15" s="306"/>
      <c r="D15" s="306"/>
      <c r="E15" s="300"/>
      <c r="F15" s="313" t="s">
        <v>4460</v>
      </c>
      <c r="G15" s="302"/>
      <c r="H15" s="303">
        <v>0.1</v>
      </c>
      <c r="I15" s="303"/>
      <c r="J15" s="301"/>
      <c r="K15" s="301"/>
      <c r="L15" s="301" t="s">
        <v>4411</v>
      </c>
      <c r="M15" s="301" t="s">
        <v>4437</v>
      </c>
      <c r="N15" s="310"/>
      <c r="O15" s="223"/>
    </row>
    <row r="16" spans="1:16" x14ac:dyDescent="0.25">
      <c r="A16" s="224"/>
      <c r="B16" s="224"/>
      <c r="C16" s="224"/>
      <c r="D16" s="224"/>
      <c r="E16" s="225"/>
      <c r="F16" s="313" t="s">
        <v>4460</v>
      </c>
      <c r="G16" s="225"/>
      <c r="H16" s="296">
        <v>0.2</v>
      </c>
      <c r="I16" s="296"/>
      <c r="J16" s="224"/>
      <c r="K16" s="224"/>
      <c r="L16" s="224" t="s">
        <v>4411</v>
      </c>
      <c r="M16" s="224" t="s">
        <v>4439</v>
      </c>
      <c r="N16" s="309"/>
    </row>
    <row r="17" spans="1:15" x14ac:dyDescent="0.25">
      <c r="A17" s="224"/>
      <c r="B17" s="224"/>
      <c r="C17" s="224"/>
      <c r="D17" s="224"/>
      <c r="E17" s="225"/>
      <c r="F17" s="313" t="s">
        <v>4460</v>
      </c>
      <c r="G17" s="225"/>
      <c r="H17" s="296">
        <v>0.3</v>
      </c>
      <c r="I17" s="296"/>
      <c r="J17" s="224"/>
      <c r="K17" s="224"/>
      <c r="L17" s="224" t="s">
        <v>4411</v>
      </c>
      <c r="M17" s="224" t="s">
        <v>4442</v>
      </c>
      <c r="N17" s="309"/>
    </row>
    <row r="18" spans="1:15" x14ac:dyDescent="0.25">
      <c r="A18" s="224"/>
      <c r="B18" s="224"/>
      <c r="C18" s="224"/>
      <c r="D18" s="224"/>
      <c r="E18" s="225"/>
      <c r="F18" s="313" t="s">
        <v>4460</v>
      </c>
      <c r="G18" s="225"/>
      <c r="H18" s="296">
        <v>0.4</v>
      </c>
      <c r="I18" s="296"/>
      <c r="J18" s="224"/>
      <c r="K18" s="224"/>
      <c r="L18" s="224" t="s">
        <v>4411</v>
      </c>
      <c r="M18" s="224" t="s">
        <v>4443</v>
      </c>
      <c r="N18" s="309"/>
    </row>
    <row r="19" spans="1:15" x14ac:dyDescent="0.25">
      <c r="A19" s="314" t="s">
        <v>4468</v>
      </c>
      <c r="B19" s="299" t="s">
        <v>4466</v>
      </c>
      <c r="C19" s="306"/>
      <c r="D19" s="306"/>
      <c r="E19" s="300"/>
      <c r="F19" s="313" t="s">
        <v>4460</v>
      </c>
      <c r="G19" s="302"/>
      <c r="H19" s="303">
        <v>0.1</v>
      </c>
      <c r="I19" s="303"/>
      <c r="J19" s="301"/>
      <c r="K19" s="301"/>
      <c r="L19" s="301" t="s">
        <v>4411</v>
      </c>
      <c r="M19" s="301" t="s">
        <v>4437</v>
      </c>
      <c r="N19" s="310"/>
      <c r="O19" s="223"/>
    </row>
    <row r="20" spans="1:15" x14ac:dyDescent="0.25">
      <c r="A20" s="224"/>
      <c r="B20" s="224"/>
      <c r="C20" s="224"/>
      <c r="D20" s="224"/>
      <c r="E20" s="225"/>
      <c r="F20" s="313" t="s">
        <v>4460</v>
      </c>
      <c r="G20" s="225"/>
      <c r="H20" s="296">
        <v>0.3</v>
      </c>
      <c r="I20" s="296"/>
      <c r="J20" s="224"/>
      <c r="K20" s="224"/>
      <c r="L20" s="224" t="s">
        <v>4411</v>
      </c>
      <c r="M20" s="224" t="s">
        <v>4439</v>
      </c>
      <c r="N20" s="309"/>
    </row>
    <row r="21" spans="1:15" x14ac:dyDescent="0.25">
      <c r="A21" s="224"/>
      <c r="B21" s="224"/>
      <c r="C21" s="224"/>
      <c r="D21" s="224"/>
      <c r="E21" s="225"/>
      <c r="F21" s="313" t="s">
        <v>4460</v>
      </c>
      <c r="G21" s="225"/>
      <c r="H21" s="296">
        <v>0.3</v>
      </c>
      <c r="I21" s="296"/>
      <c r="J21" s="224"/>
      <c r="K21" s="224"/>
      <c r="L21" s="224" t="s">
        <v>4411</v>
      </c>
      <c r="M21" s="224" t="s">
        <v>4442</v>
      </c>
      <c r="N21" s="309"/>
    </row>
    <row r="22" spans="1:15" x14ac:dyDescent="0.25">
      <c r="A22" s="224"/>
      <c r="B22" s="224"/>
      <c r="C22" s="224"/>
      <c r="D22" s="224"/>
      <c r="E22" s="225"/>
      <c r="F22" s="313" t="s">
        <v>4460</v>
      </c>
      <c r="G22" s="225"/>
      <c r="H22" s="296">
        <v>0.3</v>
      </c>
      <c r="I22" s="296"/>
      <c r="J22" s="224"/>
      <c r="K22" s="224"/>
      <c r="L22" s="224" t="s">
        <v>4411</v>
      </c>
      <c r="M22" s="224" t="s">
        <v>4443</v>
      </c>
      <c r="N22" s="309"/>
    </row>
    <row r="23" spans="1:15" x14ac:dyDescent="0.25">
      <c r="A23" s="314" t="s">
        <v>4469</v>
      </c>
      <c r="B23" s="299" t="s">
        <v>4467</v>
      </c>
      <c r="C23" s="306"/>
      <c r="D23" s="306"/>
      <c r="E23" s="300"/>
      <c r="F23" s="313" t="s">
        <v>4460</v>
      </c>
      <c r="G23" s="302"/>
      <c r="H23" s="303">
        <v>0.1</v>
      </c>
      <c r="I23" s="303"/>
      <c r="J23" s="301"/>
      <c r="K23" s="301"/>
      <c r="L23" s="301" t="s">
        <v>4411</v>
      </c>
      <c r="M23" s="301" t="s">
        <v>4437</v>
      </c>
      <c r="N23" s="310"/>
      <c r="O23" s="223"/>
    </row>
    <row r="24" spans="1:15" x14ac:dyDescent="0.25">
      <c r="A24" s="224"/>
      <c r="B24" s="224"/>
      <c r="C24" s="224"/>
      <c r="D24" s="224"/>
      <c r="E24" s="225"/>
      <c r="F24" s="313" t="s">
        <v>4460</v>
      </c>
      <c r="G24" s="225"/>
      <c r="H24" s="296">
        <v>0.3</v>
      </c>
      <c r="I24" s="296"/>
      <c r="J24" s="224"/>
      <c r="K24" s="224"/>
      <c r="L24" s="224" t="s">
        <v>4411</v>
      </c>
      <c r="M24" s="224" t="s">
        <v>4439</v>
      </c>
      <c r="N24" s="309"/>
    </row>
    <row r="25" spans="1:15" x14ac:dyDescent="0.25">
      <c r="A25" s="224"/>
      <c r="B25" s="224"/>
      <c r="C25" s="224"/>
      <c r="D25" s="224"/>
      <c r="E25" s="225"/>
      <c r="F25" s="313" t="s">
        <v>4460</v>
      </c>
      <c r="G25" s="225"/>
      <c r="H25" s="296">
        <v>0.3</v>
      </c>
      <c r="I25" s="296"/>
      <c r="J25" s="224"/>
      <c r="K25" s="224"/>
      <c r="L25" s="224" t="s">
        <v>4411</v>
      </c>
      <c r="M25" s="224" t="s">
        <v>4442</v>
      </c>
      <c r="N25" s="309"/>
    </row>
    <row r="26" spans="1:15" x14ac:dyDescent="0.25">
      <c r="A26" s="224"/>
      <c r="B26" s="224"/>
      <c r="C26" s="224"/>
      <c r="D26" s="224"/>
      <c r="E26" s="225"/>
      <c r="F26" s="313" t="s">
        <v>4460</v>
      </c>
      <c r="G26" s="225"/>
      <c r="H26" s="296">
        <v>0.3</v>
      </c>
      <c r="I26" s="296"/>
      <c r="J26" s="224"/>
      <c r="K26" s="224"/>
      <c r="L26" s="224" t="s">
        <v>4411</v>
      </c>
      <c r="M26" s="224" t="s">
        <v>4443</v>
      </c>
      <c r="N26" s="309"/>
    </row>
    <row r="27" spans="1:15" x14ac:dyDescent="0.25">
      <c r="A27" s="314" t="s">
        <v>4470</v>
      </c>
      <c r="B27" s="299" t="s">
        <v>4472</v>
      </c>
      <c r="C27" s="306"/>
      <c r="D27" s="306"/>
      <c r="E27" s="300"/>
      <c r="F27" s="313" t="s">
        <v>4460</v>
      </c>
      <c r="G27" s="302"/>
      <c r="H27" s="303">
        <v>0.1</v>
      </c>
      <c r="I27" s="303"/>
      <c r="J27" s="301"/>
      <c r="K27" s="301"/>
      <c r="L27" s="301" t="s">
        <v>4411</v>
      </c>
      <c r="M27" s="301" t="s">
        <v>4437</v>
      </c>
      <c r="N27" s="310"/>
      <c r="O27" s="223"/>
    </row>
    <row r="28" spans="1:15" x14ac:dyDescent="0.25">
      <c r="A28" s="224"/>
      <c r="B28" s="224"/>
      <c r="C28" s="224"/>
      <c r="D28" s="224"/>
      <c r="E28" s="225"/>
      <c r="F28" s="313" t="s">
        <v>4460</v>
      </c>
      <c r="G28" s="225"/>
      <c r="H28" s="296">
        <v>0.2</v>
      </c>
      <c r="I28" s="296"/>
      <c r="J28" s="224"/>
      <c r="K28" s="224"/>
      <c r="L28" s="224" t="s">
        <v>4411</v>
      </c>
      <c r="M28" s="224" t="s">
        <v>4439</v>
      </c>
      <c r="N28" s="309"/>
    </row>
    <row r="29" spans="1:15" x14ac:dyDescent="0.25">
      <c r="A29" s="224"/>
      <c r="B29" s="224"/>
      <c r="C29" s="224"/>
      <c r="D29" s="224"/>
      <c r="E29" s="225"/>
      <c r="F29" s="313" t="s">
        <v>4460</v>
      </c>
      <c r="G29" s="225"/>
      <c r="H29" s="296">
        <v>0.4</v>
      </c>
      <c r="I29" s="296"/>
      <c r="J29" s="224"/>
      <c r="K29" s="224"/>
      <c r="L29" s="224" t="s">
        <v>4411</v>
      </c>
      <c r="M29" s="224" t="s">
        <v>4442</v>
      </c>
      <c r="N29" s="309"/>
    </row>
    <row r="30" spans="1:15" x14ac:dyDescent="0.25">
      <c r="A30" s="224"/>
      <c r="B30" s="224"/>
      <c r="C30" s="224"/>
      <c r="D30" s="224"/>
      <c r="E30" s="225"/>
      <c r="F30" s="313" t="s">
        <v>4460</v>
      </c>
      <c r="G30" s="225"/>
      <c r="H30" s="296">
        <v>0.3</v>
      </c>
      <c r="I30" s="296"/>
      <c r="J30" s="224"/>
      <c r="K30" s="224"/>
      <c r="L30" s="224" t="s">
        <v>4411</v>
      </c>
      <c r="M30" s="224" t="s">
        <v>4443</v>
      </c>
      <c r="N30" s="309"/>
    </row>
    <row r="31" spans="1:15" x14ac:dyDescent="0.25">
      <c r="A31" s="314" t="s">
        <v>4471</v>
      </c>
      <c r="B31" s="299" t="s">
        <v>4474</v>
      </c>
      <c r="C31" s="306"/>
      <c r="D31" s="306"/>
      <c r="E31" s="300"/>
      <c r="F31" s="313" t="s">
        <v>4460</v>
      </c>
      <c r="G31" s="302"/>
      <c r="H31" s="303">
        <v>0.1</v>
      </c>
      <c r="I31" s="303"/>
      <c r="J31" s="301"/>
      <c r="K31" s="301"/>
      <c r="L31" s="301" t="s">
        <v>4411</v>
      </c>
      <c r="M31" s="301" t="s">
        <v>4437</v>
      </c>
      <c r="N31" s="310"/>
      <c r="O31" s="223"/>
    </row>
    <row r="32" spans="1:15" x14ac:dyDescent="0.25">
      <c r="A32" s="224"/>
      <c r="B32" s="224"/>
      <c r="C32" s="224"/>
      <c r="D32" s="224"/>
      <c r="E32" s="225"/>
      <c r="F32" s="313" t="s">
        <v>4460</v>
      </c>
      <c r="G32" s="225"/>
      <c r="H32" s="296">
        <v>0.2</v>
      </c>
      <c r="I32" s="296"/>
      <c r="J32" s="224"/>
      <c r="K32" s="224"/>
      <c r="L32" s="224" t="s">
        <v>4411</v>
      </c>
      <c r="M32" s="224" t="s">
        <v>4439</v>
      </c>
      <c r="N32" s="309"/>
    </row>
    <row r="33" spans="1:15" x14ac:dyDescent="0.25">
      <c r="A33" s="224"/>
      <c r="B33" s="224"/>
      <c r="C33" s="224"/>
      <c r="D33" s="224"/>
      <c r="E33" s="225"/>
      <c r="F33" s="313" t="s">
        <v>4460</v>
      </c>
      <c r="G33" s="225"/>
      <c r="H33" s="296">
        <v>0.4</v>
      </c>
      <c r="I33" s="296"/>
      <c r="J33" s="224"/>
      <c r="K33" s="224"/>
      <c r="L33" s="224" t="s">
        <v>4411</v>
      </c>
      <c r="M33" s="224" t="s">
        <v>4442</v>
      </c>
      <c r="N33" s="309"/>
    </row>
    <row r="34" spans="1:15" x14ac:dyDescent="0.25">
      <c r="A34" s="224"/>
      <c r="B34" s="224"/>
      <c r="C34" s="224"/>
      <c r="D34" s="224"/>
      <c r="E34" s="225"/>
      <c r="F34" s="313" t="s">
        <v>4460</v>
      </c>
      <c r="G34" s="225"/>
      <c r="H34" s="296">
        <v>0.3</v>
      </c>
      <c r="I34" s="296"/>
      <c r="J34" s="224"/>
      <c r="K34" s="224"/>
      <c r="L34" s="224" t="s">
        <v>4411</v>
      </c>
      <c r="M34" s="224" t="s">
        <v>4443</v>
      </c>
      <c r="N34" s="309"/>
    </row>
    <row r="35" spans="1:15" x14ac:dyDescent="0.25">
      <c r="A35" s="314" t="s">
        <v>4473</v>
      </c>
      <c r="B35" s="299" t="s">
        <v>4475</v>
      </c>
      <c r="C35" s="306"/>
      <c r="D35" s="306"/>
      <c r="E35" s="300"/>
      <c r="F35" s="313" t="s">
        <v>4460</v>
      </c>
      <c r="G35" s="302"/>
      <c r="H35" s="303">
        <v>0.1</v>
      </c>
      <c r="I35" s="303"/>
      <c r="J35" s="301"/>
      <c r="K35" s="301"/>
      <c r="L35" s="301" t="s">
        <v>4411</v>
      </c>
      <c r="M35" s="301" t="s">
        <v>4437</v>
      </c>
      <c r="N35" s="310"/>
      <c r="O35" s="223"/>
    </row>
    <row r="36" spans="1:15" x14ac:dyDescent="0.25">
      <c r="A36" s="224"/>
      <c r="B36" s="224"/>
      <c r="C36" s="224"/>
      <c r="D36" s="224"/>
      <c r="E36" s="225"/>
      <c r="F36" s="313" t="s">
        <v>4460</v>
      </c>
      <c r="G36" s="225"/>
      <c r="H36" s="296">
        <v>0.2</v>
      </c>
      <c r="I36" s="296"/>
      <c r="J36" s="224"/>
      <c r="K36" s="224"/>
      <c r="L36" s="224" t="s">
        <v>4411</v>
      </c>
      <c r="M36" s="224" t="s">
        <v>4439</v>
      </c>
      <c r="N36" s="309"/>
    </row>
    <row r="37" spans="1:15" x14ac:dyDescent="0.25">
      <c r="A37" s="224"/>
      <c r="B37" s="224"/>
      <c r="C37" s="224"/>
      <c r="D37" s="224"/>
      <c r="E37" s="225"/>
      <c r="F37" s="313" t="s">
        <v>4460</v>
      </c>
      <c r="G37" s="225"/>
      <c r="H37" s="296">
        <v>0.2</v>
      </c>
      <c r="I37" s="296"/>
      <c r="J37" s="224"/>
      <c r="K37" s="224"/>
      <c r="L37" s="224" t="s">
        <v>4411</v>
      </c>
      <c r="M37" s="224" t="s">
        <v>4442</v>
      </c>
      <c r="N37" s="309"/>
    </row>
    <row r="38" spans="1:15" x14ac:dyDescent="0.25">
      <c r="A38" s="224"/>
      <c r="B38" s="224"/>
      <c r="C38" s="224"/>
      <c r="D38" s="224"/>
      <c r="E38" s="225"/>
      <c r="F38" s="313" t="s">
        <v>4460</v>
      </c>
      <c r="G38" s="225"/>
      <c r="H38" s="296">
        <v>0.5</v>
      </c>
      <c r="I38" s="296"/>
      <c r="J38" s="224"/>
      <c r="K38" s="224"/>
      <c r="L38" s="224" t="s">
        <v>4411</v>
      </c>
      <c r="M38" s="224" t="s">
        <v>4443</v>
      </c>
      <c r="N38" s="309"/>
    </row>
    <row r="39" spans="1:15" x14ac:dyDescent="0.25">
      <c r="A39" s="314" t="s">
        <v>1333</v>
      </c>
      <c r="B39" s="299" t="s">
        <v>4476</v>
      </c>
      <c r="C39" s="306"/>
      <c r="D39" s="306"/>
      <c r="E39" s="300"/>
      <c r="F39" s="313" t="s">
        <v>4460</v>
      </c>
      <c r="G39" s="302"/>
      <c r="H39" s="303">
        <v>0.1</v>
      </c>
      <c r="I39" s="303"/>
      <c r="J39" s="301"/>
      <c r="K39" s="301"/>
      <c r="L39" s="301" t="s">
        <v>4411</v>
      </c>
      <c r="M39" s="301" t="s">
        <v>4437</v>
      </c>
      <c r="N39" s="310"/>
      <c r="O39" s="223"/>
    </row>
    <row r="40" spans="1:15" x14ac:dyDescent="0.25">
      <c r="A40" s="224"/>
      <c r="B40" s="224"/>
      <c r="C40" s="224"/>
      <c r="D40" s="224"/>
      <c r="E40" s="225"/>
      <c r="F40" s="313" t="s">
        <v>4460</v>
      </c>
      <c r="G40" s="225"/>
      <c r="H40" s="296">
        <v>0.2</v>
      </c>
      <c r="I40" s="296"/>
      <c r="J40" s="224"/>
      <c r="K40" s="224"/>
      <c r="L40" s="224" t="s">
        <v>4411</v>
      </c>
      <c r="M40" s="224" t="s">
        <v>4439</v>
      </c>
      <c r="N40" s="309"/>
    </row>
    <row r="41" spans="1:15" x14ac:dyDescent="0.25">
      <c r="A41" s="224"/>
      <c r="B41" s="224"/>
      <c r="C41" s="224"/>
      <c r="D41" s="224"/>
      <c r="E41" s="225"/>
      <c r="F41" s="313" t="s">
        <v>4460</v>
      </c>
      <c r="G41" s="225"/>
      <c r="H41" s="296">
        <v>0.2</v>
      </c>
      <c r="I41" s="296"/>
      <c r="J41" s="224"/>
      <c r="K41" s="224"/>
      <c r="L41" s="224" t="s">
        <v>4411</v>
      </c>
      <c r="M41" s="224" t="s">
        <v>4442</v>
      </c>
      <c r="N41" s="309"/>
    </row>
    <row r="42" spans="1:15" x14ac:dyDescent="0.25">
      <c r="A42" s="224"/>
      <c r="B42" s="224"/>
      <c r="C42" s="224"/>
      <c r="D42" s="224"/>
      <c r="E42" s="225"/>
      <c r="F42" s="313" t="s">
        <v>4460</v>
      </c>
      <c r="G42" s="225"/>
      <c r="H42" s="296">
        <v>0.5</v>
      </c>
      <c r="I42" s="296"/>
      <c r="J42" s="224"/>
      <c r="K42" s="224"/>
      <c r="L42" s="224" t="s">
        <v>4411</v>
      </c>
      <c r="M42" s="224" t="s">
        <v>4443</v>
      </c>
      <c r="N42" s="309"/>
    </row>
    <row r="43" spans="1:15" x14ac:dyDescent="0.25">
      <c r="A43" s="314" t="s">
        <v>1333</v>
      </c>
      <c r="B43" s="299" t="s">
        <v>4476</v>
      </c>
      <c r="C43" s="306"/>
      <c r="D43" s="306"/>
      <c r="E43" s="300"/>
      <c r="F43" s="313" t="s">
        <v>4460</v>
      </c>
      <c r="G43" s="302"/>
      <c r="H43" s="303">
        <v>0.1</v>
      </c>
      <c r="I43" s="303"/>
      <c r="J43" s="301"/>
      <c r="K43" s="301"/>
      <c r="L43" s="301" t="s">
        <v>4411</v>
      </c>
      <c r="M43" s="301" t="s">
        <v>4437</v>
      </c>
    </row>
    <row r="44" spans="1:15" x14ac:dyDescent="0.25">
      <c r="A44" s="224"/>
      <c r="B44" s="224"/>
      <c r="C44" s="224"/>
      <c r="D44" s="224"/>
      <c r="E44" s="225"/>
      <c r="F44" s="313" t="s">
        <v>4460</v>
      </c>
      <c r="G44" s="225"/>
      <c r="H44" s="296">
        <v>0.2</v>
      </c>
      <c r="I44" s="296"/>
      <c r="J44" s="224"/>
      <c r="K44" s="224"/>
      <c r="L44" s="224" t="s">
        <v>4411</v>
      </c>
      <c r="M44" s="224" t="s">
        <v>4439</v>
      </c>
    </row>
    <row r="45" spans="1:15" x14ac:dyDescent="0.25">
      <c r="A45" s="224"/>
      <c r="B45" s="224"/>
      <c r="C45" s="224"/>
      <c r="D45" s="224"/>
      <c r="E45" s="225"/>
      <c r="F45" s="313" t="s">
        <v>4460</v>
      </c>
      <c r="G45" s="225"/>
      <c r="H45" s="296">
        <v>0.2</v>
      </c>
      <c r="I45" s="296"/>
      <c r="J45" s="224"/>
      <c r="K45" s="224"/>
      <c r="L45" s="224" t="s">
        <v>4411</v>
      </c>
      <c r="M45" s="224" t="s">
        <v>4442</v>
      </c>
    </row>
    <row r="46" spans="1:15" x14ac:dyDescent="0.25">
      <c r="A46" s="224"/>
      <c r="B46" s="224"/>
      <c r="C46" s="224"/>
      <c r="D46" s="224"/>
      <c r="E46" s="225"/>
      <c r="F46" s="313" t="s">
        <v>4460</v>
      </c>
      <c r="G46" s="225"/>
      <c r="H46" s="296">
        <v>0.5</v>
      </c>
      <c r="I46" s="296"/>
      <c r="J46" s="224"/>
      <c r="K46" s="224"/>
      <c r="L46" s="224" t="s">
        <v>4411</v>
      </c>
      <c r="M46" s="224" t="s">
        <v>4443</v>
      </c>
    </row>
    <row r="47" spans="1:15" x14ac:dyDescent="0.25">
      <c r="A47" s="314" t="s">
        <v>4489</v>
      </c>
      <c r="B47" s="299" t="s">
        <v>4573</v>
      </c>
      <c r="C47" s="306"/>
      <c r="D47" s="306"/>
      <c r="E47" s="300"/>
      <c r="F47" s="313"/>
      <c r="G47" s="302"/>
      <c r="H47" s="303"/>
      <c r="I47" s="303"/>
      <c r="J47" s="301"/>
      <c r="K47" s="301"/>
      <c r="L47" s="301"/>
      <c r="M47" s="301"/>
    </row>
    <row r="48" spans="1:15" x14ac:dyDescent="0.25">
      <c r="A48" s="224"/>
      <c r="B48" s="224"/>
      <c r="C48" s="224"/>
      <c r="D48" s="224"/>
      <c r="E48" s="225"/>
      <c r="F48" s="314" t="str">
        <f>+A19</f>
        <v>CA0005</v>
      </c>
      <c r="G48" s="225"/>
      <c r="H48" s="296">
        <f>2*2*4900/145036</f>
        <v>0.13513886207562262</v>
      </c>
      <c r="I48" s="296"/>
      <c r="J48" s="224"/>
      <c r="K48" s="224"/>
      <c r="L48" s="224"/>
      <c r="M48" s="299" t="s">
        <v>4466</v>
      </c>
    </row>
    <row r="49" spans="1:19" x14ac:dyDescent="0.25">
      <c r="A49" s="224"/>
      <c r="B49" s="224"/>
      <c r="C49" s="224"/>
      <c r="D49" s="224"/>
      <c r="E49" s="225"/>
      <c r="F49" s="313" t="s">
        <v>4460</v>
      </c>
      <c r="G49" s="225"/>
      <c r="H49" s="296">
        <f>0.01*2*4900/145036</f>
        <v>6.7569431037811298E-4</v>
      </c>
      <c r="I49" s="296">
        <f>(H49/0.6)-H49</f>
        <v>4.5046287358540876E-4</v>
      </c>
      <c r="J49" s="224"/>
      <c r="K49" s="224"/>
      <c r="L49" s="224"/>
      <c r="M49" s="224" t="s">
        <v>4582</v>
      </c>
    </row>
    <row r="50" spans="1:19" x14ac:dyDescent="0.25">
      <c r="A50" s="224"/>
      <c r="B50" s="224"/>
      <c r="C50" s="224"/>
      <c r="D50" s="224"/>
      <c r="E50" s="225"/>
      <c r="F50" s="313" t="s">
        <v>4460</v>
      </c>
      <c r="G50" s="225"/>
      <c r="H50" s="296">
        <f>0.02*2*4900/145036</f>
        <v>1.351388620756226E-3</v>
      </c>
      <c r="I50" s="296">
        <f t="shared" ref="I50:I51" si="0">(H50/0.6)-H50</f>
        <v>9.0092574717081752E-4</v>
      </c>
      <c r="J50" s="224"/>
      <c r="K50" s="224"/>
      <c r="L50" s="224"/>
      <c r="M50" s="224" t="s">
        <v>4574</v>
      </c>
    </row>
    <row r="51" spans="1:19" x14ac:dyDescent="0.25">
      <c r="A51" s="224"/>
      <c r="B51" s="224"/>
      <c r="C51" s="224"/>
      <c r="D51" s="224"/>
      <c r="E51" s="225"/>
      <c r="F51" s="313" t="s">
        <v>4460</v>
      </c>
      <c r="G51" s="225"/>
      <c r="H51" s="296">
        <f>0.04*2*4900/145036</f>
        <v>2.7027772415124519E-3</v>
      </c>
      <c r="I51" s="296">
        <f t="shared" si="0"/>
        <v>1.801851494341635E-3</v>
      </c>
      <c r="J51" s="224"/>
      <c r="K51" s="224"/>
      <c r="L51" s="224"/>
      <c r="M51" s="224" t="s">
        <v>4575</v>
      </c>
    </row>
    <row r="52" spans="1:19" x14ac:dyDescent="0.25">
      <c r="A52" s="224"/>
      <c r="B52" s="224"/>
      <c r="C52" s="224"/>
      <c r="D52" s="224"/>
      <c r="E52" s="225"/>
      <c r="F52" s="313" t="s">
        <v>4460</v>
      </c>
      <c r="G52" s="225"/>
      <c r="H52" s="296">
        <f>SUM(H49:I51)</f>
        <v>7.8831002877446533E-3</v>
      </c>
      <c r="I52" s="296"/>
      <c r="J52" s="224"/>
      <c r="K52" s="224"/>
      <c r="L52" s="224"/>
      <c r="M52" t="s">
        <v>4576</v>
      </c>
    </row>
    <row r="53" spans="1:19" x14ac:dyDescent="0.25">
      <c r="A53" s="224"/>
      <c r="B53" s="224"/>
      <c r="C53" s="224"/>
      <c r="D53" s="224"/>
      <c r="E53" s="225"/>
      <c r="F53" s="314" t="str">
        <f>+A77</f>
        <v>CA0052</v>
      </c>
      <c r="G53" s="225"/>
      <c r="H53" s="296">
        <f>0.02*2*4900/145036</f>
        <v>1.351388620756226E-3</v>
      </c>
      <c r="I53" s="296"/>
      <c r="J53" s="224"/>
      <c r="K53" s="224"/>
      <c r="L53" s="224"/>
      <c r="M53" s="299" t="s">
        <v>4482</v>
      </c>
    </row>
    <row r="54" spans="1:19" x14ac:dyDescent="0.25">
      <c r="A54" s="224"/>
      <c r="B54" s="224"/>
      <c r="C54" s="224"/>
      <c r="D54" s="224"/>
      <c r="E54" s="225"/>
      <c r="F54" s="313" t="s">
        <v>4460</v>
      </c>
      <c r="G54" s="225"/>
      <c r="H54" s="296">
        <f>0.0058*2*4900/145036</f>
        <v>3.919027000193055E-4</v>
      </c>
      <c r="I54" s="296"/>
      <c r="J54" s="224"/>
      <c r="K54" s="224"/>
      <c r="L54" s="224"/>
      <c r="M54" t="s">
        <v>4518</v>
      </c>
    </row>
    <row r="55" spans="1:19" x14ac:dyDescent="0.25">
      <c r="A55" s="224"/>
      <c r="B55" s="224"/>
      <c r="C55" s="224"/>
      <c r="D55" s="224"/>
      <c r="E55" s="225"/>
      <c r="F55" s="313" t="s">
        <v>4460</v>
      </c>
      <c r="G55" s="225"/>
      <c r="H55" s="296">
        <f>0.0009*2*4900/145036</f>
        <v>6.0812487934030175E-5</v>
      </c>
      <c r="I55" s="296"/>
      <c r="J55" s="224"/>
      <c r="K55" s="224"/>
      <c r="L55" s="224"/>
      <c r="M55" t="s">
        <v>4494</v>
      </c>
    </row>
    <row r="56" spans="1:19" x14ac:dyDescent="0.25">
      <c r="A56" s="224"/>
      <c r="B56" s="224"/>
      <c r="C56" s="224"/>
      <c r="D56" s="224"/>
      <c r="E56" s="225"/>
      <c r="F56" s="313" t="s">
        <v>4460</v>
      </c>
      <c r="G56" s="225"/>
      <c r="H56" s="296">
        <f>85/145036</f>
        <v>5.8606139165448578E-4</v>
      </c>
      <c r="I56" s="296"/>
      <c r="J56" s="224"/>
      <c r="K56" s="224"/>
      <c r="L56" s="224"/>
      <c r="M56" s="224" t="s">
        <v>4577</v>
      </c>
    </row>
    <row r="57" spans="1:19" x14ac:dyDescent="0.25">
      <c r="A57" s="314" t="s">
        <v>4587</v>
      </c>
      <c r="B57" s="299" t="s">
        <v>4588</v>
      </c>
      <c r="C57" s="306"/>
      <c r="D57" s="306"/>
      <c r="E57" s="300"/>
      <c r="F57" s="336"/>
      <c r="G57" s="302"/>
      <c r="H57" s="303"/>
      <c r="I57" s="303"/>
      <c r="J57" s="301"/>
      <c r="K57" s="301"/>
      <c r="L57" s="301"/>
      <c r="M57" s="301"/>
      <c r="N57" s="312"/>
      <c r="O57" s="223"/>
      <c r="P57" s="312"/>
      <c r="Q57" s="223"/>
      <c r="R57" s="223"/>
      <c r="S57" s="223"/>
    </row>
    <row r="58" spans="1:19" x14ac:dyDescent="0.25">
      <c r="A58" s="224"/>
      <c r="B58" s="224"/>
      <c r="C58" s="224"/>
      <c r="D58" s="224"/>
      <c r="E58" s="225"/>
      <c r="F58" s="313" t="str">
        <f>+A23</f>
        <v>CA0006</v>
      </c>
      <c r="G58" s="225"/>
      <c r="H58" s="296">
        <v>0.08</v>
      </c>
      <c r="I58" s="296"/>
      <c r="J58" s="224"/>
      <c r="K58" s="224"/>
      <c r="L58" s="224"/>
      <c r="M58" s="299" t="s">
        <v>4467</v>
      </c>
    </row>
    <row r="59" spans="1:19" x14ac:dyDescent="0.25">
      <c r="A59" s="224"/>
      <c r="B59" s="224"/>
      <c r="C59" s="224"/>
      <c r="D59" s="224"/>
      <c r="E59" s="225"/>
      <c r="F59" s="313" t="s">
        <v>4460</v>
      </c>
      <c r="G59" s="225"/>
      <c r="H59" s="296">
        <v>3.5000000000000001E-3</v>
      </c>
      <c r="I59" s="296">
        <f>(H59/0.7)-H59</f>
        <v>1.5E-3</v>
      </c>
      <c r="J59" s="224"/>
      <c r="K59" s="224"/>
      <c r="L59" s="224"/>
      <c r="M59" s="224" t="s">
        <v>4574</v>
      </c>
    </row>
    <row r="60" spans="1:19" x14ac:dyDescent="0.25">
      <c r="A60" s="224"/>
      <c r="B60" s="224"/>
      <c r="C60" s="224"/>
      <c r="D60" s="224"/>
      <c r="E60" s="225"/>
      <c r="F60" s="313" t="s">
        <v>4460</v>
      </c>
      <c r="G60" s="225"/>
      <c r="H60" s="296">
        <v>1.4E-2</v>
      </c>
      <c r="I60" s="296">
        <f>(H60/0.7)-H60</f>
        <v>6.0000000000000001E-3</v>
      </c>
      <c r="J60" s="224"/>
      <c r="K60" s="224"/>
      <c r="L60" s="224"/>
      <c r="M60" s="224" t="s">
        <v>4575</v>
      </c>
    </row>
    <row r="61" spans="1:19" x14ac:dyDescent="0.25">
      <c r="A61" s="224"/>
      <c r="B61" s="224"/>
      <c r="C61" s="224"/>
      <c r="D61" s="224"/>
      <c r="E61" s="225"/>
      <c r="F61" s="314" t="s">
        <v>4460</v>
      </c>
      <c r="G61" s="225"/>
      <c r="H61" s="296">
        <f>SUM(H59:I60)</f>
        <v>2.5000000000000001E-2</v>
      </c>
      <c r="I61" s="296"/>
      <c r="J61" s="224"/>
      <c r="K61" s="224"/>
      <c r="L61" s="224"/>
      <c r="M61" t="s">
        <v>4576</v>
      </c>
    </row>
    <row r="62" spans="1:19" x14ac:dyDescent="0.25">
      <c r="A62" s="224"/>
      <c r="B62" s="224"/>
      <c r="C62" s="224"/>
      <c r="D62" s="224"/>
      <c r="E62" s="225"/>
      <c r="F62" s="313" t="str">
        <f>+A77</f>
        <v>CA0052</v>
      </c>
      <c r="G62" s="225"/>
      <c r="H62" s="296">
        <v>0.2</v>
      </c>
      <c r="I62" s="296"/>
      <c r="J62" s="224"/>
      <c r="K62" s="224"/>
      <c r="L62" s="224"/>
      <c r="M62" s="299" t="s">
        <v>4482</v>
      </c>
    </row>
    <row r="63" spans="1:19" x14ac:dyDescent="0.25">
      <c r="A63" s="224"/>
      <c r="B63" s="224"/>
      <c r="C63" s="224"/>
      <c r="D63" s="224"/>
      <c r="E63" s="225"/>
      <c r="F63" s="313" t="s">
        <v>4460</v>
      </c>
      <c r="G63" s="225"/>
      <c r="H63" s="296">
        <v>1.7000000000000001E-2</v>
      </c>
      <c r="I63" s="296">
        <f>(H63/0.7)-H63</f>
        <v>7.2857142857142877E-3</v>
      </c>
      <c r="J63" s="224"/>
      <c r="K63" s="224"/>
      <c r="L63" s="224"/>
      <c r="M63" t="s">
        <v>4519</v>
      </c>
    </row>
    <row r="64" spans="1:19" x14ac:dyDescent="0.25">
      <c r="A64" s="224"/>
      <c r="B64" s="224"/>
      <c r="C64" s="224"/>
      <c r="D64" s="224"/>
      <c r="E64" s="225"/>
      <c r="F64" s="313" t="s">
        <v>4555</v>
      </c>
      <c r="G64" s="225"/>
      <c r="H64" s="296">
        <f>SUM(H63:I63)</f>
        <v>2.4285714285714289E-2</v>
      </c>
      <c r="I64" s="296"/>
      <c r="J64" s="224"/>
      <c r="K64" s="224"/>
      <c r="L64" s="224"/>
      <c r="M64" t="s">
        <v>4511</v>
      </c>
    </row>
    <row r="65" spans="1:13" x14ac:dyDescent="0.25">
      <c r="A65" s="224"/>
      <c r="B65" s="224"/>
      <c r="C65" s="224"/>
      <c r="D65" s="224"/>
      <c r="E65" s="225"/>
      <c r="F65" s="313" t="s">
        <v>4460</v>
      </c>
      <c r="G65" s="225"/>
      <c r="H65" s="296">
        <v>2.1000000000000001E-2</v>
      </c>
      <c r="I65" s="296"/>
      <c r="J65" s="224"/>
      <c r="K65" s="224"/>
      <c r="L65" s="224"/>
      <c r="M65" t="s">
        <v>4518</v>
      </c>
    </row>
    <row r="66" spans="1:13" x14ac:dyDescent="0.25">
      <c r="A66" s="224"/>
      <c r="B66" s="224"/>
      <c r="C66" s="224"/>
      <c r="D66" s="224"/>
      <c r="E66" s="225"/>
      <c r="F66" s="313"/>
      <c r="G66" s="225"/>
      <c r="H66" s="296"/>
      <c r="I66" s="296"/>
      <c r="J66" s="224"/>
      <c r="K66" s="224"/>
      <c r="L66" s="224"/>
      <c r="M66" s="224"/>
    </row>
    <row r="67" spans="1:13" x14ac:dyDescent="0.25">
      <c r="A67" s="224"/>
      <c r="B67" s="224"/>
      <c r="C67" s="224"/>
      <c r="D67" s="224"/>
      <c r="E67" s="225"/>
      <c r="F67" s="313"/>
      <c r="G67" s="225"/>
      <c r="H67" s="296"/>
      <c r="I67" s="296"/>
      <c r="J67" s="224"/>
      <c r="K67" s="224"/>
      <c r="L67" s="224"/>
      <c r="M67" s="224"/>
    </row>
    <row r="68" spans="1:13" x14ac:dyDescent="0.25">
      <c r="A68" s="224"/>
      <c r="B68" s="224"/>
      <c r="C68" s="224"/>
      <c r="D68" s="224"/>
      <c r="E68" s="225"/>
      <c r="F68" s="313"/>
      <c r="G68" s="225"/>
      <c r="H68" s="296"/>
      <c r="I68" s="296"/>
      <c r="J68" s="224"/>
      <c r="K68" s="224"/>
      <c r="L68" s="224"/>
      <c r="M68" s="224"/>
    </row>
    <row r="69" spans="1:13" x14ac:dyDescent="0.25">
      <c r="A69" s="314" t="s">
        <v>4477</v>
      </c>
      <c r="B69" s="299" t="s">
        <v>4478</v>
      </c>
      <c r="C69" s="306"/>
      <c r="D69" s="306"/>
      <c r="E69" s="300"/>
      <c r="F69" s="313"/>
      <c r="G69" s="302"/>
      <c r="H69" s="303"/>
      <c r="I69" s="303"/>
      <c r="J69" s="301"/>
      <c r="K69" s="301"/>
      <c r="L69" s="301"/>
      <c r="M69" s="301"/>
    </row>
    <row r="70" spans="1:13" x14ac:dyDescent="0.25">
      <c r="A70" s="224"/>
      <c r="B70" s="224"/>
      <c r="C70" s="224"/>
      <c r="D70" s="224"/>
      <c r="E70" s="225"/>
      <c r="F70" s="313"/>
      <c r="G70" s="225"/>
      <c r="H70" s="296"/>
      <c r="I70" s="296"/>
      <c r="J70" s="224"/>
      <c r="K70" s="224"/>
      <c r="L70" s="224"/>
      <c r="M70" s="224"/>
    </row>
    <row r="71" spans="1:13" x14ac:dyDescent="0.25">
      <c r="A71" s="224"/>
      <c r="B71" s="224"/>
      <c r="C71" s="224"/>
      <c r="D71" s="224"/>
      <c r="E71" s="225"/>
      <c r="F71" s="313"/>
      <c r="G71" s="225"/>
      <c r="H71" s="296"/>
      <c r="I71" s="296"/>
      <c r="J71" s="224"/>
      <c r="K71" s="224"/>
      <c r="L71" s="224"/>
      <c r="M71" s="224"/>
    </row>
    <row r="72" spans="1:13" x14ac:dyDescent="0.25">
      <c r="A72" s="224"/>
      <c r="B72" s="224"/>
      <c r="C72" s="224"/>
      <c r="D72" s="224"/>
      <c r="E72" s="225"/>
      <c r="F72" s="313"/>
      <c r="G72" s="225"/>
      <c r="H72" s="296"/>
      <c r="I72" s="296"/>
      <c r="J72" s="224"/>
      <c r="K72" s="224"/>
      <c r="L72" s="224"/>
      <c r="M72" s="224"/>
    </row>
    <row r="73" spans="1:13" x14ac:dyDescent="0.25">
      <c r="A73" s="314" t="s">
        <v>4479</v>
      </c>
      <c r="B73" s="299" t="s">
        <v>4480</v>
      </c>
      <c r="C73" s="306"/>
      <c r="D73" s="306"/>
      <c r="E73" s="300"/>
      <c r="F73" s="313"/>
      <c r="G73" s="302"/>
      <c r="H73" s="303"/>
      <c r="I73" s="303"/>
      <c r="J73" s="301"/>
      <c r="K73" s="301"/>
      <c r="L73" s="301"/>
      <c r="M73" s="301"/>
    </row>
    <row r="74" spans="1:13" x14ac:dyDescent="0.25">
      <c r="A74" s="224"/>
      <c r="B74" s="224"/>
      <c r="C74" s="224"/>
      <c r="D74" s="224"/>
      <c r="E74" s="225"/>
      <c r="F74" s="313"/>
      <c r="G74" s="225"/>
      <c r="H74" s="296"/>
      <c r="I74" s="296"/>
      <c r="J74" s="224"/>
      <c r="K74" s="224"/>
      <c r="L74" s="224"/>
      <c r="M74" s="224"/>
    </row>
    <row r="75" spans="1:13" x14ac:dyDescent="0.25">
      <c r="A75" s="224"/>
      <c r="B75" s="224"/>
      <c r="C75" s="224"/>
      <c r="D75" s="224"/>
      <c r="E75" s="225"/>
      <c r="F75" s="313"/>
      <c r="G75" s="225"/>
      <c r="H75" s="296"/>
      <c r="I75" s="296"/>
      <c r="J75" s="224"/>
      <c r="K75" s="224"/>
      <c r="L75" s="224"/>
      <c r="M75" s="224"/>
    </row>
    <row r="76" spans="1:13" x14ac:dyDescent="0.25">
      <c r="A76" s="224"/>
      <c r="B76" s="224"/>
      <c r="C76" s="224"/>
      <c r="D76" s="224"/>
      <c r="E76" s="225"/>
      <c r="F76" s="313"/>
      <c r="G76" s="225"/>
      <c r="H76" s="296"/>
      <c r="I76" s="296"/>
      <c r="J76" s="224"/>
      <c r="K76" s="224"/>
      <c r="L76" s="224"/>
      <c r="M76" s="224"/>
    </row>
    <row r="77" spans="1:13" x14ac:dyDescent="0.25">
      <c r="A77" s="314" t="s">
        <v>4481</v>
      </c>
      <c r="B77" s="299" t="s">
        <v>4482</v>
      </c>
      <c r="C77" s="306"/>
      <c r="D77" s="306"/>
      <c r="E77" s="300"/>
      <c r="F77" s="313"/>
      <c r="G77" s="302"/>
      <c r="H77" s="303"/>
      <c r="I77" s="303"/>
      <c r="J77" s="301"/>
      <c r="K77" s="301"/>
      <c r="L77" s="301"/>
      <c r="M77" s="301"/>
    </row>
    <row r="78" spans="1:13" x14ac:dyDescent="0.25">
      <c r="A78" s="224"/>
      <c r="B78" s="224"/>
      <c r="C78" s="224"/>
      <c r="D78" s="224"/>
      <c r="E78" s="225"/>
      <c r="F78" s="313"/>
      <c r="G78" s="225"/>
      <c r="H78" s="296"/>
      <c r="I78" s="296"/>
      <c r="J78" s="224"/>
      <c r="K78" s="224"/>
      <c r="L78" s="224"/>
      <c r="M78" s="224"/>
    </row>
    <row r="79" spans="1:13" x14ac:dyDescent="0.25">
      <c r="A79" s="224"/>
      <c r="B79" s="224"/>
      <c r="C79" s="224"/>
      <c r="D79" s="224"/>
      <c r="E79" s="225"/>
      <c r="F79" s="313"/>
      <c r="G79" s="225"/>
      <c r="H79" s="296"/>
      <c r="I79" s="296"/>
      <c r="J79" s="224"/>
      <c r="K79" s="224"/>
      <c r="L79" s="224"/>
      <c r="M79" s="224"/>
    </row>
    <row r="80" spans="1:13" x14ac:dyDescent="0.25">
      <c r="A80" s="224"/>
      <c r="B80" s="224"/>
      <c r="C80" s="224"/>
      <c r="D80" s="224"/>
      <c r="E80" s="225"/>
      <c r="F80" s="313"/>
      <c r="G80" s="225"/>
      <c r="H80" s="296"/>
      <c r="I80" s="296"/>
      <c r="J80" s="224"/>
      <c r="K80" s="224"/>
      <c r="L80" s="224"/>
      <c r="M80" s="224"/>
    </row>
    <row r="81" spans="1:13" x14ac:dyDescent="0.25">
      <c r="A81" s="314" t="s">
        <v>4483</v>
      </c>
      <c r="B81" s="299" t="s">
        <v>4484</v>
      </c>
      <c r="C81" s="306"/>
      <c r="D81" s="306"/>
      <c r="E81" s="300"/>
      <c r="F81" s="313"/>
      <c r="G81" s="302"/>
      <c r="H81" s="303"/>
      <c r="I81" s="303"/>
      <c r="J81" s="301"/>
      <c r="K81" s="301"/>
      <c r="L81" s="301"/>
      <c r="M81" s="301"/>
    </row>
    <row r="82" spans="1:13" x14ac:dyDescent="0.25">
      <c r="A82" s="224"/>
      <c r="B82" s="224"/>
      <c r="C82" s="224"/>
      <c r="D82" s="224"/>
      <c r="E82" s="225"/>
      <c r="F82" s="313"/>
      <c r="G82" s="225"/>
      <c r="H82" s="296"/>
      <c r="I82" s="296"/>
      <c r="J82" s="224"/>
      <c r="K82" s="224"/>
      <c r="L82" s="224"/>
      <c r="M82" s="224"/>
    </row>
    <row r="83" spans="1:13" x14ac:dyDescent="0.25">
      <c r="A83" s="224"/>
      <c r="B83" s="224"/>
      <c r="C83" s="224"/>
      <c r="D83" s="224"/>
      <c r="E83" s="225"/>
      <c r="F83" s="313"/>
      <c r="G83" s="225"/>
      <c r="H83" s="296"/>
      <c r="I83" s="296"/>
      <c r="J83" s="224"/>
      <c r="K83" s="224"/>
      <c r="L83" s="224"/>
      <c r="M83" s="224"/>
    </row>
    <row r="84" spans="1:13" x14ac:dyDescent="0.25">
      <c r="A84" s="224"/>
      <c r="B84" s="224"/>
      <c r="C84" s="224"/>
      <c r="D84" s="224"/>
      <c r="E84" s="225"/>
      <c r="F84" s="313"/>
      <c r="G84" s="225"/>
      <c r="H84" s="296"/>
      <c r="I84" s="296"/>
      <c r="J84" s="224"/>
      <c r="K84" s="224"/>
      <c r="L84" s="224"/>
      <c r="M84" s="224"/>
    </row>
    <row r="85" spans="1:13" x14ac:dyDescent="0.25">
      <c r="A85" s="314" t="s">
        <v>4483</v>
      </c>
      <c r="B85" s="299" t="s">
        <v>4484</v>
      </c>
      <c r="C85" s="306"/>
      <c r="D85" s="306"/>
      <c r="E85" s="300"/>
      <c r="F85" s="313"/>
      <c r="G85" s="302"/>
      <c r="H85" s="303"/>
      <c r="I85" s="303"/>
      <c r="J85" s="301"/>
      <c r="K85" s="301"/>
      <c r="L85" s="301"/>
      <c r="M85" s="301"/>
    </row>
    <row r="86" spans="1:13" x14ac:dyDescent="0.25">
      <c r="A86" s="224"/>
      <c r="B86" s="224"/>
      <c r="C86" s="224"/>
      <c r="D86" s="224"/>
      <c r="E86" s="225"/>
      <c r="F86" s="313"/>
      <c r="G86" s="225"/>
      <c r="H86" s="296"/>
      <c r="I86" s="296"/>
      <c r="J86" s="224"/>
      <c r="K86" s="224"/>
      <c r="L86" s="224"/>
      <c r="M86" s="224"/>
    </row>
    <row r="87" spans="1:13" x14ac:dyDescent="0.25">
      <c r="A87" s="224"/>
      <c r="B87" s="224"/>
      <c r="C87" s="224"/>
      <c r="D87" s="224"/>
      <c r="E87" s="225"/>
      <c r="F87" s="313"/>
      <c r="G87" s="225"/>
      <c r="H87" s="296"/>
      <c r="I87" s="296"/>
      <c r="J87" s="224"/>
      <c r="K87" s="224"/>
      <c r="L87" s="224"/>
      <c r="M87" s="224"/>
    </row>
    <row r="88" spans="1:13" x14ac:dyDescent="0.25">
      <c r="A88" s="224"/>
      <c r="B88" s="224"/>
      <c r="C88" s="224"/>
      <c r="D88" s="224"/>
      <c r="E88" s="225"/>
      <c r="F88" s="313"/>
      <c r="G88" s="225"/>
      <c r="H88" s="296"/>
      <c r="I88" s="296"/>
      <c r="J88" s="224"/>
      <c r="K88" s="224"/>
      <c r="L88" s="224"/>
      <c r="M88" s="224"/>
    </row>
  </sheetData>
  <autoFilter ref="A2:M21"/>
  <conditionalFormatting sqref="F3:F47 F49:F52 F54:F60 F62:F68">
    <cfRule type="containsText" dxfId="143" priority="34" operator="containsText" text="CA">
      <formula>NOT(ISERROR(SEARCH("CA",F3)))</formula>
    </cfRule>
  </conditionalFormatting>
  <conditionalFormatting sqref="F69:F72">
    <cfRule type="containsText" dxfId="142" priority="18" operator="containsText" text="CA">
      <formula>NOT(ISERROR(SEARCH("CA",F69)))</formula>
    </cfRule>
  </conditionalFormatting>
  <conditionalFormatting sqref="F69:F72">
    <cfRule type="containsText" dxfId="141" priority="17" operator="containsText" text="CA">
      <formula>NOT(ISERROR(SEARCH("CA",F69)))</formula>
    </cfRule>
  </conditionalFormatting>
  <conditionalFormatting sqref="F69:F72">
    <cfRule type="containsText" dxfId="140" priority="16" operator="containsText" text="CA">
      <formula>NOT(ISERROR(SEARCH("CA",F69)))</formula>
    </cfRule>
  </conditionalFormatting>
  <conditionalFormatting sqref="F73:F76">
    <cfRule type="containsText" dxfId="139" priority="15" operator="containsText" text="CA">
      <formula>NOT(ISERROR(SEARCH("CA",F73)))</formula>
    </cfRule>
  </conditionalFormatting>
  <conditionalFormatting sqref="F73:F76">
    <cfRule type="containsText" dxfId="138" priority="14" operator="containsText" text="CA">
      <formula>NOT(ISERROR(SEARCH("CA",F73)))</formula>
    </cfRule>
  </conditionalFormatting>
  <conditionalFormatting sqref="F73:F76">
    <cfRule type="containsText" dxfId="137" priority="13" operator="containsText" text="CA">
      <formula>NOT(ISERROR(SEARCH("CA",F73)))</formula>
    </cfRule>
  </conditionalFormatting>
  <conditionalFormatting sqref="F77:F80">
    <cfRule type="containsText" dxfId="136" priority="12" operator="containsText" text="CA">
      <formula>NOT(ISERROR(SEARCH("CA",F77)))</formula>
    </cfRule>
  </conditionalFormatting>
  <conditionalFormatting sqref="F77:F80">
    <cfRule type="containsText" dxfId="135" priority="11" operator="containsText" text="CA">
      <formula>NOT(ISERROR(SEARCH("CA",F77)))</formula>
    </cfRule>
  </conditionalFormatting>
  <conditionalFormatting sqref="F77:F80">
    <cfRule type="containsText" dxfId="134" priority="10" operator="containsText" text="CA">
      <formula>NOT(ISERROR(SEARCH("CA",F77)))</formula>
    </cfRule>
  </conditionalFormatting>
  <conditionalFormatting sqref="F81:F84">
    <cfRule type="containsText" dxfId="133" priority="9" operator="containsText" text="CA">
      <formula>NOT(ISERROR(SEARCH("CA",F81)))</formula>
    </cfRule>
  </conditionalFormatting>
  <conditionalFormatting sqref="F81:F84">
    <cfRule type="containsText" dxfId="132" priority="8" operator="containsText" text="CA">
      <formula>NOT(ISERROR(SEARCH("CA",F81)))</formula>
    </cfRule>
  </conditionalFormatting>
  <conditionalFormatting sqref="F81:F84">
    <cfRule type="containsText" dxfId="131" priority="7" operator="containsText" text="CA">
      <formula>NOT(ISERROR(SEARCH("CA",F81)))</formula>
    </cfRule>
  </conditionalFormatting>
  <conditionalFormatting sqref="F85:F88">
    <cfRule type="containsText" dxfId="130" priority="6" operator="containsText" text="CA">
      <formula>NOT(ISERROR(SEARCH("CA",F85)))</formula>
    </cfRule>
  </conditionalFormatting>
  <conditionalFormatting sqref="F85:F88">
    <cfRule type="containsText" dxfId="129" priority="5" operator="containsText" text="CA">
      <formula>NOT(ISERROR(SEARCH("CA",F85)))</formula>
    </cfRule>
  </conditionalFormatting>
  <conditionalFormatting sqref="F85:F88">
    <cfRule type="containsText" dxfId="128" priority="4" operator="containsText" text="CA">
      <formula>NOT(ISERROR(SEARCH("CA",F85)))</formula>
    </cfRule>
  </conditionalFormatting>
  <pageMargins left="0.11811023622047245" right="0.11811023622047245" top="0.78740157480314965" bottom="0.78740157480314965" header="0.31496062992125984" footer="0.31496062992125984"/>
  <pageSetup paperSize="8" scale="5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I1048576"/>
  <sheetViews>
    <sheetView tabSelected="1" zoomScale="80" zoomScaleNormal="80" workbookViewId="0">
      <pane ySplit="2" topLeftCell="A354" activePane="bottomLeft" state="frozen"/>
      <selection pane="bottomLeft" activeCell="G629" sqref="G629"/>
    </sheetView>
  </sheetViews>
  <sheetFormatPr defaultRowHeight="15" outlineLevelCol="1" x14ac:dyDescent="0.25"/>
  <cols>
    <col min="1" max="1" width="14.42578125" customWidth="1"/>
    <col min="2" max="2" width="60.28515625" bestFit="1" customWidth="1"/>
    <col min="5" max="5" width="11.42578125" customWidth="1"/>
    <col min="7" max="7" width="9.140625" style="398"/>
    <col min="8" max="8" width="9.7109375" bestFit="1" customWidth="1"/>
    <col min="9" max="9" width="12.5703125" bestFit="1" customWidth="1"/>
    <col min="10" max="10" width="13" customWidth="1"/>
    <col min="11" max="11" width="9" bestFit="1" customWidth="1"/>
    <col min="12" max="12" width="10.140625" customWidth="1"/>
    <col min="14" max="14" width="63.85546875" bestFit="1" customWidth="1"/>
    <col min="15" max="15" width="12.7109375" style="307" bestFit="1" customWidth="1"/>
    <col min="17" max="17" width="13.140625" customWidth="1"/>
    <col min="19" max="19" width="14.140625" customWidth="1"/>
    <col min="20" max="20" width="14.5703125" hidden="1" customWidth="1" outlineLevel="1"/>
    <col min="21" max="21" width="0" hidden="1" customWidth="1" outlineLevel="1"/>
    <col min="22" max="22" width="13.7109375" hidden="1" customWidth="1" outlineLevel="1"/>
    <col min="23" max="23" width="0" hidden="1" customWidth="1" outlineLevel="1"/>
    <col min="24" max="24" width="13.28515625" hidden="1" customWidth="1" outlineLevel="1"/>
    <col min="25" max="25" width="0" hidden="1" customWidth="1" outlineLevel="1"/>
    <col min="26" max="26" width="14.140625" customWidth="1" collapsed="1"/>
    <col min="28" max="28" width="13.5703125" customWidth="1"/>
    <col min="30" max="30" width="13.5703125" customWidth="1"/>
  </cols>
  <sheetData>
    <row r="1" spans="1:21" x14ac:dyDescent="0.25">
      <c r="A1" s="297"/>
      <c r="B1" s="297"/>
      <c r="C1" s="297"/>
      <c r="D1" s="297"/>
      <c r="F1" s="297"/>
      <c r="I1" s="315"/>
    </row>
    <row r="2" spans="1:21" ht="30" x14ac:dyDescent="0.25">
      <c r="A2" s="226" t="s">
        <v>4410</v>
      </c>
      <c r="B2" s="226" t="s">
        <v>1335</v>
      </c>
      <c r="C2" s="226" t="s">
        <v>1336</v>
      </c>
      <c r="D2" s="226" t="s">
        <v>4400</v>
      </c>
      <c r="E2" s="226" t="s">
        <v>4401</v>
      </c>
      <c r="F2" s="226" t="s">
        <v>4402</v>
      </c>
      <c r="G2" s="399" t="s">
        <v>6568</v>
      </c>
      <c r="H2" s="226" t="s">
        <v>4403</v>
      </c>
      <c r="I2" s="226" t="s">
        <v>4404</v>
      </c>
      <c r="J2" s="226" t="s">
        <v>4405</v>
      </c>
      <c r="K2" s="226" t="s">
        <v>4406</v>
      </c>
      <c r="L2" s="226" t="s">
        <v>4409</v>
      </c>
      <c r="M2" s="226" t="s">
        <v>4407</v>
      </c>
      <c r="N2" s="226" t="s">
        <v>4408</v>
      </c>
      <c r="O2" s="307" t="s">
        <v>4490</v>
      </c>
    </row>
    <row r="3" spans="1:21" x14ac:dyDescent="0.25">
      <c r="H3" s="1"/>
      <c r="I3" s="1"/>
      <c r="J3" s="1"/>
      <c r="K3" s="1"/>
      <c r="L3" s="1"/>
    </row>
    <row r="4" spans="1:21" x14ac:dyDescent="0.25">
      <c r="A4" t="s">
        <v>4456</v>
      </c>
      <c r="B4" t="s">
        <v>4501</v>
      </c>
      <c r="C4" t="s">
        <v>1341</v>
      </c>
      <c r="D4">
        <v>1</v>
      </c>
      <c r="F4" s="224" t="s">
        <v>4460</v>
      </c>
      <c r="G4" s="400"/>
      <c r="H4" s="1"/>
      <c r="I4" s="1">
        <v>1.05</v>
      </c>
      <c r="J4" s="1"/>
      <c r="K4" s="1"/>
      <c r="L4" s="1"/>
      <c r="N4" s="329" t="s">
        <v>4496</v>
      </c>
      <c r="O4" s="307" t="s">
        <v>4497</v>
      </c>
    </row>
    <row r="5" spans="1:21" x14ac:dyDescent="0.25">
      <c r="F5" s="224" t="str">
        <f>+'CP. Auxiliar'!A31</f>
        <v>CA0008</v>
      </c>
      <c r="G5" s="400"/>
      <c r="H5" s="1"/>
      <c r="I5" s="1">
        <f>+I6*10*1.2</f>
        <v>1.0152E-3</v>
      </c>
      <c r="J5" s="1"/>
      <c r="K5" s="1"/>
      <c r="L5" s="1"/>
      <c r="N5" t="str">
        <f>+'CP. Auxiliar'!B31</f>
        <v>CUADRILLA ACERO 2 Turno por dia</v>
      </c>
    </row>
    <row r="6" spans="1:21" x14ac:dyDescent="0.25">
      <c r="F6" s="224" t="s">
        <v>4460</v>
      </c>
      <c r="G6" s="389" t="s">
        <v>4860</v>
      </c>
      <c r="H6" s="1"/>
      <c r="I6" s="316">
        <f>0.0846/1000</f>
        <v>8.4599999999999996E-5</v>
      </c>
      <c r="J6" s="1">
        <f>(I5/10)-I6</f>
        <v>1.6919999999999994E-5</v>
      </c>
      <c r="K6" s="1"/>
      <c r="L6" s="1"/>
      <c r="N6" t="s">
        <v>4485</v>
      </c>
    </row>
    <row r="7" spans="1:21" x14ac:dyDescent="0.25">
      <c r="F7" s="224" t="s">
        <v>4460</v>
      </c>
      <c r="G7" s="389" t="s">
        <v>6334</v>
      </c>
      <c r="H7" s="1"/>
      <c r="I7" s="316">
        <f>I6+J6</f>
        <v>1.0151999999999999E-4</v>
      </c>
      <c r="J7" s="1"/>
      <c r="K7" s="1"/>
      <c r="L7" s="1"/>
      <c r="N7" t="s">
        <v>4511</v>
      </c>
    </row>
    <row r="8" spans="1:21" x14ac:dyDescent="0.25">
      <c r="F8" s="224" t="str">
        <f>+'CP. Auxiliar'!A73</f>
        <v>CA0051</v>
      </c>
      <c r="G8" s="389" t="s">
        <v>6428</v>
      </c>
      <c r="H8" s="1"/>
      <c r="I8" s="363">
        <v>1.5E-5</v>
      </c>
      <c r="J8" s="362">
        <f>+I8</f>
        <v>1.5E-5</v>
      </c>
      <c r="K8" s="1"/>
      <c r="L8" s="1"/>
      <c r="M8" t="s">
        <v>4615</v>
      </c>
      <c r="N8" s="294" t="str">
        <f>+'CP. Auxiliar'!B73</f>
        <v>ILLUMINAZIONE</v>
      </c>
    </row>
    <row r="9" spans="1:21" x14ac:dyDescent="0.25">
      <c r="A9" s="223" t="s">
        <v>4457</v>
      </c>
      <c r="B9" s="223" t="s">
        <v>4500</v>
      </c>
      <c r="C9" s="223" t="s">
        <v>1341</v>
      </c>
      <c r="D9" s="223"/>
      <c r="E9" s="223"/>
      <c r="F9" s="301" t="s">
        <v>4460</v>
      </c>
      <c r="G9" s="401"/>
      <c r="H9" s="317"/>
      <c r="I9" s="317">
        <f>1.05*S10</f>
        <v>0.52500000000000002</v>
      </c>
      <c r="J9" s="317"/>
      <c r="K9" s="317"/>
      <c r="L9" s="317"/>
      <c r="M9" s="223"/>
      <c r="N9" s="328" t="s">
        <v>4496</v>
      </c>
      <c r="O9" s="323" t="s">
        <v>4491</v>
      </c>
      <c r="P9" s="223"/>
      <c r="Q9" s="223"/>
      <c r="R9" s="223"/>
      <c r="S9" s="223" t="s">
        <v>4486</v>
      </c>
      <c r="T9" s="223" t="s">
        <v>4487</v>
      </c>
      <c r="U9" s="223"/>
    </row>
    <row r="10" spans="1:21" x14ac:dyDescent="0.25">
      <c r="F10" s="224" t="str">
        <f>+F5</f>
        <v>CA0008</v>
      </c>
      <c r="G10" s="400"/>
      <c r="H10" s="1"/>
      <c r="I10" s="321">
        <f>+I11*10*1.2</f>
        <v>5.0759999999999998E-4</v>
      </c>
      <c r="J10" s="1"/>
      <c r="K10" s="1"/>
      <c r="L10" s="1"/>
      <c r="N10" t="str">
        <f>+N5</f>
        <v>CUADRILLA ACERO 2 Turno por dia</v>
      </c>
      <c r="S10">
        <v>0.5</v>
      </c>
      <c r="T10">
        <v>0.5</v>
      </c>
    </row>
    <row r="11" spans="1:21" x14ac:dyDescent="0.25">
      <c r="F11" s="224" t="s">
        <v>4460</v>
      </c>
      <c r="G11" s="389" t="s">
        <v>4860</v>
      </c>
      <c r="H11" s="1"/>
      <c r="I11" s="316">
        <f>(0.0846/1000)*S10</f>
        <v>4.2299999999999998E-5</v>
      </c>
      <c r="J11" s="1">
        <f>(I10/10)-I11</f>
        <v>8.4599999999999969E-6</v>
      </c>
      <c r="K11" s="1"/>
      <c r="L11" s="1"/>
      <c r="N11" t="s">
        <v>4485</v>
      </c>
    </row>
    <row r="12" spans="1:21" x14ac:dyDescent="0.25">
      <c r="F12" s="224" t="s">
        <v>4460</v>
      </c>
      <c r="G12" s="389" t="s">
        <v>6334</v>
      </c>
      <c r="H12" s="1"/>
      <c r="I12" s="316">
        <f>I11+J11</f>
        <v>5.0759999999999995E-5</v>
      </c>
      <c r="J12" s="1"/>
      <c r="K12" s="1"/>
      <c r="L12" s="1"/>
      <c r="N12" t="s">
        <v>4511</v>
      </c>
    </row>
    <row r="13" spans="1:21" x14ac:dyDescent="0.25">
      <c r="F13" s="225" t="str">
        <f>+F8</f>
        <v>CA0051</v>
      </c>
      <c r="G13" s="389" t="s">
        <v>6428</v>
      </c>
      <c r="H13" s="318"/>
      <c r="I13" s="363">
        <v>1.5E-5</v>
      </c>
      <c r="J13" s="365">
        <f>+I13</f>
        <v>1.5E-5</v>
      </c>
      <c r="K13" s="318"/>
      <c r="L13" s="318"/>
      <c r="M13" s="318" t="s">
        <v>4615</v>
      </c>
      <c r="N13" s="364" t="str">
        <f>+N8</f>
        <v>ILLUMINAZIONE</v>
      </c>
    </row>
    <row r="14" spans="1:21" x14ac:dyDescent="0.25">
      <c r="A14" s="333"/>
      <c r="B14" s="333"/>
      <c r="C14" s="333"/>
      <c r="D14" s="333"/>
      <c r="E14" s="333"/>
      <c r="F14" s="225" t="s">
        <v>4460</v>
      </c>
      <c r="G14" s="402"/>
      <c r="H14" s="318"/>
      <c r="I14" s="319">
        <f>1.05*T10</f>
        <v>0.52500000000000002</v>
      </c>
      <c r="J14" s="318"/>
      <c r="K14" s="318"/>
      <c r="L14" s="318"/>
      <c r="M14" s="318"/>
      <c r="N14" s="330" t="s">
        <v>4507</v>
      </c>
      <c r="O14" s="378" t="s">
        <v>4492</v>
      </c>
      <c r="P14" s="333"/>
      <c r="Q14" s="333"/>
      <c r="R14" s="333"/>
      <c r="S14" s="333"/>
      <c r="T14" s="333"/>
      <c r="U14" s="333"/>
    </row>
    <row r="15" spans="1:21" x14ac:dyDescent="0.25">
      <c r="F15" s="224" t="str">
        <f>+'CP. Auxiliar'!A31</f>
        <v>CA0008</v>
      </c>
      <c r="G15" s="400"/>
      <c r="I15" s="320">
        <f>(100*T10)/1000</f>
        <v>0.05</v>
      </c>
      <c r="N15" t="str">
        <f>+N10</f>
        <v>CUADRILLA ACERO 2 Turno por dia</v>
      </c>
    </row>
    <row r="16" spans="1:21" x14ac:dyDescent="0.25">
      <c r="F16" s="224" t="s">
        <v>4460</v>
      </c>
      <c r="G16" s="389" t="s">
        <v>6540</v>
      </c>
      <c r="I16">
        <f>((0.29+0.0846+0.0846)/1000)*T10</f>
        <v>2.296E-4</v>
      </c>
      <c r="J16" s="322">
        <f>+I17-I16</f>
        <v>4.7704000000000002E-3</v>
      </c>
      <c r="N16" t="s">
        <v>4488</v>
      </c>
    </row>
    <row r="17" spans="1:21" x14ac:dyDescent="0.25">
      <c r="F17" s="224" t="s">
        <v>4460</v>
      </c>
      <c r="G17" s="389" t="s">
        <v>6334</v>
      </c>
      <c r="H17" s="1"/>
      <c r="I17" s="322">
        <f>I15/10</f>
        <v>5.0000000000000001E-3</v>
      </c>
      <c r="J17" s="1"/>
      <c r="K17" s="1"/>
      <c r="L17" s="1"/>
      <c r="N17" t="s">
        <v>4511</v>
      </c>
    </row>
    <row r="18" spans="1:21" x14ac:dyDescent="0.25">
      <c r="F18" s="224" t="s">
        <v>4460</v>
      </c>
      <c r="G18" s="389" t="s">
        <v>6483</v>
      </c>
      <c r="I18">
        <f>(0.17/1000)*T10</f>
        <v>8.5000000000000006E-5</v>
      </c>
      <c r="J18" s="322">
        <f>+I19-I18</f>
        <v>2.415E-3</v>
      </c>
      <c r="N18" t="s">
        <v>4493</v>
      </c>
    </row>
    <row r="19" spans="1:21" x14ac:dyDescent="0.25">
      <c r="F19" s="224" t="s">
        <v>4460</v>
      </c>
      <c r="G19" s="389" t="s">
        <v>6334</v>
      </c>
      <c r="H19" s="1"/>
      <c r="I19" s="322">
        <f>(I15/10)*0.5</f>
        <v>2.5000000000000001E-3</v>
      </c>
      <c r="J19" s="1"/>
      <c r="K19" s="1"/>
      <c r="L19" s="1"/>
      <c r="N19" t="s">
        <v>4511</v>
      </c>
      <c r="O19" s="307" t="s">
        <v>4510</v>
      </c>
    </row>
    <row r="20" spans="1:21" x14ac:dyDescent="0.25">
      <c r="F20" s="224" t="s">
        <v>4460</v>
      </c>
      <c r="G20" s="389" t="s">
        <v>6442</v>
      </c>
      <c r="I20">
        <f>(0.31/1000)*T10</f>
        <v>1.55E-4</v>
      </c>
      <c r="J20">
        <f>(I15/10)-I20</f>
        <v>4.8450000000000003E-3</v>
      </c>
      <c r="N20" t="s">
        <v>4494</v>
      </c>
    </row>
    <row r="21" spans="1:21" x14ac:dyDescent="0.25">
      <c r="F21" s="224" t="str">
        <f>+'CP. Auxiliar'!A73</f>
        <v>CA0051</v>
      </c>
      <c r="G21" s="389" t="s">
        <v>6428</v>
      </c>
      <c r="I21" s="363">
        <v>1.5E-5</v>
      </c>
      <c r="J21" s="363">
        <f>+I21</f>
        <v>1.5E-5</v>
      </c>
      <c r="K21" s="1"/>
      <c r="L21" s="1"/>
      <c r="M21" t="s">
        <v>4615</v>
      </c>
      <c r="N21" s="294" t="str">
        <f>+'CP. Auxiliar'!B73</f>
        <v>ILLUMINAZIONE</v>
      </c>
    </row>
    <row r="22" spans="1:21" x14ac:dyDescent="0.25">
      <c r="A22" s="223" t="s">
        <v>4495</v>
      </c>
      <c r="B22" s="223" t="s">
        <v>4499</v>
      </c>
      <c r="C22" s="223" t="s">
        <v>1341</v>
      </c>
      <c r="D22" s="223"/>
      <c r="E22" s="223"/>
      <c r="F22" s="302" t="s">
        <v>4460</v>
      </c>
      <c r="G22" s="403"/>
      <c r="H22" s="324"/>
      <c r="I22" s="325">
        <v>1.05</v>
      </c>
      <c r="J22" s="324"/>
      <c r="K22" s="324"/>
      <c r="L22" s="324"/>
      <c r="M22" s="324"/>
      <c r="N22" s="331" t="s">
        <v>4496</v>
      </c>
      <c r="O22" s="312"/>
      <c r="P22" s="223"/>
      <c r="Q22" s="223"/>
      <c r="R22" s="223"/>
      <c r="S22" s="223"/>
      <c r="T22" s="223"/>
      <c r="U22" s="223"/>
    </row>
    <row r="23" spans="1:21" x14ac:dyDescent="0.25">
      <c r="F23" s="224" t="str">
        <f>+'CP. Auxiliar'!A31</f>
        <v>CA0008</v>
      </c>
      <c r="G23" s="400"/>
      <c r="I23" s="320">
        <f>100/1000</f>
        <v>0.1</v>
      </c>
      <c r="N23" t="str">
        <f>+'CP. Auxiliar'!B31</f>
        <v>CUADRILLA ACERO 2 Turno por dia</v>
      </c>
    </row>
    <row r="24" spans="1:21" x14ac:dyDescent="0.25">
      <c r="F24" s="224" t="s">
        <v>4460</v>
      </c>
      <c r="G24" s="389" t="s">
        <v>6540</v>
      </c>
      <c r="I24">
        <f>(0.29+0.0846+0.0846)/1000</f>
        <v>4.5919999999999999E-4</v>
      </c>
      <c r="J24" s="1">
        <f>+I25-I24</f>
        <v>9.5408000000000003E-3</v>
      </c>
      <c r="N24" t="s">
        <v>4488</v>
      </c>
    </row>
    <row r="25" spans="1:21" x14ac:dyDescent="0.25">
      <c r="A25" s="333"/>
      <c r="B25" s="333"/>
      <c r="C25" s="333"/>
      <c r="D25" s="333"/>
      <c r="E25" s="333"/>
      <c r="F25" s="224" t="s">
        <v>4460</v>
      </c>
      <c r="G25" s="389" t="s">
        <v>6334</v>
      </c>
      <c r="H25" s="375"/>
      <c r="I25" s="319">
        <f>I23/10</f>
        <v>0.01</v>
      </c>
      <c r="J25" s="375"/>
      <c r="K25" s="375"/>
      <c r="L25" s="375"/>
      <c r="M25" s="333"/>
      <c r="N25" s="333" t="s">
        <v>4511</v>
      </c>
      <c r="O25" s="335"/>
      <c r="P25" s="333"/>
      <c r="Q25" s="333"/>
      <c r="R25" s="333"/>
      <c r="S25" s="333"/>
      <c r="T25" s="333"/>
      <c r="U25" s="333"/>
    </row>
    <row r="26" spans="1:21" x14ac:dyDescent="0.25">
      <c r="F26" s="224" t="s">
        <v>4460</v>
      </c>
      <c r="G26" s="389" t="s">
        <v>6483</v>
      </c>
      <c r="I26">
        <f>(0.17/1000)</f>
        <v>1.7000000000000001E-4</v>
      </c>
      <c r="J26" s="322">
        <f>+I27-I26</f>
        <v>4.8300000000000001E-3</v>
      </c>
      <c r="N26" t="s">
        <v>4493</v>
      </c>
    </row>
    <row r="27" spans="1:21" x14ac:dyDescent="0.25">
      <c r="F27" s="224" t="s">
        <v>4460</v>
      </c>
      <c r="G27" s="389" t="s">
        <v>6334</v>
      </c>
      <c r="H27" s="1"/>
      <c r="I27" s="322">
        <f>(I23/10)*0.5</f>
        <v>5.0000000000000001E-3</v>
      </c>
      <c r="J27" s="1"/>
      <c r="K27" s="1"/>
      <c r="L27" s="1"/>
      <c r="N27" t="s">
        <v>4511</v>
      </c>
      <c r="O27" s="307" t="s">
        <v>4510</v>
      </c>
    </row>
    <row r="28" spans="1:21" x14ac:dyDescent="0.25">
      <c r="F28" s="224" t="s">
        <v>4460</v>
      </c>
      <c r="G28" s="389" t="s">
        <v>6442</v>
      </c>
      <c r="I28">
        <f>(0.31/1000)</f>
        <v>3.1E-4</v>
      </c>
      <c r="J28">
        <f>(I23/10)-I28</f>
        <v>9.6900000000000007E-3</v>
      </c>
      <c r="N28" t="s">
        <v>4494</v>
      </c>
    </row>
    <row r="29" spans="1:21" x14ac:dyDescent="0.25">
      <c r="F29" s="224" t="str">
        <f>+'CP. Auxiliar'!A73</f>
        <v>CA0051</v>
      </c>
      <c r="G29" s="389" t="s">
        <v>6428</v>
      </c>
      <c r="I29" s="363">
        <v>1.5E-5</v>
      </c>
      <c r="J29" s="363">
        <f>+I29</f>
        <v>1.5E-5</v>
      </c>
      <c r="M29" t="s">
        <v>4615</v>
      </c>
      <c r="N29" s="294" t="s">
        <v>4480</v>
      </c>
    </row>
    <row r="30" spans="1:21" x14ac:dyDescent="0.25">
      <c r="A30" s="223" t="s">
        <v>4498</v>
      </c>
      <c r="B30" s="223" t="s">
        <v>4502</v>
      </c>
      <c r="C30" s="223" t="s">
        <v>1341</v>
      </c>
      <c r="D30" s="223"/>
      <c r="E30" s="223"/>
      <c r="F30" s="302" t="s">
        <v>4460</v>
      </c>
      <c r="G30" s="403"/>
      <c r="H30" s="324"/>
      <c r="I30" s="325">
        <v>1.05</v>
      </c>
      <c r="J30" s="324"/>
      <c r="K30" s="324"/>
      <c r="L30" s="324"/>
      <c r="M30" s="324"/>
      <c r="N30" s="327" t="s">
        <v>4508</v>
      </c>
      <c r="O30" s="312"/>
      <c r="P30" s="223"/>
      <c r="Q30" s="223"/>
      <c r="R30" s="223"/>
      <c r="S30" s="223"/>
      <c r="T30" s="223"/>
      <c r="U30" s="223"/>
    </row>
    <row r="31" spans="1:21" x14ac:dyDescent="0.25">
      <c r="A31" s="333"/>
      <c r="B31" s="333"/>
      <c r="C31" s="333"/>
      <c r="D31" s="333"/>
      <c r="E31" s="333"/>
      <c r="F31" s="224" t="str">
        <f>+'CP. Auxiliar'!A39</f>
        <v>CA0010</v>
      </c>
      <c r="G31" s="400"/>
      <c r="H31" s="333"/>
      <c r="I31" s="318">
        <f>100/1000</f>
        <v>0.1</v>
      </c>
      <c r="J31" s="333"/>
      <c r="K31" s="333"/>
      <c r="L31" s="333"/>
      <c r="M31" s="333"/>
      <c r="N31" s="333" t="str">
        <f>+'CP. Auxiliar'!B39</f>
        <v>CUADRILLA VARIOS 2 Turno por dia</v>
      </c>
      <c r="O31" s="335"/>
      <c r="P31" s="333"/>
      <c r="Q31" s="333"/>
      <c r="R31" s="333"/>
      <c r="S31" s="333"/>
      <c r="T31" s="333"/>
      <c r="U31" s="333"/>
    </row>
    <row r="32" spans="1:21" x14ac:dyDescent="0.25">
      <c r="F32" s="224" t="s">
        <v>4460</v>
      </c>
      <c r="G32" s="389" t="s">
        <v>6540</v>
      </c>
      <c r="I32">
        <f>(0.29+0.0846+0.0846)/1000</f>
        <v>4.5919999999999999E-4</v>
      </c>
      <c r="J32" s="322">
        <f>+I33-I32</f>
        <v>9.5408000000000003E-3</v>
      </c>
      <c r="N32" t="s">
        <v>4488</v>
      </c>
    </row>
    <row r="33" spans="1:21" x14ac:dyDescent="0.25">
      <c r="F33" s="224" t="s">
        <v>4460</v>
      </c>
      <c r="G33" s="389" t="s">
        <v>6334</v>
      </c>
      <c r="H33" s="1"/>
      <c r="I33" s="322">
        <f>I31/10</f>
        <v>0.01</v>
      </c>
      <c r="J33" s="1"/>
      <c r="K33" s="1"/>
      <c r="L33" s="1"/>
      <c r="N33" t="s">
        <v>4511</v>
      </c>
    </row>
    <row r="34" spans="1:21" x14ac:dyDescent="0.25">
      <c r="F34" s="224" t="s">
        <v>4460</v>
      </c>
      <c r="G34" s="389" t="s">
        <v>6483</v>
      </c>
      <c r="I34">
        <f>(0.17/1000)</f>
        <v>1.7000000000000001E-4</v>
      </c>
      <c r="J34" s="322">
        <f>+I35-I34</f>
        <v>4.8300000000000001E-3</v>
      </c>
      <c r="N34" t="s">
        <v>4493</v>
      </c>
    </row>
    <row r="35" spans="1:21" x14ac:dyDescent="0.25">
      <c r="F35" s="224" t="s">
        <v>4460</v>
      </c>
      <c r="G35" s="389" t="s">
        <v>6334</v>
      </c>
      <c r="H35" s="1"/>
      <c r="I35" s="322">
        <f>(I31/10)*0.5</f>
        <v>5.0000000000000001E-3</v>
      </c>
      <c r="J35" s="1"/>
      <c r="K35" s="1"/>
      <c r="L35" s="1"/>
      <c r="N35" t="s">
        <v>4511</v>
      </c>
      <c r="O35" s="307" t="s">
        <v>4510</v>
      </c>
    </row>
    <row r="36" spans="1:21" x14ac:dyDescent="0.25">
      <c r="A36" s="333"/>
      <c r="B36" s="333"/>
      <c r="C36" s="333"/>
      <c r="D36" s="333"/>
      <c r="E36" s="333"/>
      <c r="F36" s="224" t="s">
        <v>4460</v>
      </c>
      <c r="G36" s="389" t="s">
        <v>6442</v>
      </c>
      <c r="H36" s="333"/>
      <c r="I36" s="333">
        <f>(0.31/1000)</f>
        <v>3.1E-4</v>
      </c>
      <c r="J36" s="333">
        <f>(I31/10)-I36</f>
        <v>9.6900000000000007E-3</v>
      </c>
      <c r="K36" s="333"/>
      <c r="L36" s="333"/>
      <c r="M36" s="333"/>
      <c r="N36" s="333" t="s">
        <v>4494</v>
      </c>
      <c r="O36" s="335"/>
      <c r="P36" s="333"/>
      <c r="Q36" s="333"/>
      <c r="R36" s="333"/>
      <c r="S36" s="333"/>
      <c r="T36" s="333"/>
      <c r="U36" s="333"/>
    </row>
    <row r="37" spans="1:21" x14ac:dyDescent="0.25">
      <c r="F37" s="224" t="str">
        <f>+'CP. Auxiliar'!A73</f>
        <v>CA0051</v>
      </c>
      <c r="G37" s="389" t="s">
        <v>6428</v>
      </c>
      <c r="I37" s="363">
        <v>1.5E-5</v>
      </c>
      <c r="J37" s="363">
        <f>+I37</f>
        <v>1.5E-5</v>
      </c>
      <c r="M37" t="s">
        <v>4615</v>
      </c>
      <c r="N37" s="294" t="s">
        <v>4480</v>
      </c>
    </row>
    <row r="38" spans="1:21" x14ac:dyDescent="0.25">
      <c r="A38" s="223" t="s">
        <v>4503</v>
      </c>
      <c r="B38" s="223" t="s">
        <v>4504</v>
      </c>
      <c r="C38" s="223" t="s">
        <v>1341</v>
      </c>
      <c r="D38" s="223"/>
      <c r="E38" s="223"/>
      <c r="F38" s="302" t="s">
        <v>4460</v>
      </c>
      <c r="G38" s="403"/>
      <c r="H38" s="324"/>
      <c r="I38" s="325">
        <v>1.05</v>
      </c>
      <c r="J38" s="324"/>
      <c r="K38" s="324"/>
      <c r="L38" s="324"/>
      <c r="M38" s="324"/>
      <c r="N38" s="327" t="s">
        <v>4508</v>
      </c>
      <c r="O38" s="312"/>
      <c r="P38" s="223"/>
      <c r="Q38" s="223"/>
      <c r="R38" s="223"/>
      <c r="S38" s="223"/>
      <c r="T38" s="223"/>
      <c r="U38" s="223"/>
    </row>
    <row r="39" spans="1:21" x14ac:dyDescent="0.25">
      <c r="F39" s="224" t="str">
        <f>+'CP. Auxiliar'!A31</f>
        <v>CA0008</v>
      </c>
      <c r="G39" s="400"/>
      <c r="I39" s="320">
        <f>100/1000</f>
        <v>0.1</v>
      </c>
      <c r="N39" t="str">
        <f>+'CP. Auxiliar'!B31</f>
        <v>CUADRILLA ACERO 2 Turno por dia</v>
      </c>
    </row>
    <row r="40" spans="1:21" x14ac:dyDescent="0.25">
      <c r="F40" s="224" t="s">
        <v>4460</v>
      </c>
      <c r="G40" s="389" t="s">
        <v>6540</v>
      </c>
      <c r="I40">
        <f>(0.29+0.0846+0.0846)/1000</f>
        <v>4.5919999999999999E-4</v>
      </c>
      <c r="J40" s="322">
        <f>+I41-I40</f>
        <v>9.5408000000000003E-3</v>
      </c>
      <c r="N40" t="s">
        <v>4488</v>
      </c>
    </row>
    <row r="41" spans="1:21" x14ac:dyDescent="0.25">
      <c r="F41" s="224" t="s">
        <v>4460</v>
      </c>
      <c r="G41" s="389" t="s">
        <v>6334</v>
      </c>
      <c r="H41" s="1"/>
      <c r="I41" s="322">
        <f>I39/10</f>
        <v>0.01</v>
      </c>
      <c r="J41" s="1"/>
      <c r="K41" s="1"/>
      <c r="L41" s="1"/>
      <c r="N41" t="s">
        <v>4511</v>
      </c>
    </row>
    <row r="42" spans="1:21" x14ac:dyDescent="0.25">
      <c r="F42" s="224" t="s">
        <v>4460</v>
      </c>
      <c r="G42" s="389" t="s">
        <v>6483</v>
      </c>
      <c r="I42">
        <f>(0.17/1000)</f>
        <v>1.7000000000000001E-4</v>
      </c>
      <c r="J42" s="322">
        <f>+I43-I42</f>
        <v>4.8300000000000001E-3</v>
      </c>
      <c r="N42" t="s">
        <v>4493</v>
      </c>
      <c r="O42" s="307" t="s">
        <v>4510</v>
      </c>
    </row>
    <row r="43" spans="1:21" x14ac:dyDescent="0.25">
      <c r="F43" s="224" t="s">
        <v>4460</v>
      </c>
      <c r="G43" s="389" t="s">
        <v>245</v>
      </c>
      <c r="H43" s="1"/>
      <c r="I43" s="322">
        <f>(I39/10)*0.5</f>
        <v>5.0000000000000001E-3</v>
      </c>
      <c r="J43" s="1"/>
      <c r="K43" s="1"/>
      <c r="L43" s="1"/>
      <c r="N43" t="s">
        <v>934</v>
      </c>
    </row>
    <row r="44" spans="1:21" x14ac:dyDescent="0.25">
      <c r="F44" s="224" t="s">
        <v>4460</v>
      </c>
      <c r="G44" s="389" t="s">
        <v>6442</v>
      </c>
      <c r="I44">
        <f>(0.31/1000)</f>
        <v>3.1E-4</v>
      </c>
      <c r="J44">
        <f>(I39/10)-I44</f>
        <v>9.6900000000000007E-3</v>
      </c>
      <c r="N44" t="s">
        <v>4494</v>
      </c>
    </row>
    <row r="45" spans="1:21" x14ac:dyDescent="0.25">
      <c r="F45" s="224" t="str">
        <f>+'CP. Auxiliar'!A73</f>
        <v>CA0051</v>
      </c>
      <c r="G45" s="389" t="s">
        <v>6428</v>
      </c>
      <c r="I45" s="363">
        <v>1.5E-5</v>
      </c>
      <c r="J45" s="363">
        <f>+I45</f>
        <v>1.5E-5</v>
      </c>
      <c r="M45" t="s">
        <v>4615</v>
      </c>
      <c r="N45" s="294" t="s">
        <v>4480</v>
      </c>
    </row>
    <row r="46" spans="1:21" x14ac:dyDescent="0.25">
      <c r="A46" s="223" t="s">
        <v>4505</v>
      </c>
      <c r="B46" s="223" t="s">
        <v>4506</v>
      </c>
      <c r="C46" s="223" t="s">
        <v>1341</v>
      </c>
      <c r="D46" s="223"/>
      <c r="E46" s="223"/>
      <c r="F46" s="302" t="s">
        <v>4460</v>
      </c>
      <c r="G46" s="403"/>
      <c r="H46" s="324"/>
      <c r="I46" s="325">
        <v>1.05</v>
      </c>
      <c r="J46" s="324"/>
      <c r="K46" s="324"/>
      <c r="L46" s="324"/>
      <c r="M46" s="324"/>
      <c r="N46" s="326" t="s">
        <v>4509</v>
      </c>
      <c r="O46" s="312"/>
      <c r="P46" s="223"/>
      <c r="Q46" s="223"/>
      <c r="R46" s="223"/>
      <c r="S46" s="223"/>
      <c r="T46" s="223"/>
      <c r="U46" s="223"/>
    </row>
    <row r="47" spans="1:21" x14ac:dyDescent="0.25">
      <c r="F47" s="224" t="str">
        <f>+'CP. Auxiliar'!A31</f>
        <v>CA0008</v>
      </c>
      <c r="G47" s="400"/>
      <c r="I47" s="320">
        <f>100/1000</f>
        <v>0.1</v>
      </c>
      <c r="N47" t="str">
        <f>+'CP. Auxiliar'!B31</f>
        <v>CUADRILLA ACERO 2 Turno por dia</v>
      </c>
    </row>
    <row r="48" spans="1:21" x14ac:dyDescent="0.25">
      <c r="F48" s="224" t="s">
        <v>4460</v>
      </c>
      <c r="G48" s="389" t="s">
        <v>6540</v>
      </c>
      <c r="I48">
        <f>(0.29+0.0846+0.0846)/1000</f>
        <v>4.5919999999999999E-4</v>
      </c>
      <c r="J48" s="322">
        <f>+I49-I48</f>
        <v>9.5408000000000003E-3</v>
      </c>
      <c r="N48" t="s">
        <v>4488</v>
      </c>
    </row>
    <row r="49" spans="1:21" x14ac:dyDescent="0.25">
      <c r="F49" s="224" t="s">
        <v>4460</v>
      </c>
      <c r="G49" s="389" t="s">
        <v>6334</v>
      </c>
      <c r="H49" s="1"/>
      <c r="I49" s="322">
        <f>I47/10</f>
        <v>0.01</v>
      </c>
      <c r="J49" s="1"/>
      <c r="K49" s="1"/>
      <c r="L49" s="1"/>
      <c r="N49" t="s">
        <v>4511</v>
      </c>
    </row>
    <row r="50" spans="1:21" x14ac:dyDescent="0.25">
      <c r="A50" s="333"/>
      <c r="B50" s="333"/>
      <c r="C50" s="333"/>
      <c r="D50" s="333"/>
      <c r="E50" s="333"/>
      <c r="F50" s="224" t="s">
        <v>4460</v>
      </c>
      <c r="G50" s="389" t="s">
        <v>6483</v>
      </c>
      <c r="H50" s="333"/>
      <c r="I50" s="333">
        <f>(0.17/1000)</f>
        <v>1.7000000000000001E-4</v>
      </c>
      <c r="J50" s="319">
        <f>+I51-I50</f>
        <v>4.8300000000000001E-3</v>
      </c>
      <c r="K50" s="333"/>
      <c r="L50" s="333"/>
      <c r="M50" s="333"/>
      <c r="N50" s="333" t="s">
        <v>4493</v>
      </c>
      <c r="O50" s="335"/>
      <c r="P50" s="333"/>
      <c r="Q50" s="333"/>
      <c r="R50" s="333"/>
      <c r="S50" s="333"/>
      <c r="T50" s="333"/>
      <c r="U50" s="333"/>
    </row>
    <row r="51" spans="1:21" x14ac:dyDescent="0.25">
      <c r="F51" s="224" t="s">
        <v>4460</v>
      </c>
      <c r="G51" s="389" t="s">
        <v>6334</v>
      </c>
      <c r="H51" s="1"/>
      <c r="I51" s="322">
        <f>(I47/10)*0.5</f>
        <v>5.0000000000000001E-3</v>
      </c>
      <c r="J51" s="1"/>
      <c r="K51" s="1"/>
      <c r="L51" s="1"/>
      <c r="N51" t="s">
        <v>4511</v>
      </c>
      <c r="O51" s="307" t="s">
        <v>4510</v>
      </c>
    </row>
    <row r="52" spans="1:21" x14ac:dyDescent="0.25">
      <c r="F52" s="224" t="s">
        <v>4460</v>
      </c>
      <c r="G52" s="389" t="s">
        <v>6442</v>
      </c>
      <c r="I52">
        <f>(0.31/1000)</f>
        <v>3.1E-4</v>
      </c>
      <c r="J52">
        <f>(I47/10)-I52</f>
        <v>9.6900000000000007E-3</v>
      </c>
      <c r="N52" t="s">
        <v>4494</v>
      </c>
    </row>
    <row r="53" spans="1:21" x14ac:dyDescent="0.25">
      <c r="F53" s="224" t="str">
        <f>+'CP. Auxiliar'!A73</f>
        <v>CA0051</v>
      </c>
      <c r="G53" s="389" t="s">
        <v>6428</v>
      </c>
      <c r="I53" s="363">
        <v>1.5E-5</v>
      </c>
      <c r="J53" s="363">
        <f>+I53</f>
        <v>1.5E-5</v>
      </c>
      <c r="M53" t="s">
        <v>4615</v>
      </c>
      <c r="N53" s="294" t="s">
        <v>4480</v>
      </c>
    </row>
    <row r="54" spans="1:21" x14ac:dyDescent="0.25">
      <c r="A54" s="223" t="s">
        <v>4512</v>
      </c>
      <c r="B54" s="223" t="s">
        <v>4513</v>
      </c>
      <c r="C54" s="223" t="s">
        <v>4514</v>
      </c>
      <c r="D54" s="223"/>
      <c r="E54" s="223"/>
      <c r="F54" s="332" t="s">
        <v>4546</v>
      </c>
      <c r="G54" s="401"/>
      <c r="H54" s="223"/>
      <c r="I54" s="223">
        <v>1.05</v>
      </c>
      <c r="J54" s="223"/>
      <c r="K54" s="223"/>
      <c r="L54" s="223"/>
      <c r="M54" s="223"/>
      <c r="N54" s="223" t="s">
        <v>4516</v>
      </c>
      <c r="O54" s="312" t="s">
        <v>4515</v>
      </c>
      <c r="P54" s="223"/>
      <c r="Q54" s="223"/>
      <c r="R54" s="223"/>
      <c r="S54" s="223"/>
      <c r="T54" s="223"/>
      <c r="U54" s="223"/>
    </row>
    <row r="55" spans="1:21" x14ac:dyDescent="0.25">
      <c r="A55" s="333"/>
      <c r="B55" s="333"/>
      <c r="C55" s="333"/>
      <c r="D55" s="333"/>
      <c r="E55" s="333"/>
      <c r="F55" s="334" t="s">
        <v>4547</v>
      </c>
      <c r="G55" s="389" t="s">
        <v>6512</v>
      </c>
      <c r="H55" s="333"/>
      <c r="I55" s="333">
        <v>1.05</v>
      </c>
      <c r="J55" s="333"/>
      <c r="K55" s="333"/>
      <c r="L55" s="333"/>
      <c r="M55" s="333"/>
      <c r="N55" s="333" t="s">
        <v>4548</v>
      </c>
      <c r="O55" s="335"/>
      <c r="P55" s="333"/>
      <c r="Q55" s="333"/>
      <c r="R55" s="333"/>
      <c r="S55" s="333"/>
      <c r="T55" s="333"/>
      <c r="U55" s="333"/>
    </row>
    <row r="56" spans="1:21" x14ac:dyDescent="0.25">
      <c r="F56" s="224" t="str">
        <f>+'CP. Auxiliar'!A15</f>
        <v>CA0004</v>
      </c>
      <c r="G56" s="400"/>
      <c r="I56">
        <v>2.1</v>
      </c>
      <c r="N56" t="str">
        <f>+'CP. Auxiliar'!B15</f>
        <v>CUADRILLA CONCRETO 2 Turno por dia</v>
      </c>
    </row>
    <row r="57" spans="1:21" x14ac:dyDescent="0.25">
      <c r="E57" s="389" t="s">
        <v>121</v>
      </c>
      <c r="F57" s="224" t="s">
        <v>4555</v>
      </c>
      <c r="G57" s="389" t="s">
        <v>6494</v>
      </c>
      <c r="I57">
        <v>0.15</v>
      </c>
      <c r="J57">
        <f>(I57/0.8)-I57</f>
        <v>3.7499999999999978E-2</v>
      </c>
      <c r="N57" t="s">
        <v>4554</v>
      </c>
    </row>
    <row r="58" spans="1:21" x14ac:dyDescent="0.25">
      <c r="F58" s="224" t="s">
        <v>4460</v>
      </c>
      <c r="G58" s="389" t="s">
        <v>6334</v>
      </c>
      <c r="I58">
        <f>+I57+J57</f>
        <v>0.18749999999999997</v>
      </c>
      <c r="N58" t="s">
        <v>4511</v>
      </c>
    </row>
    <row r="59" spans="1:21" x14ac:dyDescent="0.25">
      <c r="F59" s="224" t="s">
        <v>4460</v>
      </c>
      <c r="G59" s="389" t="s">
        <v>80</v>
      </c>
      <c r="I59">
        <v>0.126</v>
      </c>
      <c r="J59">
        <f>((I56/10))*3-I59</f>
        <v>0.50400000000000011</v>
      </c>
      <c r="N59" t="s">
        <v>4517</v>
      </c>
    </row>
    <row r="60" spans="1:21" x14ac:dyDescent="0.25">
      <c r="F60" s="224" t="s">
        <v>4460</v>
      </c>
      <c r="G60" s="389" t="s">
        <v>62</v>
      </c>
      <c r="I60">
        <f>+I59/3</f>
        <v>4.2000000000000003E-2</v>
      </c>
      <c r="J60">
        <f>(I56/10)-I60</f>
        <v>0.16800000000000001</v>
      </c>
      <c r="N60" t="s">
        <v>4518</v>
      </c>
    </row>
    <row r="61" spans="1:21" x14ac:dyDescent="0.25">
      <c r="F61" s="224" t="str">
        <f>+'CP. Auxiliar'!A77</f>
        <v>CA0052</v>
      </c>
      <c r="G61" s="389" t="s">
        <v>4965</v>
      </c>
      <c r="I61">
        <v>0.4</v>
      </c>
      <c r="N61" t="str">
        <f>+'CP. Auxiliar'!B77</f>
        <v>AQUA</v>
      </c>
    </row>
    <row r="62" spans="1:21" x14ac:dyDescent="0.25">
      <c r="F62" s="224" t="s">
        <v>4460</v>
      </c>
      <c r="G62" s="400" t="s">
        <v>111</v>
      </c>
      <c r="I62">
        <v>3.3000000000000002E-2</v>
      </c>
      <c r="J62">
        <f>((I56/10)*0.5)-I62</f>
        <v>7.2000000000000008E-2</v>
      </c>
      <c r="N62" t="s">
        <v>4519</v>
      </c>
      <c r="O62" s="307" t="s">
        <v>4510</v>
      </c>
    </row>
    <row r="63" spans="1:21" x14ac:dyDescent="0.25">
      <c r="A63" s="333"/>
      <c r="B63" s="333"/>
      <c r="C63" s="333"/>
      <c r="D63" s="333"/>
      <c r="E63" s="333"/>
      <c r="F63" s="224" t="s">
        <v>4460</v>
      </c>
      <c r="G63" s="389" t="s">
        <v>6334</v>
      </c>
      <c r="H63" s="333"/>
      <c r="I63" s="333">
        <f>+I62+J62</f>
        <v>0.10500000000000001</v>
      </c>
      <c r="J63" s="333"/>
      <c r="K63" s="333"/>
      <c r="L63" s="333"/>
      <c r="M63" s="333"/>
      <c r="N63" s="333" t="s">
        <v>4511</v>
      </c>
      <c r="O63" s="335"/>
      <c r="P63" s="333"/>
      <c r="Q63" s="333"/>
      <c r="R63" s="333"/>
      <c r="S63" s="333"/>
      <c r="T63" s="333"/>
      <c r="U63" s="333"/>
    </row>
    <row r="64" spans="1:21" x14ac:dyDescent="0.25">
      <c r="F64" s="224" t="s">
        <v>4460</v>
      </c>
      <c r="G64" s="389" t="s">
        <v>62</v>
      </c>
      <c r="I64">
        <v>1.67E-2</v>
      </c>
      <c r="J64">
        <f>(I56/10)-I64</f>
        <v>0.19330000000000003</v>
      </c>
      <c r="N64" t="s">
        <v>4518</v>
      </c>
    </row>
    <row r="65" spans="1:21" x14ac:dyDescent="0.25">
      <c r="F65" s="224" t="str">
        <f>+'CP. Auxiliar'!A73</f>
        <v>CA0051</v>
      </c>
      <c r="G65" s="389" t="s">
        <v>6428</v>
      </c>
      <c r="I65" s="1">
        <v>4.7000000000000002E-3</v>
      </c>
      <c r="J65" s="1">
        <f>+I65</f>
        <v>4.7000000000000002E-3</v>
      </c>
      <c r="M65" t="s">
        <v>4615</v>
      </c>
      <c r="N65" s="294" t="s">
        <v>4480</v>
      </c>
    </row>
    <row r="66" spans="1:21" x14ac:dyDescent="0.25">
      <c r="A66" s="223" t="s">
        <v>4520</v>
      </c>
      <c r="B66" s="223" t="s">
        <v>4521</v>
      </c>
      <c r="C66" s="223" t="s">
        <v>4514</v>
      </c>
      <c r="D66" s="223"/>
      <c r="E66" s="223"/>
      <c r="F66" s="301" t="s">
        <v>4549</v>
      </c>
      <c r="G66" s="401"/>
      <c r="H66" s="223"/>
      <c r="I66" s="223">
        <v>1.08</v>
      </c>
      <c r="J66" s="223"/>
      <c r="K66" s="223"/>
      <c r="L66" s="223"/>
      <c r="M66" s="223"/>
      <c r="N66" s="223" t="s">
        <v>4522</v>
      </c>
      <c r="O66" s="312"/>
      <c r="P66" s="223"/>
      <c r="Q66" s="223"/>
      <c r="R66" s="223"/>
      <c r="S66" s="223"/>
      <c r="T66" s="223"/>
      <c r="U66" s="223"/>
    </row>
    <row r="67" spans="1:21" x14ac:dyDescent="0.25">
      <c r="A67" s="333"/>
      <c r="B67" s="333"/>
      <c r="C67" s="333"/>
      <c r="D67" s="333"/>
      <c r="E67" s="333"/>
      <c r="F67" s="334" t="s">
        <v>4547</v>
      </c>
      <c r="G67" s="389" t="s">
        <v>6512</v>
      </c>
      <c r="H67" s="333"/>
      <c r="I67" s="224">
        <v>1.08</v>
      </c>
      <c r="J67" s="333"/>
      <c r="K67" s="333"/>
      <c r="L67" s="333"/>
      <c r="M67" s="333"/>
      <c r="N67" s="333" t="s">
        <v>4548</v>
      </c>
      <c r="O67" s="335"/>
      <c r="P67" s="333"/>
      <c r="Q67" s="333"/>
      <c r="R67" s="333"/>
      <c r="S67" s="333"/>
      <c r="T67" s="333"/>
      <c r="U67" s="333"/>
    </row>
    <row r="68" spans="1:21" x14ac:dyDescent="0.25">
      <c r="F68" s="224" t="str">
        <f>+'CP. Auxiliar'!A15</f>
        <v>CA0004</v>
      </c>
      <c r="G68" s="400"/>
      <c r="I68" s="224">
        <v>0.9</v>
      </c>
      <c r="N68" t="str">
        <f>+'CP. Auxiliar'!B15</f>
        <v>CUADRILLA CONCRETO 2 Turno por dia</v>
      </c>
    </row>
    <row r="69" spans="1:21" x14ac:dyDescent="0.25">
      <c r="E69" s="389" t="s">
        <v>121</v>
      </c>
      <c r="F69" s="224" t="s">
        <v>4460</v>
      </c>
      <c r="G69" s="389" t="s">
        <v>6494</v>
      </c>
      <c r="I69">
        <v>0.15</v>
      </c>
      <c r="J69">
        <f>(I69/0.8)-I69</f>
        <v>3.7499999999999978E-2</v>
      </c>
      <c r="N69" t="s">
        <v>4554</v>
      </c>
    </row>
    <row r="70" spans="1:21" x14ac:dyDescent="0.25">
      <c r="F70" s="224" t="s">
        <v>4460</v>
      </c>
      <c r="G70" s="389" t="s">
        <v>6334</v>
      </c>
      <c r="I70">
        <f>+I69+J69</f>
        <v>0.18749999999999997</v>
      </c>
      <c r="N70" t="s">
        <v>4511</v>
      </c>
    </row>
    <row r="71" spans="1:21" x14ac:dyDescent="0.25">
      <c r="F71" s="224" t="s">
        <v>4460</v>
      </c>
      <c r="G71" s="389" t="s">
        <v>80</v>
      </c>
      <c r="I71" s="224">
        <v>5.3999999999999999E-2</v>
      </c>
      <c r="J71">
        <f>((I68/10)*3)-I71</f>
        <v>0.21600000000000003</v>
      </c>
      <c r="N71" t="s">
        <v>4517</v>
      </c>
    </row>
    <row r="72" spans="1:21" x14ac:dyDescent="0.25">
      <c r="F72" s="224" t="s">
        <v>4460</v>
      </c>
      <c r="G72" s="389" t="s">
        <v>62</v>
      </c>
      <c r="I72">
        <f>+I71/3</f>
        <v>1.7999999999999999E-2</v>
      </c>
      <c r="J72">
        <f>(I68/10)-I72</f>
        <v>7.1999999999999995E-2</v>
      </c>
      <c r="N72" t="s">
        <v>4518</v>
      </c>
    </row>
    <row r="73" spans="1:21" x14ac:dyDescent="0.25">
      <c r="F73" s="224" t="str">
        <f>+'CP. Auxiliar'!A77</f>
        <v>CA0052</v>
      </c>
      <c r="G73" s="389" t="s">
        <v>4965</v>
      </c>
      <c r="I73">
        <v>0.1</v>
      </c>
      <c r="N73" t="str">
        <f>+'CP. Auxiliar'!B77</f>
        <v>AQUA</v>
      </c>
    </row>
    <row r="74" spans="1:21" x14ac:dyDescent="0.25">
      <c r="F74" s="224" t="s">
        <v>4460</v>
      </c>
      <c r="G74" s="400" t="s">
        <v>111</v>
      </c>
      <c r="I74">
        <v>8.3000000000000001E-3</v>
      </c>
      <c r="J74">
        <f>((I68/10)*0.5)-I74</f>
        <v>3.6699999999999997E-2</v>
      </c>
      <c r="N74" t="s">
        <v>4519</v>
      </c>
      <c r="O74" s="307" t="s">
        <v>4510</v>
      </c>
    </row>
    <row r="75" spans="1:21" x14ac:dyDescent="0.25">
      <c r="F75" s="224" t="s">
        <v>4460</v>
      </c>
      <c r="G75" s="389" t="s">
        <v>6334</v>
      </c>
      <c r="I75">
        <f>+I74+J74</f>
        <v>4.4999999999999998E-2</v>
      </c>
      <c r="N75" t="s">
        <v>4511</v>
      </c>
    </row>
    <row r="76" spans="1:21" x14ac:dyDescent="0.25">
      <c r="A76" s="333"/>
      <c r="B76" s="333"/>
      <c r="C76" s="333"/>
      <c r="D76" s="333"/>
      <c r="E76" s="333"/>
      <c r="F76" s="224" t="s">
        <v>4460</v>
      </c>
      <c r="G76" s="389" t="s">
        <v>62</v>
      </c>
      <c r="H76" s="333"/>
      <c r="I76" s="333">
        <v>6.3E-3</v>
      </c>
      <c r="J76" s="333">
        <f>(I68/10)-I76</f>
        <v>8.3699999999999997E-2</v>
      </c>
      <c r="K76" s="333"/>
      <c r="L76" s="333"/>
      <c r="M76" s="333"/>
      <c r="N76" s="333" t="s">
        <v>4518</v>
      </c>
      <c r="O76" s="335"/>
      <c r="P76" s="333"/>
      <c r="Q76" s="333"/>
      <c r="R76" s="333"/>
      <c r="S76" s="333"/>
      <c r="T76" s="333"/>
      <c r="U76" s="333"/>
    </row>
    <row r="77" spans="1:21" x14ac:dyDescent="0.25">
      <c r="F77" s="224" t="str">
        <f>+'CP. Auxiliar'!A73</f>
        <v>CA0051</v>
      </c>
      <c r="G77" s="389" t="s">
        <v>6428</v>
      </c>
      <c r="I77" s="1">
        <v>4.7000000000000002E-3</v>
      </c>
      <c r="J77" s="1">
        <f>+I77</f>
        <v>4.7000000000000002E-3</v>
      </c>
      <c r="M77" t="s">
        <v>4615</v>
      </c>
      <c r="N77" s="294" t="s">
        <v>4480</v>
      </c>
    </row>
    <row r="78" spans="1:21" x14ac:dyDescent="0.25">
      <c r="A78" s="223" t="s">
        <v>4523</v>
      </c>
      <c r="B78" s="223" t="s">
        <v>4524</v>
      </c>
      <c r="C78" s="223" t="s">
        <v>4514</v>
      </c>
      <c r="D78" s="223"/>
      <c r="E78" s="223"/>
      <c r="F78" s="301" t="s">
        <v>4550</v>
      </c>
      <c r="G78" s="401"/>
      <c r="H78" s="223"/>
      <c r="I78" s="223">
        <v>1.05</v>
      </c>
      <c r="J78" s="223"/>
      <c r="K78" s="223"/>
      <c r="L78" s="223"/>
      <c r="M78" s="223"/>
      <c r="N78" s="223" t="s">
        <v>4525</v>
      </c>
      <c r="O78" s="312"/>
      <c r="P78" s="223"/>
      <c r="Q78" s="223"/>
      <c r="R78" s="223"/>
      <c r="S78" s="223"/>
      <c r="T78" s="223"/>
      <c r="U78" s="223"/>
    </row>
    <row r="79" spans="1:21" x14ac:dyDescent="0.25">
      <c r="A79" s="333"/>
      <c r="B79" s="333"/>
      <c r="C79" s="333"/>
      <c r="D79" s="333"/>
      <c r="E79" s="333"/>
      <c r="F79" s="334" t="s">
        <v>4547</v>
      </c>
      <c r="G79" s="389" t="s">
        <v>6512</v>
      </c>
      <c r="H79" s="333"/>
      <c r="I79" s="224">
        <v>1.05</v>
      </c>
      <c r="J79" s="333"/>
      <c r="K79" s="333"/>
      <c r="L79" s="333"/>
      <c r="M79" s="333"/>
      <c r="N79" s="333" t="s">
        <v>4548</v>
      </c>
      <c r="O79" s="335"/>
      <c r="P79" s="333"/>
      <c r="Q79" s="333"/>
      <c r="R79" s="333"/>
      <c r="S79" s="333"/>
      <c r="T79" s="333"/>
      <c r="U79" s="333"/>
    </row>
    <row r="80" spans="1:21" x14ac:dyDescent="0.25">
      <c r="A80" s="333"/>
      <c r="B80" s="333"/>
      <c r="C80" s="333"/>
      <c r="D80" s="333"/>
      <c r="E80" s="333"/>
      <c r="F80" s="224" t="str">
        <f>+'CP. Auxiliar'!A15</f>
        <v>CA0004</v>
      </c>
      <c r="G80" s="400"/>
      <c r="H80" s="333"/>
      <c r="I80" s="224">
        <v>2.25</v>
      </c>
      <c r="J80" s="333"/>
      <c r="K80" s="333"/>
      <c r="L80" s="333"/>
      <c r="M80" s="333"/>
      <c r="N80" s="333" t="str">
        <f>+'CP. Auxiliar'!B15</f>
        <v>CUADRILLA CONCRETO 2 Turno por dia</v>
      </c>
      <c r="O80" s="335"/>
      <c r="P80" s="333"/>
      <c r="Q80" s="333"/>
      <c r="R80" s="333"/>
      <c r="S80" s="333"/>
      <c r="T80" s="333"/>
      <c r="U80" s="333"/>
    </row>
    <row r="81" spans="1:21" x14ac:dyDescent="0.25">
      <c r="E81" s="389" t="s">
        <v>121</v>
      </c>
      <c r="F81" s="224" t="s">
        <v>4460</v>
      </c>
      <c r="G81" s="389" t="s">
        <v>6494</v>
      </c>
      <c r="I81">
        <v>0.15</v>
      </c>
      <c r="J81">
        <f>(I81/0.8)-I81</f>
        <v>3.7499999999999978E-2</v>
      </c>
      <c r="N81" t="s">
        <v>4554</v>
      </c>
    </row>
    <row r="82" spans="1:21" x14ac:dyDescent="0.25">
      <c r="F82" s="224" t="s">
        <v>4460</v>
      </c>
      <c r="G82" s="389" t="s">
        <v>6334</v>
      </c>
      <c r="I82">
        <f>+I81+J81</f>
        <v>0.18749999999999997</v>
      </c>
      <c r="N82" t="s">
        <v>4511</v>
      </c>
    </row>
    <row r="83" spans="1:21" x14ac:dyDescent="0.25">
      <c r="A83" s="333"/>
      <c r="B83" s="333"/>
      <c r="C83" s="333"/>
      <c r="D83" s="333"/>
      <c r="E83" s="333"/>
      <c r="F83" s="224" t="s">
        <v>4460</v>
      </c>
      <c r="G83" s="389" t="s">
        <v>80</v>
      </c>
      <c r="H83" s="333"/>
      <c r="I83" s="224">
        <v>0.13500000000000001</v>
      </c>
      <c r="J83" s="333">
        <f>((I80/10)*3)-I83</f>
        <v>0.54</v>
      </c>
      <c r="K83" s="333"/>
      <c r="L83" s="333"/>
      <c r="M83" s="333"/>
      <c r="N83" s="333" t="s">
        <v>4517</v>
      </c>
      <c r="O83" s="335"/>
      <c r="P83" s="333"/>
      <c r="Q83" s="333"/>
      <c r="R83" s="333"/>
      <c r="S83" s="333"/>
      <c r="T83" s="333"/>
      <c r="U83" s="333"/>
    </row>
    <row r="84" spans="1:21" x14ac:dyDescent="0.25">
      <c r="F84" s="224" t="s">
        <v>4460</v>
      </c>
      <c r="G84" s="389" t="s">
        <v>62</v>
      </c>
      <c r="I84">
        <f>+I83/3</f>
        <v>4.5000000000000005E-2</v>
      </c>
      <c r="J84">
        <f>(I80/10)-I84</f>
        <v>0.18</v>
      </c>
      <c r="N84" t="s">
        <v>4518</v>
      </c>
    </row>
    <row r="85" spans="1:21" x14ac:dyDescent="0.25">
      <c r="F85" s="224" t="str">
        <f>+'CP. Auxiliar'!A77</f>
        <v>CA0052</v>
      </c>
      <c r="G85" s="389" t="s">
        <v>4965</v>
      </c>
      <c r="I85">
        <v>0.4</v>
      </c>
      <c r="N85" t="str">
        <f>+'CP. Auxiliar'!B77</f>
        <v>AQUA</v>
      </c>
    </row>
    <row r="86" spans="1:21" x14ac:dyDescent="0.25">
      <c r="F86" s="224" t="s">
        <v>4460</v>
      </c>
      <c r="G86" s="400" t="s">
        <v>111</v>
      </c>
      <c r="I86">
        <v>3.3300000000000003E-2</v>
      </c>
      <c r="J86">
        <f>((I80/10)*0.5)-I86</f>
        <v>7.9199999999999993E-2</v>
      </c>
      <c r="N86" t="s">
        <v>4519</v>
      </c>
      <c r="O86" s="307" t="s">
        <v>4510</v>
      </c>
    </row>
    <row r="87" spans="1:21" x14ac:dyDescent="0.25">
      <c r="A87" s="333"/>
      <c r="B87" s="333"/>
      <c r="C87" s="333"/>
      <c r="D87" s="333"/>
      <c r="E87" s="333"/>
      <c r="F87" s="224" t="s">
        <v>4460</v>
      </c>
      <c r="G87" s="389" t="s">
        <v>6334</v>
      </c>
      <c r="H87" s="333"/>
      <c r="I87" s="333">
        <f>+I86+J86</f>
        <v>0.11249999999999999</v>
      </c>
      <c r="J87" s="333"/>
      <c r="K87" s="333"/>
      <c r="L87" s="333"/>
      <c r="M87" s="333"/>
      <c r="N87" s="333" t="s">
        <v>4511</v>
      </c>
      <c r="O87" s="335"/>
      <c r="P87" s="333"/>
      <c r="Q87" s="333"/>
      <c r="R87" s="333"/>
      <c r="S87" s="333"/>
      <c r="T87" s="333"/>
      <c r="U87" s="333"/>
    </row>
    <row r="88" spans="1:21" x14ac:dyDescent="0.25">
      <c r="F88" s="224" t="s">
        <v>4460</v>
      </c>
      <c r="G88" s="389" t="s">
        <v>62</v>
      </c>
      <c r="I88">
        <v>1.67E-2</v>
      </c>
      <c r="J88">
        <f>(I80/10)-I88</f>
        <v>0.20830000000000001</v>
      </c>
      <c r="N88" t="s">
        <v>4518</v>
      </c>
    </row>
    <row r="89" spans="1:21" x14ac:dyDescent="0.25">
      <c r="F89" s="224" t="str">
        <f>+'CP. Auxiliar'!A73</f>
        <v>CA0051</v>
      </c>
      <c r="G89" s="389" t="s">
        <v>6428</v>
      </c>
      <c r="I89" s="1">
        <v>4.7000000000000002E-3</v>
      </c>
      <c r="J89" s="321">
        <f>+I89</f>
        <v>4.7000000000000002E-3</v>
      </c>
      <c r="M89" t="s">
        <v>4615</v>
      </c>
      <c r="N89" s="294" t="s">
        <v>4480</v>
      </c>
    </row>
    <row r="90" spans="1:21" x14ac:dyDescent="0.25">
      <c r="A90" s="223" t="s">
        <v>4526</v>
      </c>
      <c r="B90" s="223" t="s">
        <v>4527</v>
      </c>
      <c r="C90" s="223" t="s">
        <v>4514</v>
      </c>
      <c r="D90" s="223"/>
      <c r="E90" s="223"/>
      <c r="F90" s="301" t="s">
        <v>4551</v>
      </c>
      <c r="G90" s="401"/>
      <c r="H90" s="223"/>
      <c r="I90" s="223">
        <v>1.05</v>
      </c>
      <c r="J90" s="223"/>
      <c r="K90" s="223"/>
      <c r="L90" s="223"/>
      <c r="M90" s="223"/>
      <c r="N90" s="223" t="s">
        <v>4528</v>
      </c>
      <c r="O90" s="312"/>
      <c r="P90" s="223"/>
      <c r="Q90" s="223"/>
      <c r="R90" s="223"/>
      <c r="S90" s="223"/>
      <c r="T90" s="223"/>
      <c r="U90" s="223"/>
    </row>
    <row r="91" spans="1:21" x14ac:dyDescent="0.25">
      <c r="A91" s="333"/>
      <c r="B91" s="333"/>
      <c r="C91" s="333"/>
      <c r="D91" s="333"/>
      <c r="E91" s="333"/>
      <c r="F91" s="334" t="s">
        <v>4547</v>
      </c>
      <c r="G91" s="389" t="s">
        <v>6512</v>
      </c>
      <c r="H91" s="333"/>
      <c r="I91" s="224">
        <v>1.05</v>
      </c>
      <c r="J91" s="333"/>
      <c r="K91" s="333"/>
      <c r="L91" s="333"/>
      <c r="M91" s="333"/>
      <c r="N91" s="333" t="s">
        <v>4548</v>
      </c>
      <c r="O91" s="335"/>
      <c r="P91" s="333"/>
      <c r="Q91" s="333"/>
      <c r="R91" s="333"/>
      <c r="S91" s="333"/>
      <c r="T91" s="333"/>
      <c r="U91" s="333"/>
    </row>
    <row r="92" spans="1:21" x14ac:dyDescent="0.25">
      <c r="A92" s="333"/>
      <c r="B92" s="333"/>
      <c r="C92" s="333"/>
      <c r="D92" s="333"/>
      <c r="E92" s="389" t="s">
        <v>121</v>
      </c>
      <c r="F92" s="224" t="s">
        <v>4460</v>
      </c>
      <c r="G92" s="389" t="s">
        <v>6494</v>
      </c>
      <c r="I92">
        <v>0.15</v>
      </c>
      <c r="J92">
        <f>(I92/0.8)-I92</f>
        <v>3.7499999999999978E-2</v>
      </c>
      <c r="N92" t="s">
        <v>4554</v>
      </c>
      <c r="O92" s="335"/>
      <c r="P92" s="333"/>
      <c r="Q92" s="333"/>
      <c r="R92" s="333"/>
      <c r="S92" s="333"/>
      <c r="T92" s="333"/>
      <c r="U92" s="333"/>
    </row>
    <row r="93" spans="1:21" x14ac:dyDescent="0.25">
      <c r="A93" s="333"/>
      <c r="B93" s="333"/>
      <c r="C93" s="333"/>
      <c r="D93" s="333"/>
      <c r="E93" s="333"/>
      <c r="F93" s="224" t="s">
        <v>4460</v>
      </c>
      <c r="G93" s="389" t="s">
        <v>6334</v>
      </c>
      <c r="I93">
        <f>+I92+J92</f>
        <v>0.18749999999999997</v>
      </c>
      <c r="N93" t="s">
        <v>4511</v>
      </c>
      <c r="O93" s="335"/>
      <c r="P93" s="333"/>
      <c r="Q93" s="333"/>
      <c r="R93" s="333"/>
      <c r="S93" s="333"/>
      <c r="T93" s="333"/>
      <c r="U93" s="333"/>
    </row>
    <row r="94" spans="1:21" x14ac:dyDescent="0.25">
      <c r="F94" s="224" t="str">
        <f>+'CP. Auxiliar'!A15</f>
        <v>CA0004</v>
      </c>
      <c r="G94" s="400"/>
      <c r="I94" s="224">
        <v>0.9</v>
      </c>
      <c r="N94" t="str">
        <f>+'CP. Auxiliar'!B15</f>
        <v>CUADRILLA CONCRETO 2 Turno por dia</v>
      </c>
    </row>
    <row r="95" spans="1:21" x14ac:dyDescent="0.25">
      <c r="F95" s="224" t="str">
        <f>+'CP. Auxiliar'!A77</f>
        <v>CA0052</v>
      </c>
      <c r="G95" s="389" t="s">
        <v>4965</v>
      </c>
      <c r="I95" s="224">
        <v>0.1</v>
      </c>
      <c r="N95" t="str">
        <f>+'CP. Auxiliar'!B77</f>
        <v>AQUA</v>
      </c>
    </row>
    <row r="96" spans="1:21" x14ac:dyDescent="0.25">
      <c r="F96" s="224" t="s">
        <v>4460</v>
      </c>
      <c r="G96" s="400" t="s">
        <v>111</v>
      </c>
      <c r="I96" s="224">
        <v>8.3000000000000001E-3</v>
      </c>
      <c r="J96">
        <f>((I94/10)*0.5)-I96</f>
        <v>3.6699999999999997E-2</v>
      </c>
      <c r="N96" t="s">
        <v>4519</v>
      </c>
      <c r="O96" s="307" t="s">
        <v>4510</v>
      </c>
    </row>
    <row r="97" spans="1:21" x14ac:dyDescent="0.25">
      <c r="F97" s="224" t="s">
        <v>4460</v>
      </c>
      <c r="G97" s="389" t="s">
        <v>6334</v>
      </c>
      <c r="I97">
        <f>+I96+J96</f>
        <v>4.4999999999999998E-2</v>
      </c>
      <c r="N97" t="s">
        <v>4511</v>
      </c>
    </row>
    <row r="98" spans="1:21" x14ac:dyDescent="0.25">
      <c r="A98" s="333"/>
      <c r="B98" s="333"/>
      <c r="C98" s="333"/>
      <c r="D98" s="333"/>
      <c r="E98" s="333"/>
      <c r="F98" s="224" t="s">
        <v>4460</v>
      </c>
      <c r="G98" s="389" t="s">
        <v>62</v>
      </c>
      <c r="H98" s="333"/>
      <c r="I98" s="333">
        <v>6.3E-3</v>
      </c>
      <c r="J98" s="333"/>
      <c r="K98" s="333"/>
      <c r="L98" s="333"/>
      <c r="M98" s="333"/>
      <c r="N98" s="333" t="s">
        <v>4518</v>
      </c>
      <c r="O98" s="335"/>
      <c r="P98" s="333"/>
      <c r="Q98" s="333"/>
      <c r="R98" s="333"/>
    </row>
    <row r="99" spans="1:21" x14ac:dyDescent="0.25">
      <c r="F99" s="224" t="str">
        <f>+'CP. Auxiliar'!A73</f>
        <v>CA0051</v>
      </c>
      <c r="G99" s="389" t="s">
        <v>6428</v>
      </c>
      <c r="I99" s="1">
        <v>4.7000000000000002E-3</v>
      </c>
      <c r="J99" s="1">
        <f>+I99</f>
        <v>4.7000000000000002E-3</v>
      </c>
      <c r="M99" t="s">
        <v>4615</v>
      </c>
      <c r="N99" s="294" t="s">
        <v>4480</v>
      </c>
    </row>
    <row r="100" spans="1:21" x14ac:dyDescent="0.25">
      <c r="A100" s="223" t="s">
        <v>4529</v>
      </c>
      <c r="B100" s="223" t="s">
        <v>4530</v>
      </c>
      <c r="C100" s="223" t="s">
        <v>4514</v>
      </c>
      <c r="D100" s="223"/>
      <c r="E100" s="223"/>
      <c r="F100" s="301" t="s">
        <v>4546</v>
      </c>
      <c r="G100" s="401"/>
      <c r="H100" s="223"/>
      <c r="I100" s="223">
        <v>1.22</v>
      </c>
      <c r="J100" s="223"/>
      <c r="K100" s="223"/>
      <c r="L100" s="223"/>
      <c r="M100" s="223"/>
      <c r="N100" s="223" t="s">
        <v>4537</v>
      </c>
      <c r="O100" s="312" t="s">
        <v>4532</v>
      </c>
      <c r="P100" s="223"/>
      <c r="Q100" s="223"/>
      <c r="R100" s="223"/>
      <c r="S100" s="223"/>
      <c r="T100" s="223"/>
      <c r="U100" s="223"/>
    </row>
    <row r="101" spans="1:21" x14ac:dyDescent="0.25">
      <c r="A101" s="333"/>
      <c r="B101" s="333"/>
      <c r="C101" s="333"/>
      <c r="D101" s="333"/>
      <c r="E101" s="333"/>
      <c r="F101" s="334" t="s">
        <v>4547</v>
      </c>
      <c r="G101" s="389" t="s">
        <v>6512</v>
      </c>
      <c r="H101" s="333"/>
      <c r="I101" s="224">
        <v>1.22</v>
      </c>
      <c r="J101" s="333"/>
      <c r="K101" s="333"/>
      <c r="L101" s="333"/>
      <c r="M101" s="333"/>
      <c r="N101" s="333" t="s">
        <v>4548</v>
      </c>
      <c r="O101" s="335"/>
      <c r="P101" s="333"/>
      <c r="Q101" s="333"/>
      <c r="R101" s="333"/>
      <c r="S101" s="333"/>
      <c r="T101" s="333"/>
      <c r="U101" s="333"/>
    </row>
    <row r="102" spans="1:21" x14ac:dyDescent="0.25">
      <c r="A102" s="333"/>
      <c r="B102" s="333"/>
      <c r="C102" s="333"/>
      <c r="D102" s="333"/>
      <c r="E102" s="389" t="s">
        <v>121</v>
      </c>
      <c r="F102" s="224" t="s">
        <v>4460</v>
      </c>
      <c r="G102" s="389" t="s">
        <v>6494</v>
      </c>
      <c r="I102">
        <v>0.15</v>
      </c>
      <c r="J102">
        <f>(I102/0.8)-I102</f>
        <v>3.7499999999999978E-2</v>
      </c>
      <c r="N102" t="s">
        <v>4554</v>
      </c>
      <c r="O102" s="335"/>
      <c r="P102" s="333"/>
      <c r="Q102" s="333"/>
      <c r="R102" s="333"/>
      <c r="S102" s="333"/>
      <c r="T102" s="333"/>
      <c r="U102" s="333"/>
    </row>
    <row r="103" spans="1:21" x14ac:dyDescent="0.25">
      <c r="A103" s="333"/>
      <c r="B103" s="333"/>
      <c r="C103" s="333"/>
      <c r="D103" s="333"/>
      <c r="E103" s="333"/>
      <c r="F103" s="224" t="s">
        <v>4460</v>
      </c>
      <c r="G103" s="389" t="s">
        <v>6334</v>
      </c>
      <c r="I103">
        <f>+I102+J102</f>
        <v>0.18749999999999997</v>
      </c>
      <c r="N103" t="s">
        <v>4511</v>
      </c>
      <c r="O103" s="335"/>
      <c r="P103" s="333"/>
      <c r="Q103" s="333"/>
      <c r="R103" s="333"/>
      <c r="S103" s="333"/>
      <c r="T103" s="333"/>
      <c r="U103" s="333"/>
    </row>
    <row r="104" spans="1:21" x14ac:dyDescent="0.25">
      <c r="F104" s="224" t="str">
        <f>+'CP. Auxiliar'!A15</f>
        <v>CA0004</v>
      </c>
      <c r="G104" s="400"/>
      <c r="I104" s="224">
        <f>(1/16)*0.1</f>
        <v>6.2500000000000003E-3</v>
      </c>
      <c r="N104" t="str">
        <f>+'CP. Auxiliar'!B15</f>
        <v>CUADRILLA CONCRETO 2 Turno por dia</v>
      </c>
      <c r="O104" s="307" t="s">
        <v>4533</v>
      </c>
    </row>
    <row r="105" spans="1:21" x14ac:dyDescent="0.25">
      <c r="A105" s="223" t="s">
        <v>4534</v>
      </c>
      <c r="B105" s="223" t="s">
        <v>4535</v>
      </c>
      <c r="C105" s="223" t="s">
        <v>4514</v>
      </c>
      <c r="D105" s="223"/>
      <c r="E105" s="223"/>
      <c r="F105" s="301" t="s">
        <v>4546</v>
      </c>
      <c r="G105" s="401"/>
      <c r="H105" s="223"/>
      <c r="I105" s="223">
        <v>1.22</v>
      </c>
      <c r="J105" s="223"/>
      <c r="K105" s="223"/>
      <c r="L105" s="223"/>
      <c r="M105" s="223"/>
      <c r="N105" s="223" t="s">
        <v>4531</v>
      </c>
      <c r="O105" s="312" t="s">
        <v>4532</v>
      </c>
      <c r="P105" s="223"/>
      <c r="Q105" s="223"/>
      <c r="R105" s="223"/>
      <c r="S105" s="223"/>
      <c r="T105" s="223"/>
      <c r="U105" s="223"/>
    </row>
    <row r="106" spans="1:21" x14ac:dyDescent="0.25">
      <c r="A106" s="333"/>
      <c r="B106" s="333"/>
      <c r="C106" s="333"/>
      <c r="D106" s="333"/>
      <c r="E106" s="333"/>
      <c r="F106" s="334" t="s">
        <v>4547</v>
      </c>
      <c r="G106" s="389" t="s">
        <v>6512</v>
      </c>
      <c r="H106" s="333"/>
      <c r="I106" s="224">
        <v>1.22</v>
      </c>
      <c r="J106" s="333"/>
      <c r="K106" s="333"/>
      <c r="L106" s="333"/>
      <c r="M106" s="333"/>
      <c r="N106" s="333" t="s">
        <v>4548</v>
      </c>
      <c r="O106" s="335"/>
      <c r="P106" s="333"/>
      <c r="Q106" s="333"/>
      <c r="R106" s="333"/>
      <c r="S106" s="333"/>
      <c r="T106" s="333"/>
      <c r="U106" s="333"/>
    </row>
    <row r="107" spans="1:21" x14ac:dyDescent="0.25">
      <c r="A107" s="333"/>
      <c r="B107" s="333"/>
      <c r="C107" s="333"/>
      <c r="D107" s="333"/>
      <c r="E107" s="389" t="s">
        <v>121</v>
      </c>
      <c r="F107" s="224" t="s">
        <v>4460</v>
      </c>
      <c r="G107" s="389" t="s">
        <v>6494</v>
      </c>
      <c r="I107">
        <v>0.15</v>
      </c>
      <c r="J107">
        <f>(I107/0.8)-I107</f>
        <v>3.7499999999999978E-2</v>
      </c>
      <c r="N107" t="s">
        <v>4554</v>
      </c>
      <c r="O107" s="335"/>
      <c r="P107" s="333"/>
      <c r="Q107" s="333"/>
      <c r="R107" s="333"/>
      <c r="S107" s="333"/>
      <c r="T107" s="333"/>
      <c r="U107" s="333"/>
    </row>
    <row r="108" spans="1:21" x14ac:dyDescent="0.25">
      <c r="A108" s="333"/>
      <c r="B108" s="333"/>
      <c r="C108" s="333"/>
      <c r="D108" s="333"/>
      <c r="E108" s="333"/>
      <c r="F108" s="224" t="s">
        <v>4460</v>
      </c>
      <c r="G108" s="389" t="s">
        <v>6334</v>
      </c>
      <c r="I108">
        <f>+I107+J107</f>
        <v>0.18749999999999997</v>
      </c>
      <c r="N108" t="s">
        <v>4511</v>
      </c>
      <c r="O108" s="335"/>
      <c r="P108" s="333"/>
      <c r="Q108" s="333"/>
      <c r="R108" s="333"/>
      <c r="S108" s="333"/>
      <c r="T108" s="333"/>
      <c r="U108" s="333"/>
    </row>
    <row r="109" spans="1:21" x14ac:dyDescent="0.25">
      <c r="F109" s="224" t="str">
        <f>+'CP. Auxiliar'!A15</f>
        <v>CA0004</v>
      </c>
      <c r="G109" s="389" t="s">
        <v>6428</v>
      </c>
      <c r="I109" s="1">
        <v>4.7000000000000002E-3</v>
      </c>
      <c r="J109" s="1">
        <v>4.7000000000000002E-3</v>
      </c>
      <c r="M109" t="s">
        <v>4615</v>
      </c>
      <c r="N109" s="294" t="s">
        <v>4480</v>
      </c>
      <c r="O109" s="307" t="s">
        <v>4533</v>
      </c>
    </row>
    <row r="110" spans="1:21" x14ac:dyDescent="0.25">
      <c r="A110" s="223" t="s">
        <v>4536</v>
      </c>
      <c r="B110" s="223" t="s">
        <v>4539</v>
      </c>
      <c r="C110" s="223" t="s">
        <v>4514</v>
      </c>
      <c r="D110" s="223"/>
      <c r="E110" s="223"/>
      <c r="F110" s="301" t="s">
        <v>4552</v>
      </c>
      <c r="G110" s="401"/>
      <c r="H110" s="223"/>
      <c r="I110" s="223">
        <v>1.05</v>
      </c>
      <c r="J110" s="223"/>
      <c r="K110" s="223"/>
      <c r="L110" s="223"/>
      <c r="M110" s="223"/>
      <c r="N110" s="223" t="s">
        <v>4538</v>
      </c>
      <c r="O110" s="312"/>
      <c r="P110" s="223"/>
      <c r="Q110" s="223"/>
      <c r="R110" s="223"/>
      <c r="S110" s="223"/>
      <c r="T110" s="223"/>
      <c r="U110" s="223"/>
    </row>
    <row r="111" spans="1:21" x14ac:dyDescent="0.25">
      <c r="A111" s="333"/>
      <c r="B111" s="333"/>
      <c r="C111" s="333"/>
      <c r="D111" s="333"/>
      <c r="E111" s="333"/>
      <c r="F111" s="334" t="s">
        <v>4547</v>
      </c>
      <c r="G111" s="389" t="s">
        <v>6512</v>
      </c>
      <c r="H111" s="333"/>
      <c r="I111" s="224">
        <v>1.05</v>
      </c>
      <c r="J111" s="333"/>
      <c r="K111" s="333"/>
      <c r="L111" s="333"/>
      <c r="M111" s="333"/>
      <c r="N111" s="333" t="s">
        <v>4548</v>
      </c>
      <c r="O111" s="335"/>
      <c r="P111" s="333"/>
      <c r="Q111" s="333"/>
      <c r="R111" s="333"/>
      <c r="S111" s="333"/>
      <c r="T111" s="333"/>
      <c r="U111" s="333"/>
    </row>
    <row r="112" spans="1:21" x14ac:dyDescent="0.25">
      <c r="A112" s="333"/>
      <c r="B112" s="333"/>
      <c r="C112" s="333"/>
      <c r="D112" s="333"/>
      <c r="E112" s="389" t="s">
        <v>121</v>
      </c>
      <c r="F112" s="224" t="s">
        <v>4460</v>
      </c>
      <c r="G112" s="389" t="s">
        <v>6494</v>
      </c>
      <c r="I112">
        <v>0.15</v>
      </c>
      <c r="J112">
        <f>(I112/0.8)-I112</f>
        <v>3.7499999999999978E-2</v>
      </c>
      <c r="N112" t="s">
        <v>4554</v>
      </c>
      <c r="O112" s="335"/>
      <c r="P112" s="333"/>
      <c r="Q112" s="333"/>
      <c r="R112" s="333"/>
      <c r="S112" s="333"/>
      <c r="T112" s="333"/>
      <c r="U112" s="333"/>
    </row>
    <row r="113" spans="1:21" x14ac:dyDescent="0.25">
      <c r="A113" s="333"/>
      <c r="B113" s="333"/>
      <c r="C113" s="333"/>
      <c r="D113" s="333"/>
      <c r="E113" s="333"/>
      <c r="F113" s="224" t="s">
        <v>4460</v>
      </c>
      <c r="G113" s="389" t="s">
        <v>6334</v>
      </c>
      <c r="I113">
        <f>+I112+J112</f>
        <v>0.18749999999999997</v>
      </c>
      <c r="N113" t="s">
        <v>4511</v>
      </c>
      <c r="O113" s="335"/>
      <c r="P113" s="333"/>
      <c r="Q113" s="333"/>
      <c r="R113" s="333"/>
      <c r="S113" s="333"/>
      <c r="T113" s="333"/>
      <c r="U113" s="333"/>
    </row>
    <row r="114" spans="1:21" x14ac:dyDescent="0.25">
      <c r="F114" s="224" t="str">
        <f>+'CP. Auxiliar'!A15</f>
        <v>CA0004</v>
      </c>
      <c r="G114" s="400"/>
      <c r="I114" s="224">
        <v>2.1</v>
      </c>
      <c r="N114" t="str">
        <f>+'CP. Auxiliar'!B15</f>
        <v>CUADRILLA CONCRETO 2 Turno por dia</v>
      </c>
    </row>
    <row r="115" spans="1:21" x14ac:dyDescent="0.25">
      <c r="F115" s="224" t="s">
        <v>4460</v>
      </c>
      <c r="G115" s="389" t="s">
        <v>80</v>
      </c>
      <c r="I115" s="224">
        <v>0.126</v>
      </c>
      <c r="J115">
        <f>((I114/10)*3)-I115</f>
        <v>0.50400000000000011</v>
      </c>
      <c r="N115" t="s">
        <v>4517</v>
      </c>
    </row>
    <row r="116" spans="1:21" x14ac:dyDescent="0.25">
      <c r="F116" s="224" t="s">
        <v>4460</v>
      </c>
      <c r="G116" s="389" t="s">
        <v>62</v>
      </c>
      <c r="I116">
        <f>+I115/3</f>
        <v>4.2000000000000003E-2</v>
      </c>
      <c r="J116" s="294">
        <f>((I114/10))-I116</f>
        <v>0.16800000000000001</v>
      </c>
      <c r="N116" t="s">
        <v>4518</v>
      </c>
    </row>
    <row r="117" spans="1:21" x14ac:dyDescent="0.25">
      <c r="F117" s="224" t="str">
        <f>+'CP. Auxiliar'!A77</f>
        <v>CA0052</v>
      </c>
      <c r="G117" s="389" t="s">
        <v>4965</v>
      </c>
      <c r="I117">
        <v>0.4</v>
      </c>
      <c r="N117" t="str">
        <f>+'CP. Auxiliar'!B77</f>
        <v>AQUA</v>
      </c>
    </row>
    <row r="118" spans="1:21" x14ac:dyDescent="0.25">
      <c r="A118" s="333"/>
      <c r="B118" s="333"/>
      <c r="C118" s="333"/>
      <c r="D118" s="333"/>
      <c r="E118" s="333"/>
      <c r="F118" s="224" t="s">
        <v>4460</v>
      </c>
      <c r="G118" s="400" t="s">
        <v>111</v>
      </c>
      <c r="H118" s="333"/>
      <c r="I118" s="333">
        <v>3.3300000000000003E-2</v>
      </c>
      <c r="J118" s="333">
        <f>((I114/10)*0.5)-I118</f>
        <v>7.1700000000000014E-2</v>
      </c>
      <c r="K118" s="333"/>
      <c r="L118" s="333"/>
      <c r="M118" s="333"/>
      <c r="N118" s="333" t="s">
        <v>4519</v>
      </c>
      <c r="O118" s="335" t="s">
        <v>4510</v>
      </c>
      <c r="P118" s="333"/>
    </row>
    <row r="119" spans="1:21" x14ac:dyDescent="0.25">
      <c r="F119" s="224" t="s">
        <v>4460</v>
      </c>
      <c r="G119" s="389" t="s">
        <v>6334</v>
      </c>
      <c r="I119">
        <f>+I118+J118</f>
        <v>0.10500000000000001</v>
      </c>
      <c r="N119" t="s">
        <v>4511</v>
      </c>
    </row>
    <row r="120" spans="1:21" x14ac:dyDescent="0.25">
      <c r="F120" s="224" t="s">
        <v>4460</v>
      </c>
      <c r="G120" s="389" t="s">
        <v>62</v>
      </c>
      <c r="I120">
        <v>1.67E-2</v>
      </c>
      <c r="J120">
        <f>(I114/10)-I120</f>
        <v>0.19330000000000003</v>
      </c>
      <c r="N120" t="s">
        <v>4518</v>
      </c>
    </row>
    <row r="121" spans="1:21" x14ac:dyDescent="0.25">
      <c r="F121" s="224" t="str">
        <f>+'CP. Auxiliar'!A73</f>
        <v>CA0051</v>
      </c>
      <c r="G121" s="389" t="s">
        <v>6428</v>
      </c>
      <c r="I121" s="1">
        <v>4.7000000000000002E-3</v>
      </c>
      <c r="J121" s="321">
        <f>+I121</f>
        <v>4.7000000000000002E-3</v>
      </c>
      <c r="M121" t="s">
        <v>4615</v>
      </c>
      <c r="N121" s="294" t="s">
        <v>4480</v>
      </c>
    </row>
    <row r="122" spans="1:21" x14ac:dyDescent="0.25">
      <c r="A122" s="223" t="s">
        <v>4540</v>
      </c>
      <c r="B122" s="223" t="s">
        <v>4541</v>
      </c>
      <c r="C122" s="223" t="s">
        <v>4514</v>
      </c>
      <c r="D122" s="223"/>
      <c r="E122" s="223"/>
      <c r="F122" s="301" t="s">
        <v>4556</v>
      </c>
      <c r="G122" s="401"/>
      <c r="H122" s="223"/>
      <c r="I122" s="223">
        <v>1.05</v>
      </c>
      <c r="J122" s="223"/>
      <c r="K122" s="223"/>
      <c r="L122" s="223"/>
      <c r="M122" s="223"/>
      <c r="N122" s="223" t="s">
        <v>4542</v>
      </c>
      <c r="O122" s="312"/>
      <c r="P122" s="223"/>
      <c r="Q122" s="223"/>
      <c r="R122" s="223"/>
      <c r="S122" s="223"/>
      <c r="T122" s="223"/>
      <c r="U122" s="223"/>
    </row>
    <row r="123" spans="1:21" x14ac:dyDescent="0.25">
      <c r="A123" s="333"/>
      <c r="B123" s="333"/>
      <c r="C123" s="333"/>
      <c r="D123" s="333"/>
      <c r="E123" s="333"/>
      <c r="F123" s="334" t="s">
        <v>4547</v>
      </c>
      <c r="G123" s="389" t="s">
        <v>6512</v>
      </c>
      <c r="H123" s="333"/>
      <c r="I123" s="224">
        <v>1.05</v>
      </c>
      <c r="J123" s="333"/>
      <c r="K123" s="333"/>
      <c r="L123" s="333"/>
      <c r="M123" s="333"/>
      <c r="N123" s="333" t="s">
        <v>4548</v>
      </c>
      <c r="O123" s="335"/>
      <c r="P123" s="333"/>
      <c r="Q123" s="333"/>
      <c r="R123" s="333"/>
      <c r="S123" s="333"/>
      <c r="T123" s="333"/>
      <c r="U123" s="333"/>
    </row>
    <row r="124" spans="1:21" x14ac:dyDescent="0.25">
      <c r="A124" s="333"/>
      <c r="B124" s="333"/>
      <c r="C124" s="333"/>
      <c r="D124" s="333"/>
      <c r="E124" s="389" t="s">
        <v>121</v>
      </c>
      <c r="F124" s="224" t="s">
        <v>4460</v>
      </c>
      <c r="G124" s="389" t="s">
        <v>6494</v>
      </c>
      <c r="I124">
        <v>0.15</v>
      </c>
      <c r="J124">
        <f>(I124/0.8)-I124</f>
        <v>3.7499999999999978E-2</v>
      </c>
      <c r="N124" t="s">
        <v>4554</v>
      </c>
      <c r="O124" s="335"/>
      <c r="P124" s="333"/>
      <c r="Q124" s="333"/>
      <c r="R124" s="333"/>
      <c r="S124" s="333"/>
      <c r="T124" s="333"/>
      <c r="U124" s="333"/>
    </row>
    <row r="125" spans="1:21" x14ac:dyDescent="0.25">
      <c r="A125" s="333"/>
      <c r="B125" s="333"/>
      <c r="C125" s="333"/>
      <c r="D125" s="333"/>
      <c r="E125" s="333"/>
      <c r="F125" s="224" t="s">
        <v>4460</v>
      </c>
      <c r="G125" s="389" t="s">
        <v>6334</v>
      </c>
      <c r="I125">
        <f>+I124+J124</f>
        <v>0.18749999999999997</v>
      </c>
      <c r="N125" t="s">
        <v>4511</v>
      </c>
      <c r="O125" s="335"/>
      <c r="P125" s="333"/>
      <c r="Q125" s="333"/>
      <c r="R125" s="333"/>
      <c r="S125" s="333"/>
      <c r="T125" s="333"/>
      <c r="U125" s="333"/>
    </row>
    <row r="126" spans="1:21" x14ac:dyDescent="0.25">
      <c r="F126" s="224" t="str">
        <f>+'CP. Auxiliar'!A15</f>
        <v>CA0004</v>
      </c>
      <c r="G126" s="400"/>
      <c r="I126" s="225">
        <v>3</v>
      </c>
      <c r="N126" t="str">
        <f>+'CP. Auxiliar'!B15</f>
        <v>CUADRILLA CONCRETO 2 Turno por dia</v>
      </c>
    </row>
    <row r="127" spans="1:21" x14ac:dyDescent="0.25">
      <c r="F127" s="224" t="s">
        <v>4460</v>
      </c>
      <c r="G127" s="389" t="s">
        <v>80</v>
      </c>
      <c r="I127" s="224">
        <v>0.18</v>
      </c>
      <c r="J127">
        <f>((I126/10)*3)-I127</f>
        <v>0.72</v>
      </c>
      <c r="N127" t="s">
        <v>4517</v>
      </c>
    </row>
    <row r="128" spans="1:21" x14ac:dyDescent="0.25">
      <c r="F128" s="224" t="s">
        <v>4460</v>
      </c>
      <c r="G128" s="389" t="s">
        <v>62</v>
      </c>
      <c r="I128">
        <f>+I127/3</f>
        <v>0.06</v>
      </c>
      <c r="J128">
        <f>((I126/10))-I128</f>
        <v>0.24</v>
      </c>
      <c r="N128" t="s">
        <v>4518</v>
      </c>
    </row>
    <row r="129" spans="1:21" x14ac:dyDescent="0.25">
      <c r="F129" s="224" t="str">
        <f>+'CP. Auxiliar'!A77</f>
        <v>CA0052</v>
      </c>
      <c r="G129" s="389" t="s">
        <v>4965</v>
      </c>
      <c r="I129">
        <v>0.4</v>
      </c>
      <c r="N129" t="str">
        <f>+'CP. Auxiliar'!B77</f>
        <v>AQUA</v>
      </c>
    </row>
    <row r="130" spans="1:21" x14ac:dyDescent="0.25">
      <c r="F130" s="224" t="s">
        <v>4460</v>
      </c>
      <c r="G130" s="400" t="s">
        <v>111</v>
      </c>
      <c r="I130">
        <v>3.3300000000000003E-2</v>
      </c>
      <c r="J130">
        <f>((I126/10)*0.5)-I130</f>
        <v>0.1167</v>
      </c>
      <c r="N130" t="s">
        <v>4519</v>
      </c>
      <c r="O130" s="307" t="s">
        <v>4510</v>
      </c>
    </row>
    <row r="131" spans="1:21" x14ac:dyDescent="0.25">
      <c r="F131" s="224" t="s">
        <v>4460</v>
      </c>
      <c r="G131" s="389" t="s">
        <v>6334</v>
      </c>
      <c r="I131">
        <f>+I130+J130</f>
        <v>0.15</v>
      </c>
      <c r="N131" t="s">
        <v>4511</v>
      </c>
    </row>
    <row r="132" spans="1:21" x14ac:dyDescent="0.25">
      <c r="F132" s="224" t="s">
        <v>4460</v>
      </c>
      <c r="G132" s="389" t="s">
        <v>62</v>
      </c>
      <c r="I132">
        <v>1.67E-2</v>
      </c>
      <c r="J132">
        <f>(I126/10)-I132</f>
        <v>0.2833</v>
      </c>
      <c r="N132" t="s">
        <v>4518</v>
      </c>
    </row>
    <row r="133" spans="1:21" x14ac:dyDescent="0.25">
      <c r="F133" s="224" t="str">
        <f>+'CP. Auxiliar'!A73</f>
        <v>CA0051</v>
      </c>
      <c r="G133" s="389" t="s">
        <v>6428</v>
      </c>
      <c r="I133" s="1">
        <v>4.7000000000000002E-3</v>
      </c>
      <c r="J133" s="1">
        <f>+I133</f>
        <v>4.7000000000000002E-3</v>
      </c>
      <c r="M133" t="s">
        <v>4615</v>
      </c>
      <c r="N133" s="294" t="s">
        <v>4480</v>
      </c>
    </row>
    <row r="134" spans="1:21" x14ac:dyDescent="0.25">
      <c r="A134" s="223" t="s">
        <v>4543</v>
      </c>
      <c r="B134" s="223" t="s">
        <v>4544</v>
      </c>
      <c r="C134" s="223" t="s">
        <v>4514</v>
      </c>
      <c r="D134" s="223"/>
      <c r="E134" s="223"/>
      <c r="F134" s="301" t="s">
        <v>4553</v>
      </c>
      <c r="G134" s="401"/>
      <c r="H134" s="223"/>
      <c r="I134" s="223">
        <v>1.05</v>
      </c>
      <c r="J134" s="223"/>
      <c r="K134" s="223"/>
      <c r="L134" s="223"/>
      <c r="M134" s="223"/>
      <c r="N134" s="223" t="s">
        <v>4545</v>
      </c>
      <c r="O134" s="312"/>
      <c r="P134" s="223"/>
      <c r="Q134" s="223"/>
      <c r="R134" s="223"/>
      <c r="S134" s="223"/>
      <c r="T134" s="223"/>
      <c r="U134" s="223"/>
    </row>
    <row r="135" spans="1:21" x14ac:dyDescent="0.25">
      <c r="A135" s="333"/>
      <c r="B135" s="333"/>
      <c r="C135" s="333"/>
      <c r="D135" s="333"/>
      <c r="E135" s="333"/>
      <c r="F135" s="334" t="s">
        <v>4547</v>
      </c>
      <c r="G135" s="389" t="s">
        <v>6512</v>
      </c>
      <c r="H135" s="333"/>
      <c r="I135" s="224">
        <v>1.05</v>
      </c>
      <c r="J135" s="333"/>
      <c r="K135" s="333"/>
      <c r="L135" s="333"/>
      <c r="M135" s="333"/>
      <c r="N135" s="333" t="s">
        <v>4548</v>
      </c>
      <c r="O135" s="335"/>
      <c r="P135" s="333"/>
      <c r="Q135" s="333"/>
      <c r="R135" s="333"/>
      <c r="S135" s="333"/>
      <c r="T135" s="333"/>
      <c r="U135" s="333"/>
    </row>
    <row r="136" spans="1:21" x14ac:dyDescent="0.25">
      <c r="A136" s="333"/>
      <c r="B136" s="333"/>
      <c r="C136" s="333"/>
      <c r="D136" s="333"/>
      <c r="E136" s="389" t="s">
        <v>121</v>
      </c>
      <c r="F136" s="224" t="s">
        <v>4460</v>
      </c>
      <c r="G136" s="389" t="s">
        <v>6494</v>
      </c>
      <c r="I136">
        <v>0.15</v>
      </c>
      <c r="J136">
        <f>(I136/0.8)-I136</f>
        <v>3.7499999999999978E-2</v>
      </c>
      <c r="N136" t="s">
        <v>4554</v>
      </c>
      <c r="O136" s="335"/>
      <c r="P136" s="333"/>
      <c r="Q136" s="333"/>
      <c r="R136" s="333"/>
      <c r="S136" s="333"/>
      <c r="T136" s="333"/>
      <c r="U136" s="333"/>
    </row>
    <row r="137" spans="1:21" x14ac:dyDescent="0.25">
      <c r="A137" s="333"/>
      <c r="B137" s="333"/>
      <c r="C137" s="333"/>
      <c r="D137" s="333"/>
      <c r="E137" s="333"/>
      <c r="F137" s="224" t="s">
        <v>4460</v>
      </c>
      <c r="G137" s="389" t="s">
        <v>6334</v>
      </c>
      <c r="H137" s="333"/>
      <c r="I137" s="333">
        <f>+I136+J136</f>
        <v>0.18749999999999997</v>
      </c>
      <c r="J137" s="333"/>
      <c r="K137" s="333"/>
      <c r="L137" s="333"/>
      <c r="M137" s="333"/>
      <c r="N137" s="333" t="s">
        <v>4511</v>
      </c>
      <c r="O137" s="335"/>
      <c r="P137" s="333"/>
      <c r="Q137" s="333"/>
      <c r="R137" s="333"/>
      <c r="S137" s="333"/>
      <c r="T137" s="333"/>
      <c r="U137" s="333"/>
    </row>
    <row r="138" spans="1:21" x14ac:dyDescent="0.25">
      <c r="F138" s="224" t="str">
        <f>+'CP. Auxiliar'!A15</f>
        <v>CA0004</v>
      </c>
      <c r="G138" s="400"/>
      <c r="I138" s="224">
        <v>1.8</v>
      </c>
      <c r="N138" t="str">
        <f>+'CP. Auxiliar'!B15</f>
        <v>CUADRILLA CONCRETO 2 Turno por dia</v>
      </c>
    </row>
    <row r="139" spans="1:21" x14ac:dyDescent="0.25">
      <c r="F139" s="224" t="s">
        <v>4460</v>
      </c>
      <c r="G139" s="389" t="s">
        <v>80</v>
      </c>
      <c r="I139" s="224">
        <v>0.108</v>
      </c>
      <c r="J139">
        <f>((I138/10)*3)-I139</f>
        <v>0.43200000000000005</v>
      </c>
      <c r="N139" t="s">
        <v>4517</v>
      </c>
    </row>
    <row r="140" spans="1:21" x14ac:dyDescent="0.25">
      <c r="F140" s="224" t="s">
        <v>4460</v>
      </c>
      <c r="G140" s="389" t="s">
        <v>62</v>
      </c>
      <c r="I140">
        <f>I139/3</f>
        <v>3.5999999999999997E-2</v>
      </c>
      <c r="J140">
        <f>((I138/10))-I140</f>
        <v>0.14399999999999999</v>
      </c>
      <c r="N140" t="s">
        <v>4518</v>
      </c>
    </row>
    <row r="141" spans="1:21" x14ac:dyDescent="0.25">
      <c r="F141" s="224" t="str">
        <f>+'CP. Auxiliar'!A77</f>
        <v>CA0052</v>
      </c>
      <c r="G141" s="389" t="s">
        <v>4965</v>
      </c>
      <c r="I141">
        <v>0.1</v>
      </c>
      <c r="N141" t="str">
        <f>+'CP. Auxiliar'!B77</f>
        <v>AQUA</v>
      </c>
    </row>
    <row r="142" spans="1:21" x14ac:dyDescent="0.25">
      <c r="F142" s="224" t="s">
        <v>4460</v>
      </c>
      <c r="G142" s="400" t="s">
        <v>111</v>
      </c>
      <c r="I142">
        <v>8.3000000000000001E-3</v>
      </c>
      <c r="J142">
        <f>((I138/10)*0.5)-I142</f>
        <v>8.1699999999999995E-2</v>
      </c>
      <c r="N142" t="s">
        <v>4519</v>
      </c>
    </row>
    <row r="143" spans="1:21" x14ac:dyDescent="0.25">
      <c r="F143" s="224" t="s">
        <v>4460</v>
      </c>
      <c r="G143" s="389" t="s">
        <v>6334</v>
      </c>
      <c r="I143">
        <f>+I142+J142</f>
        <v>0.09</v>
      </c>
      <c r="N143" t="s">
        <v>4511</v>
      </c>
      <c r="O143" s="307" t="s">
        <v>4510</v>
      </c>
    </row>
    <row r="144" spans="1:21" x14ac:dyDescent="0.25">
      <c r="F144" s="224" t="s">
        <v>4460</v>
      </c>
      <c r="G144" s="389" t="s">
        <v>62</v>
      </c>
      <c r="I144">
        <v>6.3E-3</v>
      </c>
      <c r="J144">
        <f>(I138/10)-I144</f>
        <v>0.17369999999999999</v>
      </c>
      <c r="N144" t="s">
        <v>4518</v>
      </c>
    </row>
    <row r="145" spans="1:21" x14ac:dyDescent="0.25">
      <c r="F145" s="224" t="str">
        <f>+'CP. Auxiliar'!A73</f>
        <v>CA0051</v>
      </c>
      <c r="G145" s="389" t="s">
        <v>6428</v>
      </c>
      <c r="I145" s="1">
        <v>4.7000000000000002E-3</v>
      </c>
      <c r="J145" s="322">
        <f>+I145</f>
        <v>4.7000000000000002E-3</v>
      </c>
      <c r="M145" t="s">
        <v>4789</v>
      </c>
      <c r="N145" s="294" t="s">
        <v>4480</v>
      </c>
    </row>
    <row r="146" spans="1:21" x14ac:dyDescent="0.25">
      <c r="A146" s="223" t="s">
        <v>4557</v>
      </c>
      <c r="B146" s="223" t="s">
        <v>4561</v>
      </c>
      <c r="C146" s="223" t="s">
        <v>4514</v>
      </c>
      <c r="D146" s="223"/>
      <c r="E146" s="223"/>
      <c r="F146" s="301" t="s">
        <v>4460</v>
      </c>
      <c r="G146" s="401"/>
      <c r="H146" s="223"/>
      <c r="I146" s="223">
        <v>6.2300000000000001E-2</v>
      </c>
      <c r="J146" s="223">
        <f>(I146/0.8)-I146</f>
        <v>1.5574999999999999E-2</v>
      </c>
      <c r="K146" s="223"/>
      <c r="L146" s="223"/>
      <c r="M146" s="223"/>
      <c r="N146" s="223" t="s">
        <v>4558</v>
      </c>
      <c r="O146" s="312"/>
      <c r="P146" s="223"/>
      <c r="Q146" s="223"/>
      <c r="R146" s="223"/>
      <c r="S146" s="223"/>
      <c r="T146" s="223"/>
      <c r="U146" s="223"/>
    </row>
    <row r="147" spans="1:21" x14ac:dyDescent="0.25">
      <c r="F147" s="224" t="s">
        <v>4460</v>
      </c>
      <c r="G147" s="389" t="s">
        <v>6334</v>
      </c>
      <c r="I147">
        <f>+I146+J146</f>
        <v>7.7875E-2</v>
      </c>
      <c r="N147" t="s">
        <v>4511</v>
      </c>
    </row>
    <row r="148" spans="1:21" x14ac:dyDescent="0.25">
      <c r="F148" s="224" t="s">
        <v>4460</v>
      </c>
      <c r="G148" s="389" t="s">
        <v>6342</v>
      </c>
      <c r="I148">
        <f>+I147*2</f>
        <v>0.15575</v>
      </c>
      <c r="N148" s="224" t="s">
        <v>4439</v>
      </c>
    </row>
    <row r="149" spans="1:21" x14ac:dyDescent="0.25">
      <c r="A149" s="223" t="s">
        <v>4559</v>
      </c>
      <c r="B149" s="223" t="s">
        <v>4562</v>
      </c>
      <c r="C149" s="223" t="s">
        <v>4514</v>
      </c>
      <c r="D149" s="223"/>
      <c r="E149" s="223"/>
      <c r="F149" s="301" t="s">
        <v>4460</v>
      </c>
      <c r="G149" s="401"/>
      <c r="H149" s="223"/>
      <c r="I149" s="223">
        <v>6.2300000000000001E-2</v>
      </c>
      <c r="J149" s="223">
        <f>(I149/0.8)-I149</f>
        <v>1.5574999999999999E-2</v>
      </c>
      <c r="K149" s="223"/>
      <c r="L149" s="223"/>
      <c r="M149" s="223"/>
      <c r="N149" s="223" t="s">
        <v>4558</v>
      </c>
      <c r="O149" s="312"/>
      <c r="P149" s="223"/>
      <c r="Q149" s="223"/>
      <c r="R149" s="223"/>
      <c r="S149" s="223"/>
      <c r="T149" s="223"/>
      <c r="U149" s="223"/>
    </row>
    <row r="150" spans="1:21" x14ac:dyDescent="0.25">
      <c r="F150" s="224" t="s">
        <v>4460</v>
      </c>
      <c r="G150" s="389" t="s">
        <v>6334</v>
      </c>
      <c r="I150">
        <f>+I149+J149</f>
        <v>7.7875E-2</v>
      </c>
      <c r="N150" t="s">
        <v>4511</v>
      </c>
    </row>
    <row r="151" spans="1:21" x14ac:dyDescent="0.25">
      <c r="F151" s="224" t="s">
        <v>4460</v>
      </c>
      <c r="G151" s="389" t="s">
        <v>6342</v>
      </c>
      <c r="I151">
        <f>+I150*2</f>
        <v>0.15575</v>
      </c>
      <c r="N151" s="224" t="s">
        <v>4439</v>
      </c>
    </row>
    <row r="152" spans="1:21" x14ac:dyDescent="0.25">
      <c r="A152" s="223" t="s">
        <v>4560</v>
      </c>
      <c r="B152" s="223" t="s">
        <v>4563</v>
      </c>
      <c r="C152" s="223" t="s">
        <v>4514</v>
      </c>
      <c r="D152" s="223"/>
      <c r="E152" s="223"/>
      <c r="F152" s="301" t="s">
        <v>4460</v>
      </c>
      <c r="G152" s="401"/>
      <c r="H152" s="223"/>
      <c r="I152" s="223">
        <v>6.2300000000000001E-2</v>
      </c>
      <c r="J152" s="223">
        <f>(I152/0.8)-I152</f>
        <v>1.5574999999999999E-2</v>
      </c>
      <c r="K152" s="223"/>
      <c r="L152" s="223"/>
      <c r="M152" s="223"/>
      <c r="N152" s="223" t="s">
        <v>4558</v>
      </c>
      <c r="O152" s="312"/>
      <c r="P152" s="223"/>
      <c r="Q152" s="223"/>
      <c r="R152" s="223"/>
      <c r="S152" s="223"/>
      <c r="T152" s="223"/>
      <c r="U152" s="223"/>
    </row>
    <row r="153" spans="1:21" x14ac:dyDescent="0.25">
      <c r="F153" s="224" t="s">
        <v>4460</v>
      </c>
      <c r="G153" s="389" t="s">
        <v>6334</v>
      </c>
      <c r="I153">
        <f>+I152+J152</f>
        <v>7.7875E-2</v>
      </c>
      <c r="N153" t="s">
        <v>4511</v>
      </c>
    </row>
    <row r="154" spans="1:21" x14ac:dyDescent="0.25">
      <c r="F154" s="224" t="s">
        <v>4460</v>
      </c>
      <c r="G154" s="389" t="s">
        <v>6342</v>
      </c>
      <c r="I154">
        <f>+I153*2</f>
        <v>0.15575</v>
      </c>
      <c r="N154" s="224" t="s">
        <v>4439</v>
      </c>
      <c r="O154" s="307" t="s">
        <v>4564</v>
      </c>
    </row>
    <row r="155" spans="1:21" x14ac:dyDescent="0.25">
      <c r="F155" s="224" t="s">
        <v>4555</v>
      </c>
      <c r="G155" s="400"/>
      <c r="I155">
        <f>+I154</f>
        <v>0.15575</v>
      </c>
      <c r="N155" t="s">
        <v>4443</v>
      </c>
      <c r="O155" s="307" t="s">
        <v>4564</v>
      </c>
    </row>
    <row r="156" spans="1:21" x14ac:dyDescent="0.25">
      <c r="A156" s="223" t="s">
        <v>4565</v>
      </c>
      <c r="B156" s="223" t="s">
        <v>4566</v>
      </c>
      <c r="C156" s="223" t="s">
        <v>4514</v>
      </c>
      <c r="D156" s="223"/>
      <c r="E156" s="223"/>
      <c r="F156" s="301" t="s">
        <v>4567</v>
      </c>
      <c r="G156" s="401"/>
      <c r="H156" s="223"/>
      <c r="I156" s="223">
        <v>1.1000000000000001</v>
      </c>
      <c r="J156" s="223"/>
      <c r="K156" s="223"/>
      <c r="L156" s="223"/>
      <c r="M156" s="223"/>
      <c r="N156" s="223" t="s">
        <v>4568</v>
      </c>
      <c r="O156" s="312"/>
      <c r="P156" s="223"/>
      <c r="Q156" s="223"/>
      <c r="R156" s="223"/>
      <c r="S156" s="223"/>
      <c r="T156" s="223"/>
      <c r="U156" s="223"/>
    </row>
    <row r="157" spans="1:21" x14ac:dyDescent="0.25">
      <c r="F157" s="334" t="s">
        <v>4547</v>
      </c>
      <c r="G157" s="389" t="s">
        <v>6512</v>
      </c>
      <c r="H157" s="333"/>
      <c r="I157" s="224">
        <v>1.1000000000000001</v>
      </c>
      <c r="J157" s="333"/>
      <c r="K157" s="333"/>
      <c r="L157" s="333"/>
      <c r="M157" s="333"/>
      <c r="N157" s="333" t="s">
        <v>4548</v>
      </c>
    </row>
    <row r="158" spans="1:21" x14ac:dyDescent="0.25">
      <c r="A158" s="333"/>
      <c r="B158" s="333"/>
      <c r="C158" s="333"/>
      <c r="D158" s="333"/>
      <c r="E158" s="333"/>
      <c r="F158" s="224" t="s">
        <v>4460</v>
      </c>
      <c r="G158" s="389" t="s">
        <v>6494</v>
      </c>
      <c r="H158" s="333"/>
      <c r="I158" s="377">
        <f>(3*7)/105</f>
        <v>0.2</v>
      </c>
      <c r="J158" s="377">
        <f>(3*3)/105</f>
        <v>8.5714285714285715E-2</v>
      </c>
      <c r="K158" s="333"/>
      <c r="L158" s="333"/>
      <c r="M158" s="333"/>
      <c r="N158" s="333" t="s">
        <v>4554</v>
      </c>
      <c r="O158" s="335" t="s">
        <v>4572</v>
      </c>
      <c r="P158" s="333"/>
    </row>
    <row r="159" spans="1:21" x14ac:dyDescent="0.25">
      <c r="F159" s="224" t="s">
        <v>4460</v>
      </c>
      <c r="G159" s="389" t="s">
        <v>6334</v>
      </c>
      <c r="I159">
        <f>+I158+J158</f>
        <v>0.2857142857142857</v>
      </c>
      <c r="N159" t="s">
        <v>4511</v>
      </c>
    </row>
    <row r="160" spans="1:21" x14ac:dyDescent="0.25">
      <c r="F160" s="224" t="str">
        <f>+'CP. Auxiliar'!A15</f>
        <v>CA0004</v>
      </c>
      <c r="G160" s="400"/>
      <c r="I160" s="224">
        <f>(10*10)/105</f>
        <v>0.95238095238095233</v>
      </c>
      <c r="N160" t="str">
        <f>+'CP. Auxiliar'!B15</f>
        <v>CUADRILLA CONCRETO 2 Turno por dia</v>
      </c>
      <c r="O160" s="307" t="s">
        <v>4571</v>
      </c>
    </row>
    <row r="161" spans="1:18" x14ac:dyDescent="0.25">
      <c r="F161" s="224" t="s">
        <v>4460</v>
      </c>
      <c r="G161" s="400"/>
      <c r="H161" s="333"/>
      <c r="I161" s="316">
        <f>7/105</f>
        <v>6.6666666666666666E-2</v>
      </c>
      <c r="J161" s="1">
        <f>3/105</f>
        <v>2.8571428571428571E-2</v>
      </c>
      <c r="K161" s="333"/>
      <c r="L161" s="333"/>
      <c r="M161" s="333"/>
      <c r="N161" s="333" t="s">
        <v>4558</v>
      </c>
      <c r="O161" s="307" t="s">
        <v>4570</v>
      </c>
    </row>
    <row r="162" spans="1:18" x14ac:dyDescent="0.25">
      <c r="F162" s="224" t="s">
        <v>4460</v>
      </c>
      <c r="G162" s="389" t="s">
        <v>6334</v>
      </c>
      <c r="I162" s="316">
        <f>I161+J161</f>
        <v>9.5238095238095233E-2</v>
      </c>
      <c r="J162" s="1"/>
      <c r="N162" t="s">
        <v>4511</v>
      </c>
    </row>
    <row r="163" spans="1:18" x14ac:dyDescent="0.25">
      <c r="F163" s="224" t="s">
        <v>4460</v>
      </c>
      <c r="G163" s="389" t="s">
        <v>4860</v>
      </c>
      <c r="H163" s="1"/>
      <c r="I163" s="316">
        <f>7/105</f>
        <v>6.6666666666666666E-2</v>
      </c>
      <c r="J163" s="1">
        <f>3/105</f>
        <v>2.8571428571428571E-2</v>
      </c>
      <c r="K163" s="1"/>
      <c r="L163" s="1"/>
      <c r="N163" t="s">
        <v>4485</v>
      </c>
      <c r="O163" s="307" t="s">
        <v>4570</v>
      </c>
      <c r="R163" t="s">
        <v>4569</v>
      </c>
    </row>
    <row r="164" spans="1:18" x14ac:dyDescent="0.25">
      <c r="F164" s="224" t="s">
        <v>4460</v>
      </c>
      <c r="G164" s="389" t="s">
        <v>6334</v>
      </c>
      <c r="H164" s="1"/>
      <c r="I164" s="316">
        <f>I163+J163</f>
        <v>9.5238095238095233E-2</v>
      </c>
      <c r="J164" s="1"/>
      <c r="K164" s="1"/>
      <c r="L164" s="1"/>
      <c r="N164" t="s">
        <v>4511</v>
      </c>
    </row>
    <row r="165" spans="1:18" x14ac:dyDescent="0.25">
      <c r="F165" s="224" t="str">
        <f>+'CP. Auxiliar'!A73</f>
        <v>CA0051</v>
      </c>
      <c r="G165" s="389" t="s">
        <v>6428</v>
      </c>
      <c r="I165">
        <f>+I160/10/2</f>
        <v>4.7619047619047616E-2</v>
      </c>
      <c r="J165">
        <f>+I165</f>
        <v>4.7619047619047616E-2</v>
      </c>
      <c r="M165" t="s">
        <v>4615</v>
      </c>
      <c r="N165" s="294" t="s">
        <v>4480</v>
      </c>
    </row>
    <row r="166" spans="1:18" x14ac:dyDescent="0.25">
      <c r="A166" s="223" t="s">
        <v>4578</v>
      </c>
      <c r="B166" s="223" t="s">
        <v>4591</v>
      </c>
      <c r="C166" s="223" t="s">
        <v>4579</v>
      </c>
      <c r="D166" s="223"/>
      <c r="E166" s="223"/>
      <c r="F166" s="224" t="str">
        <f>+'CP. Auxiliar'!A23</f>
        <v>CA0006</v>
      </c>
      <c r="G166" s="400"/>
      <c r="H166" s="223"/>
      <c r="I166" s="223">
        <v>2.4</v>
      </c>
      <c r="J166" s="223"/>
      <c r="K166" s="223"/>
      <c r="L166" s="223"/>
      <c r="M166" s="223"/>
      <c r="N166" s="223" t="str">
        <f>+'CP. Auxiliar'!B23</f>
        <v>CUADRILLA FORMALETA 2 Turno por dia</v>
      </c>
      <c r="O166" s="312"/>
      <c r="P166" s="223"/>
      <c r="Q166" s="223"/>
      <c r="R166" s="223"/>
    </row>
    <row r="167" spans="1:18" x14ac:dyDescent="0.25">
      <c r="F167" t="s">
        <v>4460</v>
      </c>
      <c r="I167">
        <v>1</v>
      </c>
      <c r="N167" s="338" t="s">
        <v>4580</v>
      </c>
      <c r="O167" s="337" t="s">
        <v>4593</v>
      </c>
      <c r="P167" s="294"/>
      <c r="Q167" s="294"/>
    </row>
    <row r="168" spans="1:18" x14ac:dyDescent="0.25">
      <c r="F168" t="s">
        <v>4460</v>
      </c>
      <c r="G168" s="398" t="s">
        <v>425</v>
      </c>
      <c r="I168">
        <v>2.5000000000000001E-2</v>
      </c>
      <c r="N168" s="224" t="s">
        <v>4581</v>
      </c>
    </row>
    <row r="169" spans="1:18" x14ac:dyDescent="0.25">
      <c r="F169" t="s">
        <v>4460</v>
      </c>
      <c r="G169" s="389" t="s">
        <v>6432</v>
      </c>
      <c r="I169">
        <v>0.01</v>
      </c>
      <c r="J169">
        <f>(I169/0.7)-I169</f>
        <v>4.2857142857142868E-3</v>
      </c>
      <c r="N169" s="224" t="s">
        <v>4582</v>
      </c>
    </row>
    <row r="170" spans="1:18" x14ac:dyDescent="0.25">
      <c r="F170" t="s">
        <v>4460</v>
      </c>
      <c r="G170" s="389" t="s">
        <v>6334</v>
      </c>
      <c r="I170">
        <f>SUM(I169:J169)</f>
        <v>1.4285714285714287E-2</v>
      </c>
      <c r="N170" t="s">
        <v>4511</v>
      </c>
    </row>
    <row r="171" spans="1:18" x14ac:dyDescent="0.25">
      <c r="F171" t="s">
        <v>4460</v>
      </c>
      <c r="G171" s="389" t="s">
        <v>4860</v>
      </c>
      <c r="I171">
        <v>2.75E-2</v>
      </c>
      <c r="J171">
        <f>(I171/0.6)-I171</f>
        <v>1.8333333333333337E-2</v>
      </c>
      <c r="N171" t="s">
        <v>4583</v>
      </c>
    </row>
    <row r="172" spans="1:18" x14ac:dyDescent="0.25">
      <c r="F172" t="s">
        <v>4460</v>
      </c>
      <c r="G172" s="389" t="s">
        <v>6334</v>
      </c>
      <c r="I172">
        <f>SUM(I171:J171)</f>
        <v>4.5833333333333337E-2</v>
      </c>
      <c r="N172" t="s">
        <v>4511</v>
      </c>
    </row>
    <row r="173" spans="1:18" x14ac:dyDescent="0.25">
      <c r="F173" s="224" t="str">
        <f>+'CP. Auxiliar'!A77</f>
        <v>CA0052</v>
      </c>
      <c r="G173" s="389" t="s">
        <v>4965</v>
      </c>
      <c r="I173">
        <v>0.02</v>
      </c>
      <c r="N173" t="str">
        <f>+'CP. Auxiliar'!B77</f>
        <v>AQUA</v>
      </c>
    </row>
    <row r="174" spans="1:18" x14ac:dyDescent="0.25">
      <c r="F174" s="224" t="s">
        <v>4555</v>
      </c>
      <c r="G174" s="400" t="s">
        <v>111</v>
      </c>
      <c r="I174">
        <v>1.6999999999999999E-3</v>
      </c>
      <c r="J174">
        <f>(I174/0.7)-I174</f>
        <v>7.2857142857142847E-4</v>
      </c>
      <c r="N174" t="s">
        <v>4519</v>
      </c>
    </row>
    <row r="175" spans="1:18" x14ac:dyDescent="0.25">
      <c r="F175" s="224" t="s">
        <v>4555</v>
      </c>
      <c r="G175" s="389" t="s">
        <v>6334</v>
      </c>
      <c r="I175">
        <f>SUM(I174:J174)</f>
        <v>2.4285714285714284E-3</v>
      </c>
      <c r="N175" t="s">
        <v>4511</v>
      </c>
    </row>
    <row r="176" spans="1:18" x14ac:dyDescent="0.25">
      <c r="A176" s="333"/>
      <c r="B176" s="333"/>
      <c r="C176" s="333"/>
      <c r="D176" s="333"/>
      <c r="E176" s="333"/>
      <c r="F176" s="224" t="s">
        <v>4460</v>
      </c>
      <c r="G176" s="389" t="s">
        <v>62</v>
      </c>
      <c r="H176" s="333"/>
      <c r="I176" s="333">
        <v>2.8E-3</v>
      </c>
      <c r="J176" s="333"/>
      <c r="K176" s="333"/>
      <c r="L176" s="333"/>
      <c r="M176" s="333"/>
      <c r="N176" s="333" t="s">
        <v>4518</v>
      </c>
      <c r="O176" s="335"/>
      <c r="P176" s="333"/>
    </row>
    <row r="177" spans="1:17" x14ac:dyDescent="0.25">
      <c r="F177" s="224" t="s">
        <v>4460</v>
      </c>
      <c r="G177" s="400"/>
      <c r="I177">
        <v>0.25</v>
      </c>
      <c r="N177" t="s">
        <v>4584</v>
      </c>
    </row>
    <row r="178" spans="1:17" x14ac:dyDescent="0.25">
      <c r="F178" s="224" t="s">
        <v>4585</v>
      </c>
      <c r="G178" s="389" t="s">
        <v>5197</v>
      </c>
      <c r="I178">
        <v>1E-3</v>
      </c>
      <c r="N178" t="s">
        <v>4586</v>
      </c>
    </row>
    <row r="179" spans="1:17" x14ac:dyDescent="0.25">
      <c r="F179" s="224" t="str">
        <f>+'CP. Auxiliar'!A73</f>
        <v>CA0051</v>
      </c>
      <c r="G179" s="389" t="s">
        <v>6428</v>
      </c>
      <c r="N179" t="str">
        <f>+'CP. Auxiliar'!B73</f>
        <v>ILLUMINAZIONE</v>
      </c>
    </row>
    <row r="180" spans="1:17" x14ac:dyDescent="0.25">
      <c r="F180" t="s">
        <v>4460</v>
      </c>
      <c r="G180" s="389" t="s">
        <v>6442</v>
      </c>
      <c r="N180" t="s">
        <v>4494</v>
      </c>
    </row>
    <row r="181" spans="1:17" x14ac:dyDescent="0.25">
      <c r="F181" s="224" t="str">
        <f>+'CP. Auxiliar'!A47</f>
        <v>CA0015</v>
      </c>
      <c r="G181" s="400"/>
      <c r="I181">
        <v>1</v>
      </c>
      <c r="N181" t="str">
        <f>+'CP. Auxiliar'!B47</f>
        <v>M / S Formaleta</v>
      </c>
    </row>
    <row r="182" spans="1:17" x14ac:dyDescent="0.25">
      <c r="F182" s="224" t="str">
        <f>+'CP. Auxiliar'!A57</f>
        <v>CA0016</v>
      </c>
      <c r="G182" s="400"/>
      <c r="I182">
        <v>1</v>
      </c>
      <c r="N182" t="str">
        <f>+'CP. Auxiliar'!B57</f>
        <v>CURING</v>
      </c>
    </row>
    <row r="183" spans="1:17" x14ac:dyDescent="0.25">
      <c r="A183" s="223" t="s">
        <v>4589</v>
      </c>
      <c r="B183" s="223" t="s">
        <v>4590</v>
      </c>
      <c r="C183" s="223" t="s">
        <v>4579</v>
      </c>
      <c r="D183" s="223"/>
      <c r="E183" s="223"/>
      <c r="F183" s="224" t="str">
        <f>+F166</f>
        <v>CA0006</v>
      </c>
      <c r="G183" s="400"/>
      <c r="H183" s="223"/>
      <c r="I183" s="223">
        <v>2.4</v>
      </c>
      <c r="J183" s="223"/>
      <c r="K183" s="223"/>
      <c r="L183" s="223"/>
      <c r="M183" s="223"/>
      <c r="N183" s="223" t="str">
        <f>+N166</f>
        <v>CUADRILLA FORMALETA 2 Turno por dia</v>
      </c>
      <c r="O183" s="312"/>
      <c r="P183" s="223"/>
    </row>
    <row r="184" spans="1:17" x14ac:dyDescent="0.25">
      <c r="F184" t="s">
        <v>4460</v>
      </c>
      <c r="I184">
        <v>1</v>
      </c>
      <c r="N184" s="338" t="s">
        <v>4580</v>
      </c>
      <c r="O184" s="337" t="s">
        <v>4593</v>
      </c>
      <c r="P184" s="294"/>
      <c r="Q184" s="294"/>
    </row>
    <row r="185" spans="1:17" x14ac:dyDescent="0.25">
      <c r="F185" t="s">
        <v>4460</v>
      </c>
      <c r="G185" s="398" t="s">
        <v>425</v>
      </c>
      <c r="I185">
        <v>2.5000000000000001E-2</v>
      </c>
      <c r="N185" s="224" t="s">
        <v>4581</v>
      </c>
    </row>
    <row r="186" spans="1:17" x14ac:dyDescent="0.25">
      <c r="F186" t="s">
        <v>4460</v>
      </c>
      <c r="G186" s="389" t="s">
        <v>6432</v>
      </c>
      <c r="I186">
        <v>0.01</v>
      </c>
      <c r="J186">
        <f>(I186/0.7)-I186</f>
        <v>4.2857142857142868E-3</v>
      </c>
      <c r="N186" s="224" t="s">
        <v>4582</v>
      </c>
    </row>
    <row r="187" spans="1:17" x14ac:dyDescent="0.25">
      <c r="F187" t="s">
        <v>4460</v>
      </c>
      <c r="G187" s="389" t="s">
        <v>6334</v>
      </c>
      <c r="I187">
        <f>SUM(I186:J186)</f>
        <v>1.4285714285714287E-2</v>
      </c>
      <c r="N187" t="s">
        <v>4511</v>
      </c>
    </row>
    <row r="188" spans="1:17" x14ac:dyDescent="0.25">
      <c r="F188" t="s">
        <v>4460</v>
      </c>
      <c r="G188" s="389" t="s">
        <v>4860</v>
      </c>
      <c r="I188">
        <v>2.75E-2</v>
      </c>
      <c r="J188">
        <f>(I188/0.6)-I188</f>
        <v>1.8333333333333337E-2</v>
      </c>
      <c r="N188" t="s">
        <v>4583</v>
      </c>
    </row>
    <row r="189" spans="1:17" x14ac:dyDescent="0.25">
      <c r="F189" t="s">
        <v>4460</v>
      </c>
      <c r="G189" s="389" t="s">
        <v>6334</v>
      </c>
      <c r="I189">
        <f>SUM(I188:J188)</f>
        <v>4.5833333333333337E-2</v>
      </c>
      <c r="N189" t="s">
        <v>4511</v>
      </c>
    </row>
    <row r="190" spans="1:17" x14ac:dyDescent="0.25">
      <c r="F190" s="224" t="str">
        <f>+F173</f>
        <v>CA0052</v>
      </c>
      <c r="G190" s="389" t="s">
        <v>4965</v>
      </c>
      <c r="I190">
        <v>0.02</v>
      </c>
      <c r="N190" t="str">
        <f>+N173</f>
        <v>AQUA</v>
      </c>
    </row>
    <row r="191" spans="1:17" x14ac:dyDescent="0.25">
      <c r="F191" s="224" t="s">
        <v>4460</v>
      </c>
      <c r="G191" s="400" t="s">
        <v>111</v>
      </c>
      <c r="I191">
        <v>1.6999999999999999E-3</v>
      </c>
      <c r="J191">
        <f>(I191/0.7)-I191</f>
        <v>7.2857142857142847E-4</v>
      </c>
      <c r="N191" t="s">
        <v>4519</v>
      </c>
    </row>
    <row r="192" spans="1:17" x14ac:dyDescent="0.25">
      <c r="F192" s="224" t="s">
        <v>4460</v>
      </c>
      <c r="G192" s="389" t="s">
        <v>6334</v>
      </c>
      <c r="I192">
        <f>SUM(I191:J191)</f>
        <v>2.4285714285714284E-3</v>
      </c>
      <c r="N192" t="s">
        <v>4511</v>
      </c>
    </row>
    <row r="193" spans="1:17" x14ac:dyDescent="0.25">
      <c r="F193" s="224" t="s">
        <v>4460</v>
      </c>
      <c r="G193" s="389" t="s">
        <v>62</v>
      </c>
      <c r="I193">
        <v>2.8E-3</v>
      </c>
      <c r="N193" t="s">
        <v>4518</v>
      </c>
    </row>
    <row r="194" spans="1:17" x14ac:dyDescent="0.25">
      <c r="A194" s="333"/>
      <c r="B194" s="333"/>
      <c r="C194" s="333"/>
      <c r="D194" s="333"/>
      <c r="E194" s="333"/>
      <c r="F194" s="224" t="s">
        <v>4460</v>
      </c>
      <c r="G194" s="400"/>
      <c r="H194" s="333"/>
      <c r="I194" s="333">
        <v>0.25</v>
      </c>
      <c r="J194" s="333"/>
      <c r="K194" s="333"/>
      <c r="L194" s="333"/>
      <c r="M194" s="333"/>
      <c r="N194" s="333" t="s">
        <v>4584</v>
      </c>
      <c r="O194" s="335"/>
      <c r="P194" s="333"/>
    </row>
    <row r="195" spans="1:17" x14ac:dyDescent="0.25">
      <c r="F195" s="224" t="s">
        <v>4585</v>
      </c>
      <c r="G195" s="389" t="s">
        <v>5197</v>
      </c>
      <c r="I195">
        <v>1E-3</v>
      </c>
      <c r="N195" t="s">
        <v>4586</v>
      </c>
    </row>
    <row r="196" spans="1:17" x14ac:dyDescent="0.25">
      <c r="F196" s="224" t="str">
        <f>+F179</f>
        <v>CA0051</v>
      </c>
      <c r="G196" s="389" t="s">
        <v>6428</v>
      </c>
      <c r="N196" t="str">
        <f>+N179</f>
        <v>ILLUMINAZIONE</v>
      </c>
    </row>
    <row r="197" spans="1:17" x14ac:dyDescent="0.25">
      <c r="F197" t="s">
        <v>4460</v>
      </c>
      <c r="G197" s="389" t="s">
        <v>6442</v>
      </c>
      <c r="N197" t="s">
        <v>4494</v>
      </c>
    </row>
    <row r="198" spans="1:17" x14ac:dyDescent="0.25">
      <c r="F198" s="224" t="str">
        <f>+F181</f>
        <v>CA0015</v>
      </c>
      <c r="G198" s="400"/>
      <c r="I198">
        <v>1</v>
      </c>
      <c r="N198" t="str">
        <f>+N181</f>
        <v>M / S Formaleta</v>
      </c>
    </row>
    <row r="199" spans="1:17" x14ac:dyDescent="0.25">
      <c r="F199" s="224" t="str">
        <f>+F182</f>
        <v>CA0016</v>
      </c>
      <c r="G199" s="400"/>
      <c r="I199">
        <v>1</v>
      </c>
      <c r="N199" t="str">
        <f>+N182</f>
        <v>CURING</v>
      </c>
    </row>
    <row r="200" spans="1:17" x14ac:dyDescent="0.25">
      <c r="A200" s="223" t="s">
        <v>4594</v>
      </c>
      <c r="B200" s="223" t="s">
        <v>4592</v>
      </c>
      <c r="C200" s="223" t="s">
        <v>4579</v>
      </c>
      <c r="D200" s="223"/>
      <c r="E200" s="223"/>
      <c r="F200" s="224" t="str">
        <f>+F183</f>
        <v>CA0006</v>
      </c>
      <c r="G200" s="400"/>
      <c r="H200" s="223"/>
      <c r="I200" s="223">
        <v>2.4</v>
      </c>
      <c r="J200" s="223"/>
      <c r="K200" s="223"/>
      <c r="L200" s="223"/>
      <c r="M200" s="223"/>
      <c r="N200" s="223" t="str">
        <f>+N183</f>
        <v>CUADRILLA FORMALETA 2 Turno por dia</v>
      </c>
      <c r="O200" s="312"/>
      <c r="P200" s="223"/>
    </row>
    <row r="201" spans="1:17" x14ac:dyDescent="0.25">
      <c r="F201" t="s">
        <v>4460</v>
      </c>
      <c r="I201">
        <v>1</v>
      </c>
      <c r="N201" s="338" t="s">
        <v>4580</v>
      </c>
      <c r="O201" s="337" t="s">
        <v>4593</v>
      </c>
      <c r="P201" s="294"/>
      <c r="Q201" s="294"/>
    </row>
    <row r="202" spans="1:17" x14ac:dyDescent="0.25">
      <c r="F202" t="s">
        <v>4460</v>
      </c>
      <c r="G202" s="398" t="s">
        <v>425</v>
      </c>
      <c r="I202">
        <v>2.5000000000000001E-2</v>
      </c>
      <c r="N202" s="224" t="s">
        <v>4581</v>
      </c>
    </row>
    <row r="203" spans="1:17" x14ac:dyDescent="0.25">
      <c r="F203" t="s">
        <v>4460</v>
      </c>
      <c r="G203" s="389" t="s">
        <v>6432</v>
      </c>
      <c r="I203">
        <v>0.01</v>
      </c>
      <c r="J203">
        <f>(I203/0.7)-I203</f>
        <v>4.2857142857142868E-3</v>
      </c>
      <c r="N203" s="224" t="s">
        <v>4582</v>
      </c>
    </row>
    <row r="204" spans="1:17" x14ac:dyDescent="0.25">
      <c r="F204" t="s">
        <v>4460</v>
      </c>
      <c r="G204" s="389" t="s">
        <v>6334</v>
      </c>
      <c r="I204">
        <f>SUM(I203:J203)</f>
        <v>1.4285714285714287E-2</v>
      </c>
      <c r="N204" t="s">
        <v>4511</v>
      </c>
    </row>
    <row r="205" spans="1:17" x14ac:dyDescent="0.25">
      <c r="F205" t="s">
        <v>4460</v>
      </c>
      <c r="G205" s="389" t="s">
        <v>4860</v>
      </c>
      <c r="I205">
        <v>2.75E-2</v>
      </c>
      <c r="J205">
        <f>(I205/0.6)-I205</f>
        <v>1.8333333333333337E-2</v>
      </c>
      <c r="N205" t="s">
        <v>4583</v>
      </c>
    </row>
    <row r="206" spans="1:17" x14ac:dyDescent="0.25">
      <c r="F206" t="s">
        <v>4555</v>
      </c>
      <c r="G206" s="389" t="s">
        <v>6334</v>
      </c>
      <c r="I206">
        <f>SUM(I205:J205)</f>
        <v>4.5833333333333337E-2</v>
      </c>
      <c r="N206" t="s">
        <v>4511</v>
      </c>
    </row>
    <row r="207" spans="1:17" x14ac:dyDescent="0.25">
      <c r="F207" s="224" t="str">
        <f>+F190</f>
        <v>CA0052</v>
      </c>
      <c r="G207" s="389" t="s">
        <v>4965</v>
      </c>
      <c r="I207">
        <v>0.02</v>
      </c>
      <c r="N207" t="str">
        <f>+N190</f>
        <v>AQUA</v>
      </c>
    </row>
    <row r="208" spans="1:17" x14ac:dyDescent="0.25">
      <c r="F208" s="224" t="s">
        <v>4460</v>
      </c>
      <c r="G208" s="400" t="s">
        <v>111</v>
      </c>
      <c r="I208">
        <v>1.6999999999999999E-3</v>
      </c>
      <c r="J208">
        <f>(I208/0.7)-I208</f>
        <v>7.2857142857142847E-4</v>
      </c>
      <c r="N208" t="s">
        <v>4519</v>
      </c>
    </row>
    <row r="209" spans="1:17" x14ac:dyDescent="0.25">
      <c r="F209" s="224" t="s">
        <v>4460</v>
      </c>
      <c r="G209" s="389" t="s">
        <v>6334</v>
      </c>
      <c r="I209">
        <f>SUM(I208:J208)</f>
        <v>2.4285714285714284E-3</v>
      </c>
      <c r="N209" t="s">
        <v>4511</v>
      </c>
    </row>
    <row r="210" spans="1:17" x14ac:dyDescent="0.25">
      <c r="F210" s="224" t="s">
        <v>4460</v>
      </c>
      <c r="G210" s="389" t="s">
        <v>62</v>
      </c>
      <c r="I210">
        <v>2.8E-3</v>
      </c>
      <c r="N210" t="s">
        <v>4518</v>
      </c>
    </row>
    <row r="211" spans="1:17" x14ac:dyDescent="0.25">
      <c r="F211" s="224" t="s">
        <v>4460</v>
      </c>
      <c r="G211" s="400"/>
      <c r="I211">
        <v>0.25</v>
      </c>
      <c r="N211" t="s">
        <v>4584</v>
      </c>
    </row>
    <row r="212" spans="1:17" x14ac:dyDescent="0.25">
      <c r="A212" s="333"/>
      <c r="B212" s="333"/>
      <c r="C212" s="333"/>
      <c r="D212" s="333"/>
      <c r="E212" s="333"/>
      <c r="F212" s="224" t="s">
        <v>4585</v>
      </c>
      <c r="G212" s="389" t="s">
        <v>5197</v>
      </c>
      <c r="H212" s="333"/>
      <c r="I212" s="333">
        <v>1E-3</v>
      </c>
      <c r="J212" s="333"/>
      <c r="K212" s="333"/>
      <c r="L212" s="333"/>
      <c r="M212" s="333"/>
      <c r="N212" s="333" t="s">
        <v>4586</v>
      </c>
      <c r="O212" s="335"/>
      <c r="P212" s="333"/>
      <c r="Q212" s="333"/>
    </row>
    <row r="213" spans="1:17" x14ac:dyDescent="0.25">
      <c r="F213" s="224" t="str">
        <f>+F196</f>
        <v>CA0051</v>
      </c>
      <c r="G213" s="389" t="s">
        <v>6428</v>
      </c>
      <c r="N213" t="str">
        <f>+N196</f>
        <v>ILLUMINAZIONE</v>
      </c>
    </row>
    <row r="214" spans="1:17" x14ac:dyDescent="0.25">
      <c r="F214" t="s">
        <v>4460</v>
      </c>
      <c r="G214" s="389" t="s">
        <v>6442</v>
      </c>
      <c r="N214" t="s">
        <v>4494</v>
      </c>
    </row>
    <row r="215" spans="1:17" x14ac:dyDescent="0.25">
      <c r="F215" s="224" t="str">
        <f>+F198</f>
        <v>CA0015</v>
      </c>
      <c r="G215" s="400"/>
      <c r="I215">
        <v>1</v>
      </c>
      <c r="N215" t="str">
        <f>+N198</f>
        <v>M / S Formaleta</v>
      </c>
    </row>
    <row r="216" spans="1:17" x14ac:dyDescent="0.25">
      <c r="F216" s="224" t="str">
        <f>+F199</f>
        <v>CA0016</v>
      </c>
      <c r="G216" s="400"/>
      <c r="I216">
        <v>1</v>
      </c>
      <c r="N216" t="str">
        <f>+N199</f>
        <v>CURING</v>
      </c>
    </row>
    <row r="217" spans="1:17" x14ac:dyDescent="0.25">
      <c r="A217" s="223" t="s">
        <v>4595</v>
      </c>
      <c r="B217" s="223" t="s">
        <v>4596</v>
      </c>
      <c r="C217" s="223" t="s">
        <v>4579</v>
      </c>
      <c r="D217" s="223"/>
      <c r="E217" s="223"/>
      <c r="F217" s="224" t="str">
        <f>+F200</f>
        <v>CA0006</v>
      </c>
      <c r="G217" s="400"/>
      <c r="H217" s="223"/>
      <c r="I217" s="223">
        <v>3.2</v>
      </c>
      <c r="J217" s="223"/>
      <c r="K217" s="223"/>
      <c r="L217" s="223"/>
      <c r="M217" s="223"/>
      <c r="N217" s="223" t="str">
        <f>+N200</f>
        <v>CUADRILLA FORMALETA 2 Turno por dia</v>
      </c>
      <c r="O217" s="312"/>
      <c r="P217" s="223"/>
    </row>
    <row r="218" spans="1:17" x14ac:dyDescent="0.25">
      <c r="A218" s="333"/>
      <c r="B218" s="333"/>
      <c r="C218" s="333"/>
      <c r="D218" s="333"/>
      <c r="E218" s="333"/>
      <c r="F218" s="333" t="s">
        <v>4460</v>
      </c>
      <c r="G218" s="400"/>
      <c r="H218" s="333"/>
      <c r="I218" s="333">
        <v>1</v>
      </c>
      <c r="J218" s="333"/>
      <c r="K218" s="333"/>
      <c r="L218" s="333"/>
      <c r="M218" s="333"/>
      <c r="N218" s="334" t="s">
        <v>4598</v>
      </c>
      <c r="O218" s="384" t="s">
        <v>4597</v>
      </c>
      <c r="P218" s="385"/>
      <c r="Q218" s="385"/>
    </row>
    <row r="219" spans="1:17" x14ac:dyDescent="0.25">
      <c r="F219" t="s">
        <v>4460</v>
      </c>
      <c r="G219" s="398" t="s">
        <v>425</v>
      </c>
      <c r="I219">
        <v>2.5000000000000001E-2</v>
      </c>
      <c r="N219" s="224" t="s">
        <v>4581</v>
      </c>
    </row>
    <row r="220" spans="1:17" x14ac:dyDescent="0.25">
      <c r="F220" t="s">
        <v>4460</v>
      </c>
      <c r="G220" s="389" t="s">
        <v>6432</v>
      </c>
      <c r="I220">
        <v>0.01</v>
      </c>
      <c r="J220">
        <f>(I220/0.7)-I220</f>
        <v>4.2857142857142868E-3</v>
      </c>
      <c r="N220" s="224" t="s">
        <v>4582</v>
      </c>
    </row>
    <row r="221" spans="1:17" x14ac:dyDescent="0.25">
      <c r="F221" t="s">
        <v>4460</v>
      </c>
      <c r="G221" s="389" t="s">
        <v>6334</v>
      </c>
      <c r="I221">
        <f>SUM(I220:J220)</f>
        <v>1.4285714285714287E-2</v>
      </c>
      <c r="N221" t="s">
        <v>4511</v>
      </c>
    </row>
    <row r="222" spans="1:17" x14ac:dyDescent="0.25">
      <c r="F222" t="s">
        <v>4460</v>
      </c>
      <c r="G222" s="389" t="s">
        <v>4860</v>
      </c>
      <c r="I222">
        <v>3.6700000000000003E-2</v>
      </c>
      <c r="J222">
        <f>(I222/0.6)-I222</f>
        <v>2.4466666666666671E-2</v>
      </c>
      <c r="N222" t="s">
        <v>4583</v>
      </c>
    </row>
    <row r="223" spans="1:17" x14ac:dyDescent="0.25">
      <c r="F223" t="s">
        <v>4460</v>
      </c>
      <c r="G223" s="389" t="s">
        <v>6334</v>
      </c>
      <c r="I223">
        <f>SUM(I222:J222)</f>
        <v>6.1166666666666675E-2</v>
      </c>
      <c r="N223" t="s">
        <v>4511</v>
      </c>
    </row>
    <row r="224" spans="1:17" x14ac:dyDescent="0.25">
      <c r="F224" s="224" t="str">
        <f>+F207</f>
        <v>CA0052</v>
      </c>
      <c r="G224" s="389" t="s">
        <v>4965</v>
      </c>
      <c r="I224">
        <v>0.02</v>
      </c>
      <c r="N224" t="str">
        <f>+N207</f>
        <v>AQUA</v>
      </c>
    </row>
    <row r="225" spans="1:17" x14ac:dyDescent="0.25">
      <c r="A225" s="333"/>
      <c r="B225" s="333"/>
      <c r="C225" s="333"/>
      <c r="D225" s="333"/>
      <c r="E225" s="333"/>
      <c r="F225" s="224" t="s">
        <v>4460</v>
      </c>
      <c r="G225" s="400" t="s">
        <v>111</v>
      </c>
      <c r="H225" s="333"/>
      <c r="I225" s="333">
        <v>1.6999999999999999E-3</v>
      </c>
      <c r="J225" s="333">
        <f>(I225/0.7)-I225</f>
        <v>7.2857142857142847E-4</v>
      </c>
      <c r="K225" s="333"/>
      <c r="L225" s="333"/>
      <c r="M225" s="333"/>
      <c r="N225" s="333" t="s">
        <v>4519</v>
      </c>
      <c r="O225" s="335"/>
      <c r="P225" s="333"/>
      <c r="Q225" s="333"/>
    </row>
    <row r="226" spans="1:17" x14ac:dyDescent="0.25">
      <c r="F226" s="224" t="s">
        <v>4460</v>
      </c>
      <c r="G226" s="389" t="s">
        <v>6334</v>
      </c>
      <c r="I226">
        <f>SUM(I225:J225)</f>
        <v>2.4285714285714284E-3</v>
      </c>
      <c r="N226" t="s">
        <v>4511</v>
      </c>
    </row>
    <row r="227" spans="1:17" x14ac:dyDescent="0.25">
      <c r="F227" s="224" t="s">
        <v>4460</v>
      </c>
      <c r="G227" s="389" t="s">
        <v>62</v>
      </c>
      <c r="I227">
        <v>2.8E-3</v>
      </c>
      <c r="N227" t="s">
        <v>4518</v>
      </c>
    </row>
    <row r="228" spans="1:17" x14ac:dyDescent="0.25">
      <c r="F228" s="224" t="s">
        <v>4460</v>
      </c>
      <c r="G228" s="400"/>
      <c r="I228">
        <v>0.25</v>
      </c>
      <c r="N228" t="s">
        <v>4584</v>
      </c>
    </row>
    <row r="229" spans="1:17" x14ac:dyDescent="0.25">
      <c r="A229" s="333"/>
      <c r="B229" s="333"/>
      <c r="C229" s="333"/>
      <c r="D229" s="333"/>
      <c r="E229" s="333"/>
      <c r="F229" s="224" t="s">
        <v>4585</v>
      </c>
      <c r="G229" s="389" t="s">
        <v>5197</v>
      </c>
      <c r="H229" s="333"/>
      <c r="I229" s="333">
        <v>1E-3</v>
      </c>
      <c r="J229" s="333"/>
      <c r="K229" s="333"/>
      <c r="L229" s="333"/>
      <c r="M229" s="333"/>
      <c r="N229" s="333" t="s">
        <v>4586</v>
      </c>
      <c r="O229" s="335"/>
      <c r="P229" s="333"/>
      <c r="Q229" s="333"/>
    </row>
    <row r="230" spans="1:17" x14ac:dyDescent="0.25">
      <c r="F230" s="224" t="str">
        <f>+F213</f>
        <v>CA0051</v>
      </c>
      <c r="G230" s="389" t="s">
        <v>6428</v>
      </c>
      <c r="N230" t="str">
        <f>+N213</f>
        <v>ILLUMINAZIONE</v>
      </c>
    </row>
    <row r="231" spans="1:17" x14ac:dyDescent="0.25">
      <c r="F231" t="s">
        <v>4460</v>
      </c>
      <c r="G231" s="389" t="s">
        <v>6442</v>
      </c>
      <c r="N231" t="s">
        <v>4494</v>
      </c>
    </row>
    <row r="232" spans="1:17" x14ac:dyDescent="0.25">
      <c r="F232" s="224" t="str">
        <f>+F215</f>
        <v>CA0015</v>
      </c>
      <c r="G232" s="400"/>
      <c r="I232">
        <v>1</v>
      </c>
      <c r="N232" t="str">
        <f>+N215</f>
        <v>M / S Formaleta</v>
      </c>
    </row>
    <row r="233" spans="1:17" x14ac:dyDescent="0.25">
      <c r="F233" s="224" t="str">
        <f>+F216</f>
        <v>CA0016</v>
      </c>
      <c r="G233" s="400"/>
      <c r="I233">
        <v>1</v>
      </c>
      <c r="N233" t="str">
        <f>+N216</f>
        <v>CURING</v>
      </c>
    </row>
    <row r="234" spans="1:17" x14ac:dyDescent="0.25">
      <c r="A234" s="223" t="s">
        <v>4599</v>
      </c>
      <c r="B234" s="223" t="s">
        <v>4601</v>
      </c>
      <c r="C234" s="223" t="s">
        <v>4579</v>
      </c>
      <c r="D234" s="223"/>
      <c r="E234" s="223"/>
      <c r="F234" s="224" t="str">
        <f>+F217</f>
        <v>CA0006</v>
      </c>
      <c r="G234" s="400"/>
      <c r="H234" s="223"/>
      <c r="I234" s="223">
        <v>3.2</v>
      </c>
      <c r="J234" s="223"/>
      <c r="K234" s="223"/>
      <c r="L234" s="223"/>
      <c r="M234" s="223"/>
      <c r="N234" s="223" t="str">
        <f>+N217</f>
        <v>CUADRILLA FORMALETA 2 Turno por dia</v>
      </c>
      <c r="O234" s="312"/>
      <c r="P234" s="223"/>
    </row>
    <row r="235" spans="1:17" x14ac:dyDescent="0.25">
      <c r="F235" t="s">
        <v>4460</v>
      </c>
      <c r="I235">
        <v>1</v>
      </c>
      <c r="N235" s="334" t="s">
        <v>4598</v>
      </c>
      <c r="O235" s="339" t="s">
        <v>4597</v>
      </c>
      <c r="P235" s="340"/>
      <c r="Q235" s="340"/>
    </row>
    <row r="236" spans="1:17" x14ac:dyDescent="0.25">
      <c r="F236" t="s">
        <v>4460</v>
      </c>
      <c r="G236" s="398" t="s">
        <v>425</v>
      </c>
      <c r="I236">
        <v>2.5000000000000001E-2</v>
      </c>
      <c r="N236" s="224" t="s">
        <v>4581</v>
      </c>
    </row>
    <row r="237" spans="1:17" x14ac:dyDescent="0.25">
      <c r="A237" s="333"/>
      <c r="B237" s="333"/>
      <c r="C237" s="333"/>
      <c r="D237" s="333"/>
      <c r="E237" s="333"/>
      <c r="F237" t="s">
        <v>4460</v>
      </c>
      <c r="G237" s="389" t="s">
        <v>6432</v>
      </c>
      <c r="H237" s="333"/>
      <c r="I237" s="333">
        <v>0.01</v>
      </c>
      <c r="J237" s="333">
        <f>(I237/0.7)-I237</f>
        <v>4.2857142857142868E-3</v>
      </c>
      <c r="K237" s="333"/>
      <c r="L237" s="333"/>
      <c r="M237" s="333"/>
      <c r="N237" s="224" t="s">
        <v>4582</v>
      </c>
      <c r="O237" s="335"/>
      <c r="P237" s="333"/>
      <c r="Q237" s="333"/>
    </row>
    <row r="238" spans="1:17" x14ac:dyDescent="0.25">
      <c r="F238" t="s">
        <v>4460</v>
      </c>
      <c r="G238" s="389" t="s">
        <v>6334</v>
      </c>
      <c r="I238">
        <f>SUM(I237:J237)</f>
        <v>1.4285714285714287E-2</v>
      </c>
      <c r="N238" t="s">
        <v>4511</v>
      </c>
    </row>
    <row r="239" spans="1:17" x14ac:dyDescent="0.25">
      <c r="F239" t="s">
        <v>4460</v>
      </c>
      <c r="G239" s="389" t="s">
        <v>4860</v>
      </c>
      <c r="I239">
        <v>3.6700000000000003E-2</v>
      </c>
      <c r="J239">
        <f>(I239/0.6)-I239</f>
        <v>2.4466666666666671E-2</v>
      </c>
      <c r="N239" t="s">
        <v>4583</v>
      </c>
    </row>
    <row r="240" spans="1:17" x14ac:dyDescent="0.25">
      <c r="F240" t="s">
        <v>4555</v>
      </c>
      <c r="G240" s="389" t="s">
        <v>6334</v>
      </c>
      <c r="I240">
        <f>SUM(I239:J239)</f>
        <v>6.1166666666666675E-2</v>
      </c>
      <c r="N240" t="s">
        <v>4511</v>
      </c>
    </row>
    <row r="241" spans="1:17" x14ac:dyDescent="0.25">
      <c r="F241" s="224" t="str">
        <f>+F224</f>
        <v>CA0052</v>
      </c>
      <c r="G241" s="389" t="s">
        <v>4965</v>
      </c>
      <c r="I241">
        <v>0.02</v>
      </c>
      <c r="N241" t="str">
        <f>+N224</f>
        <v>AQUA</v>
      </c>
    </row>
    <row r="242" spans="1:17" x14ac:dyDescent="0.25">
      <c r="F242" s="224" t="s">
        <v>4460</v>
      </c>
      <c r="G242" s="400" t="s">
        <v>111</v>
      </c>
      <c r="I242">
        <v>1.6999999999999999E-3</v>
      </c>
      <c r="J242">
        <f>(I242/0.7)-I242</f>
        <v>7.2857142857142847E-4</v>
      </c>
      <c r="N242" t="s">
        <v>4519</v>
      </c>
    </row>
    <row r="243" spans="1:17" x14ac:dyDescent="0.25">
      <c r="F243" s="224" t="s">
        <v>4460</v>
      </c>
      <c r="G243" s="389" t="s">
        <v>6334</v>
      </c>
      <c r="I243">
        <f>SUM(I242:J242)</f>
        <v>2.4285714285714284E-3</v>
      </c>
      <c r="N243" t="s">
        <v>4511</v>
      </c>
    </row>
    <row r="244" spans="1:17" x14ac:dyDescent="0.25">
      <c r="A244" s="333"/>
      <c r="B244" s="333"/>
      <c r="C244" s="333"/>
      <c r="D244" s="333"/>
      <c r="E244" s="333"/>
      <c r="F244" s="224" t="s">
        <v>4460</v>
      </c>
      <c r="G244" s="389" t="s">
        <v>62</v>
      </c>
      <c r="H244" s="333"/>
      <c r="I244" s="333">
        <v>2.8E-3</v>
      </c>
      <c r="J244" s="333"/>
      <c r="K244" s="333"/>
      <c r="L244" s="333"/>
      <c r="M244" s="333"/>
      <c r="N244" s="333" t="s">
        <v>4518</v>
      </c>
      <c r="O244" s="335"/>
      <c r="P244" s="333"/>
      <c r="Q244" s="333"/>
    </row>
    <row r="245" spans="1:17" x14ac:dyDescent="0.25">
      <c r="F245" s="224" t="s">
        <v>4460</v>
      </c>
      <c r="G245" s="400"/>
      <c r="I245">
        <v>0.25</v>
      </c>
      <c r="N245" t="s">
        <v>4584</v>
      </c>
    </row>
    <row r="246" spans="1:17" x14ac:dyDescent="0.25">
      <c r="F246" s="224" t="s">
        <v>4585</v>
      </c>
      <c r="G246" s="389" t="s">
        <v>5197</v>
      </c>
      <c r="I246">
        <v>1E-3</v>
      </c>
      <c r="N246" t="s">
        <v>4586</v>
      </c>
    </row>
    <row r="247" spans="1:17" x14ac:dyDescent="0.25">
      <c r="F247" s="224" t="str">
        <f>+F230</f>
        <v>CA0051</v>
      </c>
      <c r="G247" s="389" t="s">
        <v>6428</v>
      </c>
      <c r="N247" t="str">
        <f>+N230</f>
        <v>ILLUMINAZIONE</v>
      </c>
    </row>
    <row r="248" spans="1:17" x14ac:dyDescent="0.25">
      <c r="F248" t="s">
        <v>4460</v>
      </c>
      <c r="G248" s="389" t="s">
        <v>6442</v>
      </c>
      <c r="N248" t="s">
        <v>4494</v>
      </c>
    </row>
    <row r="249" spans="1:17" x14ac:dyDescent="0.25">
      <c r="F249" s="224" t="str">
        <f>+F232</f>
        <v>CA0015</v>
      </c>
      <c r="G249" s="400"/>
      <c r="I249">
        <v>1</v>
      </c>
      <c r="N249" t="str">
        <f>+N232</f>
        <v>M / S Formaleta</v>
      </c>
    </row>
    <row r="250" spans="1:17" x14ac:dyDescent="0.25">
      <c r="A250" s="333"/>
      <c r="B250" s="333"/>
      <c r="C250" s="333"/>
      <c r="D250" s="333"/>
      <c r="E250" s="333"/>
      <c r="F250" s="224" t="str">
        <f>+F233</f>
        <v>CA0016</v>
      </c>
      <c r="G250" s="400"/>
      <c r="H250" s="333"/>
      <c r="I250" s="333">
        <v>1</v>
      </c>
      <c r="J250" s="333"/>
      <c r="K250" s="333"/>
      <c r="L250" s="333"/>
      <c r="M250" s="333"/>
      <c r="N250" s="333" t="str">
        <f>+N233</f>
        <v>CURING</v>
      </c>
      <c r="O250" s="335"/>
      <c r="P250" s="333"/>
      <c r="Q250" s="333"/>
    </row>
    <row r="251" spans="1:17" x14ac:dyDescent="0.25">
      <c r="A251" s="223" t="s">
        <v>4600</v>
      </c>
      <c r="B251" s="223" t="s">
        <v>4602</v>
      </c>
      <c r="C251" s="223" t="s">
        <v>4579</v>
      </c>
      <c r="D251" s="223"/>
      <c r="E251" s="223"/>
      <c r="F251" s="224" t="str">
        <f>+F234</f>
        <v>CA0006</v>
      </c>
      <c r="G251" s="400"/>
      <c r="H251" s="223"/>
      <c r="I251" s="223">
        <v>3.2</v>
      </c>
      <c r="J251" s="223"/>
      <c r="K251" s="223"/>
      <c r="L251" s="223"/>
      <c r="M251" s="223"/>
      <c r="N251" s="223" t="str">
        <f>+N234</f>
        <v>CUADRILLA FORMALETA 2 Turno por dia</v>
      </c>
      <c r="O251" s="312"/>
      <c r="P251" s="223"/>
    </row>
    <row r="252" spans="1:17" x14ac:dyDescent="0.25">
      <c r="F252" t="s">
        <v>4460</v>
      </c>
      <c r="I252">
        <v>1</v>
      </c>
      <c r="N252" s="334" t="s">
        <v>4598</v>
      </c>
      <c r="O252" s="339" t="s">
        <v>4597</v>
      </c>
      <c r="P252" s="340"/>
      <c r="Q252" s="340"/>
    </row>
    <row r="253" spans="1:17" x14ac:dyDescent="0.25">
      <c r="F253" t="s">
        <v>4460</v>
      </c>
      <c r="G253" s="398" t="s">
        <v>425</v>
      </c>
      <c r="I253">
        <v>2.5000000000000001E-2</v>
      </c>
      <c r="N253" s="224" t="s">
        <v>4581</v>
      </c>
    </row>
    <row r="254" spans="1:17" x14ac:dyDescent="0.25">
      <c r="F254" t="s">
        <v>4460</v>
      </c>
      <c r="G254" s="389" t="s">
        <v>6432</v>
      </c>
      <c r="I254">
        <v>0.01</v>
      </c>
      <c r="J254">
        <f>(I254/0.7)-I254</f>
        <v>4.2857142857142868E-3</v>
      </c>
      <c r="N254" s="224" t="s">
        <v>4582</v>
      </c>
    </row>
    <row r="255" spans="1:17" x14ac:dyDescent="0.25">
      <c r="F255" t="s">
        <v>4460</v>
      </c>
      <c r="G255" s="389" t="s">
        <v>6334</v>
      </c>
      <c r="I255">
        <f>SUM(I254:J254)</f>
        <v>1.4285714285714287E-2</v>
      </c>
      <c r="N255" t="s">
        <v>4511</v>
      </c>
    </row>
    <row r="256" spans="1:17" x14ac:dyDescent="0.25">
      <c r="F256" t="s">
        <v>4460</v>
      </c>
      <c r="G256" s="389" t="s">
        <v>4860</v>
      </c>
      <c r="I256">
        <v>3.6700000000000003E-2</v>
      </c>
      <c r="J256">
        <f>(I256/0.6)-I256</f>
        <v>2.4466666666666671E-2</v>
      </c>
      <c r="N256" t="s">
        <v>4583</v>
      </c>
    </row>
    <row r="257" spans="1:24" x14ac:dyDescent="0.25">
      <c r="F257" t="s">
        <v>4460</v>
      </c>
      <c r="G257" s="389" t="s">
        <v>6334</v>
      </c>
      <c r="I257">
        <f>SUM(I256:J256)</f>
        <v>6.1166666666666675E-2</v>
      </c>
      <c r="N257" t="s">
        <v>4511</v>
      </c>
    </row>
    <row r="258" spans="1:24" x14ac:dyDescent="0.25">
      <c r="F258" s="224" t="str">
        <f>+F241</f>
        <v>CA0052</v>
      </c>
      <c r="G258" s="389" t="s">
        <v>4965</v>
      </c>
      <c r="I258">
        <v>0.02</v>
      </c>
      <c r="N258" t="str">
        <f>+N241</f>
        <v>AQUA</v>
      </c>
    </row>
    <row r="259" spans="1:24" x14ac:dyDescent="0.25">
      <c r="F259" s="224" t="s">
        <v>4460</v>
      </c>
      <c r="G259" s="400" t="s">
        <v>111</v>
      </c>
      <c r="I259">
        <v>1.6999999999999999E-3</v>
      </c>
      <c r="J259">
        <f>(I259/0.7)-I259</f>
        <v>7.2857142857142847E-4</v>
      </c>
      <c r="N259" t="s">
        <v>4519</v>
      </c>
    </row>
    <row r="260" spans="1:24" x14ac:dyDescent="0.25">
      <c r="F260" s="224" t="s">
        <v>4460</v>
      </c>
      <c r="G260" s="389" t="s">
        <v>6334</v>
      </c>
      <c r="I260">
        <f>SUM(I259:J259)</f>
        <v>2.4285714285714284E-3</v>
      </c>
      <c r="N260" t="s">
        <v>4511</v>
      </c>
    </row>
    <row r="261" spans="1:24" x14ac:dyDescent="0.25">
      <c r="F261" s="224" t="s">
        <v>4460</v>
      </c>
      <c r="G261" s="389" t="s">
        <v>62</v>
      </c>
      <c r="I261">
        <v>2.8E-3</v>
      </c>
      <c r="N261" t="s">
        <v>4518</v>
      </c>
    </row>
    <row r="262" spans="1:24" x14ac:dyDescent="0.25">
      <c r="F262" s="224" t="s">
        <v>4460</v>
      </c>
      <c r="G262" s="400"/>
      <c r="I262">
        <v>0.25</v>
      </c>
      <c r="N262" t="s">
        <v>4584</v>
      </c>
    </row>
    <row r="263" spans="1:24" x14ac:dyDescent="0.25">
      <c r="F263" s="224" t="s">
        <v>4585</v>
      </c>
      <c r="G263" s="389" t="s">
        <v>5197</v>
      </c>
      <c r="I263">
        <v>1E-3</v>
      </c>
      <c r="N263" t="s">
        <v>4586</v>
      </c>
    </row>
    <row r="264" spans="1:24" x14ac:dyDescent="0.25">
      <c r="F264" s="224" t="str">
        <f>+F247</f>
        <v>CA0051</v>
      </c>
      <c r="G264" s="389" t="s">
        <v>6428</v>
      </c>
      <c r="N264" t="str">
        <f>+N247</f>
        <v>ILLUMINAZIONE</v>
      </c>
    </row>
    <row r="265" spans="1:24" x14ac:dyDescent="0.25">
      <c r="F265" t="s">
        <v>4460</v>
      </c>
      <c r="G265" s="389" t="s">
        <v>6442</v>
      </c>
      <c r="N265" t="s">
        <v>4494</v>
      </c>
    </row>
    <row r="266" spans="1:24" x14ac:dyDescent="0.25">
      <c r="F266" s="224" t="str">
        <f>+F249</f>
        <v>CA0015</v>
      </c>
      <c r="G266" s="400"/>
      <c r="I266">
        <v>1</v>
      </c>
      <c r="N266" t="str">
        <f>+N249</f>
        <v>M / S Formaleta</v>
      </c>
    </row>
    <row r="267" spans="1:24" x14ac:dyDescent="0.25">
      <c r="A267" s="341" t="s">
        <v>4603</v>
      </c>
      <c r="B267" s="294"/>
      <c r="C267" s="294"/>
      <c r="D267" s="294"/>
      <c r="E267" s="294"/>
      <c r="F267" s="224" t="str">
        <f>+F250</f>
        <v>CA0016</v>
      </c>
      <c r="G267" s="400"/>
      <c r="I267">
        <v>1</v>
      </c>
      <c r="N267" t="str">
        <f>+N250</f>
        <v>CURING</v>
      </c>
    </row>
    <row r="268" spans="1:24" x14ac:dyDescent="0.25">
      <c r="A268" s="357" t="s">
        <v>4604</v>
      </c>
      <c r="B268" s="357" t="s">
        <v>4626</v>
      </c>
      <c r="C268" s="357" t="s">
        <v>4514</v>
      </c>
      <c r="D268" s="357"/>
      <c r="E268" s="357"/>
      <c r="F268" s="224" t="str">
        <f>+'CP. Auxiliar'!A3</f>
        <v>CA0001</v>
      </c>
      <c r="G268" s="400"/>
      <c r="H268" s="223"/>
      <c r="I268" s="223">
        <f>4*I270</f>
        <v>4.0404040404040401E-2</v>
      </c>
      <c r="J268" s="223"/>
      <c r="K268" s="223"/>
      <c r="L268" s="223"/>
      <c r="M268" s="223"/>
      <c r="N268" s="223" t="str">
        <f>+'CP. Auxiliar'!B3</f>
        <v>CUADRILLA ESCAVACION 1 Turno per dia</v>
      </c>
      <c r="O268" s="312"/>
      <c r="P268" s="223"/>
      <c r="Q268" s="223"/>
      <c r="R268" s="223"/>
      <c r="S268" s="223"/>
      <c r="T268" s="223"/>
    </row>
    <row r="269" spans="1:24" x14ac:dyDescent="0.25">
      <c r="A269" s="358"/>
      <c r="B269" s="358"/>
      <c r="C269" s="358"/>
      <c r="D269" s="358"/>
      <c r="E269" s="358"/>
      <c r="F269" t="s">
        <v>4555</v>
      </c>
      <c r="G269" s="398" t="s">
        <v>13</v>
      </c>
      <c r="I269">
        <f>1/110</f>
        <v>9.0909090909090905E-3</v>
      </c>
      <c r="J269">
        <f>(I269/0.9)-I269</f>
        <v>1.0101010101010097E-3</v>
      </c>
      <c r="N269" t="s">
        <v>4605</v>
      </c>
    </row>
    <row r="270" spans="1:24" x14ac:dyDescent="0.25">
      <c r="A270" s="358"/>
      <c r="B270" s="359" t="s">
        <v>4779</v>
      </c>
      <c r="C270" s="358"/>
      <c r="D270" s="358"/>
      <c r="E270" s="358"/>
      <c r="F270" t="s">
        <v>4555</v>
      </c>
      <c r="G270" s="389" t="s">
        <v>245</v>
      </c>
      <c r="I270">
        <f>+I269+J269</f>
        <v>1.01010101010101E-2</v>
      </c>
      <c r="N270" t="s">
        <v>4576</v>
      </c>
      <c r="R270" t="s">
        <v>4616</v>
      </c>
    </row>
    <row r="271" spans="1:24" x14ac:dyDescent="0.25">
      <c r="A271" s="358"/>
      <c r="B271" s="358"/>
      <c r="C271" s="358"/>
      <c r="D271" s="358"/>
      <c r="E271" s="358"/>
      <c r="F271" t="s">
        <v>4555</v>
      </c>
      <c r="I271">
        <f>+X272/12</f>
        <v>3.1965811965811962E-2</v>
      </c>
      <c r="J271">
        <f>(I271/0.85)-I271</f>
        <v>5.6410256410256432E-3</v>
      </c>
      <c r="N271" t="s">
        <v>4606</v>
      </c>
      <c r="O271" s="307" t="s">
        <v>4610</v>
      </c>
      <c r="P271" t="s">
        <v>4607</v>
      </c>
      <c r="Q271" t="s">
        <v>4608</v>
      </c>
      <c r="R271" t="s">
        <v>4609</v>
      </c>
      <c r="S271" t="s">
        <v>4611</v>
      </c>
      <c r="T271" t="s">
        <v>4612</v>
      </c>
      <c r="V271" t="s">
        <v>4613</v>
      </c>
      <c r="W271" t="s">
        <v>4614</v>
      </c>
      <c r="X271" t="s">
        <v>4615</v>
      </c>
    </row>
    <row r="272" spans="1:24" x14ac:dyDescent="0.25">
      <c r="A272" s="358"/>
      <c r="B272" s="358"/>
      <c r="C272" s="358"/>
      <c r="D272" s="358"/>
      <c r="E272" s="358"/>
      <c r="F272" t="s">
        <v>4555</v>
      </c>
      <c r="G272" s="389" t="s">
        <v>245</v>
      </c>
      <c r="I272">
        <f>+I271+J271</f>
        <v>3.7606837606837605E-2</v>
      </c>
      <c r="N272" t="s">
        <v>4576</v>
      </c>
      <c r="O272" s="307">
        <v>2</v>
      </c>
      <c r="P272">
        <v>7.7</v>
      </c>
      <c r="Q272">
        <v>1</v>
      </c>
      <c r="R272">
        <v>3</v>
      </c>
      <c r="S272">
        <v>2</v>
      </c>
      <c r="T272">
        <f>+R272</f>
        <v>3</v>
      </c>
      <c r="U272" s="307">
        <f>SUM(O272:T272)</f>
        <v>18.7</v>
      </c>
      <c r="V272">
        <f>((U272/(6.5/8)))-U272</f>
        <v>4.315384615384616</v>
      </c>
      <c r="W272" s="307">
        <f>+V272+U272</f>
        <v>23.015384615384615</v>
      </c>
      <c r="X272">
        <f>1/60*W272</f>
        <v>0.38358974358974357</v>
      </c>
    </row>
    <row r="273" spans="1:24" x14ac:dyDescent="0.25">
      <c r="A273" s="223" t="s">
        <v>4617</v>
      </c>
      <c r="B273" s="223" t="s">
        <v>4627</v>
      </c>
      <c r="C273" s="223" t="s">
        <v>4618</v>
      </c>
      <c r="D273" s="223"/>
      <c r="E273" s="223"/>
      <c r="F273" s="301" t="s">
        <v>4620</v>
      </c>
      <c r="G273" s="401"/>
      <c r="H273" s="223"/>
      <c r="I273" s="223">
        <v>1</v>
      </c>
      <c r="J273" s="223"/>
      <c r="K273" s="223"/>
      <c r="L273" s="223"/>
      <c r="M273" s="223"/>
      <c r="N273" s="301" t="s">
        <v>4619</v>
      </c>
      <c r="O273" s="342" t="s">
        <v>4622</v>
      </c>
      <c r="P273" s="223"/>
      <c r="Q273" s="223"/>
      <c r="R273" s="223"/>
      <c r="S273" s="223"/>
      <c r="T273" s="223"/>
    </row>
    <row r="274" spans="1:24" x14ac:dyDescent="0.25">
      <c r="F274" s="224" t="str">
        <f>+'CP. Auxiliar'!A35</f>
        <v>CA0009</v>
      </c>
      <c r="G274" s="400"/>
      <c r="I274">
        <v>0.58330000000000004</v>
      </c>
      <c r="N274" t="str">
        <f>+'CP. Auxiliar'!B35</f>
        <v>CUADRILLA VARIOS 1 Turno por dia</v>
      </c>
      <c r="O274" s="307" t="s">
        <v>4623</v>
      </c>
    </row>
    <row r="275" spans="1:24" x14ac:dyDescent="0.25">
      <c r="F275" s="224" t="s">
        <v>4585</v>
      </c>
      <c r="G275" s="389" t="s">
        <v>6432</v>
      </c>
      <c r="I275">
        <v>6.25E-2</v>
      </c>
      <c r="N275" s="224" t="s">
        <v>4582</v>
      </c>
    </row>
    <row r="276" spans="1:24" x14ac:dyDescent="0.25">
      <c r="F276" s="224" t="s">
        <v>4585</v>
      </c>
      <c r="G276" s="389" t="s">
        <v>245</v>
      </c>
      <c r="I276">
        <f>+I275+J275</f>
        <v>6.25E-2</v>
      </c>
      <c r="N276" t="s">
        <v>4576</v>
      </c>
    </row>
    <row r="277" spans="1:24" x14ac:dyDescent="0.25">
      <c r="F277" s="224" t="s">
        <v>4585</v>
      </c>
      <c r="G277" s="389" t="s">
        <v>4860</v>
      </c>
      <c r="I277">
        <v>3.3999999999999998E-3</v>
      </c>
      <c r="N277" t="s">
        <v>4621</v>
      </c>
    </row>
    <row r="278" spans="1:24" x14ac:dyDescent="0.25">
      <c r="A278" s="333"/>
      <c r="B278" s="333"/>
      <c r="C278" s="333"/>
      <c r="D278" s="333"/>
      <c r="E278" s="333"/>
      <c r="F278" s="224" t="s">
        <v>4585</v>
      </c>
      <c r="G278" s="389" t="s">
        <v>245</v>
      </c>
      <c r="H278" s="333"/>
      <c r="I278" s="333">
        <f>+I277+J277</f>
        <v>3.3999999999999998E-3</v>
      </c>
      <c r="J278" s="333"/>
      <c r="K278" s="333"/>
      <c r="L278" s="333"/>
      <c r="M278" s="333"/>
      <c r="N278" s="333" t="s">
        <v>4576</v>
      </c>
      <c r="O278" s="335"/>
      <c r="P278" s="333"/>
      <c r="Q278" s="333"/>
      <c r="R278" s="333"/>
      <c r="S278" s="333"/>
      <c r="T278" s="333"/>
    </row>
    <row r="279" spans="1:24" x14ac:dyDescent="0.25">
      <c r="F279" s="224" t="str">
        <f>+F274</f>
        <v>CA0009</v>
      </c>
      <c r="G279" s="400"/>
      <c r="I279">
        <v>60</v>
      </c>
      <c r="N279" t="str">
        <f>+N274</f>
        <v>CUADRILLA VARIOS 1 Turno por dia</v>
      </c>
      <c r="O279" s="307" t="s">
        <v>4624</v>
      </c>
    </row>
    <row r="280" spans="1:24" ht="30" x14ac:dyDescent="0.25">
      <c r="A280" s="223" t="s">
        <v>4625</v>
      </c>
      <c r="B280" s="343" t="s">
        <v>4628</v>
      </c>
      <c r="C280" s="223" t="s">
        <v>4514</v>
      </c>
      <c r="D280" s="223"/>
      <c r="E280" s="223"/>
      <c r="F280" s="224" t="str">
        <f>+'CP. Auxiliar'!A39</f>
        <v>CA0010</v>
      </c>
      <c r="G280" s="400"/>
      <c r="H280" s="223"/>
      <c r="I280" s="223">
        <f>10*I282</f>
        <v>0.625</v>
      </c>
      <c r="J280" s="223"/>
      <c r="K280" s="223"/>
      <c r="L280" s="223"/>
      <c r="M280" s="223"/>
      <c r="N280" s="223" t="str">
        <f>+'CP. Auxiliar'!B43</f>
        <v>CUADRILLA VARIOS 2 Turno por dia</v>
      </c>
      <c r="O280" s="312"/>
      <c r="P280" s="223"/>
      <c r="Q280" s="223"/>
      <c r="R280" s="223"/>
      <c r="S280" s="223"/>
      <c r="T280" s="223"/>
      <c r="U280" s="223"/>
      <c r="V280" s="223"/>
      <c r="W280" s="223"/>
      <c r="X280" s="223"/>
    </row>
    <row r="281" spans="1:24" x14ac:dyDescent="0.25">
      <c r="F281" s="224" t="s">
        <v>4620</v>
      </c>
      <c r="G281" s="389" t="s">
        <v>4860</v>
      </c>
      <c r="I281">
        <f>1/20</f>
        <v>0.05</v>
      </c>
      <c r="J281">
        <f>(I281/0.8)-I281</f>
        <v>1.2499999999999997E-2</v>
      </c>
      <c r="N281" t="s">
        <v>4485</v>
      </c>
    </row>
    <row r="282" spans="1:24" x14ac:dyDescent="0.25">
      <c r="F282" s="224" t="s">
        <v>4620</v>
      </c>
      <c r="G282" s="389" t="s">
        <v>6334</v>
      </c>
      <c r="I282">
        <f>+I281+J281</f>
        <v>6.25E-2</v>
      </c>
      <c r="N282" t="s">
        <v>4511</v>
      </c>
    </row>
    <row r="283" spans="1:24" x14ac:dyDescent="0.25">
      <c r="F283" s="224" t="s">
        <v>4620</v>
      </c>
      <c r="G283" s="400"/>
      <c r="I283">
        <v>0.8</v>
      </c>
      <c r="N283" t="s">
        <v>4629</v>
      </c>
    </row>
    <row r="284" spans="1:24" x14ac:dyDescent="0.25">
      <c r="A284" s="223" t="s">
        <v>4630</v>
      </c>
      <c r="B284" s="223" t="s">
        <v>4631</v>
      </c>
      <c r="C284" s="223" t="s">
        <v>4632</v>
      </c>
      <c r="D284" s="223"/>
      <c r="E284" s="223"/>
      <c r="F284" s="224" t="str">
        <f>+F280</f>
        <v>CA0010</v>
      </c>
      <c r="G284" s="400"/>
      <c r="H284" s="223"/>
      <c r="I284" s="223">
        <f>10*I290</f>
        <v>16.666666666666668</v>
      </c>
      <c r="J284" s="223"/>
      <c r="K284" s="223"/>
      <c r="L284" s="223"/>
      <c r="M284" s="223"/>
      <c r="N284" s="223" t="str">
        <f>+N280</f>
        <v>CUADRILLA VARIOS 2 Turno por dia</v>
      </c>
      <c r="O284" s="312"/>
      <c r="P284" s="223"/>
      <c r="Q284" s="223"/>
      <c r="R284" s="223"/>
      <c r="S284" s="223"/>
      <c r="T284" s="223"/>
      <c r="U284" s="223"/>
      <c r="V284" s="223"/>
      <c r="W284" s="223"/>
    </row>
    <row r="285" spans="1:24" x14ac:dyDescent="0.25">
      <c r="F285" s="224" t="s">
        <v>4620</v>
      </c>
      <c r="G285" s="389" t="s">
        <v>6483</v>
      </c>
      <c r="I285" s="307">
        <v>0.5</v>
      </c>
      <c r="J285" s="307">
        <v>1</v>
      </c>
      <c r="N285" t="s">
        <v>4493</v>
      </c>
    </row>
    <row r="286" spans="1:24" x14ac:dyDescent="0.25">
      <c r="F286" s="224" t="s">
        <v>4620</v>
      </c>
      <c r="G286" s="389" t="s">
        <v>6334</v>
      </c>
      <c r="I286" s="307">
        <f>+I285+J285</f>
        <v>1.5</v>
      </c>
      <c r="J286" s="307"/>
      <c r="N286" t="s">
        <v>4511</v>
      </c>
    </row>
    <row r="287" spans="1:24" x14ac:dyDescent="0.25">
      <c r="F287" s="224"/>
      <c r="G287" s="400"/>
      <c r="I287" s="307">
        <v>0.5</v>
      </c>
      <c r="J287" s="307"/>
      <c r="M287" s="294" t="s">
        <v>4615</v>
      </c>
      <c r="N287" s="294" t="s">
        <v>4855</v>
      </c>
      <c r="O287" s="307" t="s">
        <v>4856</v>
      </c>
      <c r="P287" t="s">
        <v>4857</v>
      </c>
    </row>
    <row r="288" spans="1:24" x14ac:dyDescent="0.25">
      <c r="F288" s="224" t="s">
        <v>4620</v>
      </c>
      <c r="G288" s="400"/>
      <c r="I288" s="307">
        <v>1</v>
      </c>
      <c r="J288" s="307"/>
      <c r="N288" t="s">
        <v>4633</v>
      </c>
      <c r="O288" s="307" t="s">
        <v>4634</v>
      </c>
    </row>
    <row r="289" spans="1:22" x14ac:dyDescent="0.25">
      <c r="F289" s="224" t="s">
        <v>4620</v>
      </c>
      <c r="G289" s="389" t="s">
        <v>4860</v>
      </c>
      <c r="I289" s="307">
        <f>2*0.5</f>
        <v>1</v>
      </c>
      <c r="J289" s="307">
        <f>(I289/0.6)-I289</f>
        <v>0.66666666666666674</v>
      </c>
      <c r="N289" t="s">
        <v>4621</v>
      </c>
    </row>
    <row r="290" spans="1:22" x14ac:dyDescent="0.25">
      <c r="F290" s="224" t="s">
        <v>4620</v>
      </c>
      <c r="G290" s="389" t="s">
        <v>6334</v>
      </c>
      <c r="I290" s="307">
        <f>+I289+J289</f>
        <v>1.6666666666666667</v>
      </c>
      <c r="N290" t="s">
        <v>4511</v>
      </c>
    </row>
    <row r="291" spans="1:22" ht="30" x14ac:dyDescent="0.25">
      <c r="A291" s="223" t="s">
        <v>4635</v>
      </c>
      <c r="B291" s="343" t="s">
        <v>4636</v>
      </c>
      <c r="C291" s="223" t="s">
        <v>1341</v>
      </c>
      <c r="D291" s="223"/>
      <c r="E291" s="223"/>
      <c r="F291" s="224" t="str">
        <f>+'CP. Auxiliar'!A31</f>
        <v>CA0008</v>
      </c>
      <c r="G291" s="400"/>
      <c r="H291" s="223"/>
      <c r="I291" s="325">
        <f>15*10/25000</f>
        <v>6.0000000000000001E-3</v>
      </c>
      <c r="J291" s="223"/>
      <c r="K291" s="223"/>
      <c r="L291" s="223"/>
      <c r="M291" s="223"/>
      <c r="N291" s="223" t="str">
        <f>+'CP. Auxiliar'!B31</f>
        <v>CUADRILLA ACERO 2 Turno por dia</v>
      </c>
      <c r="O291" s="312"/>
      <c r="P291" s="223"/>
      <c r="Q291" s="223"/>
      <c r="R291" s="223"/>
      <c r="S291" s="223"/>
    </row>
    <row r="292" spans="1:22" x14ac:dyDescent="0.25">
      <c r="F292" s="224" t="s">
        <v>4620</v>
      </c>
      <c r="G292" s="389" t="s">
        <v>6483</v>
      </c>
      <c r="I292" s="344">
        <f>1/25000</f>
        <v>4.0000000000000003E-5</v>
      </c>
      <c r="J292" s="344">
        <f>(I292/0.6)-I292</f>
        <v>2.6666666666666667E-5</v>
      </c>
      <c r="N292" t="s">
        <v>4493</v>
      </c>
    </row>
    <row r="293" spans="1:22" x14ac:dyDescent="0.25">
      <c r="F293" s="224" t="s">
        <v>4620</v>
      </c>
      <c r="G293" s="389" t="s">
        <v>6334</v>
      </c>
      <c r="I293" s="344">
        <f>+I292+J292</f>
        <v>6.666666666666667E-5</v>
      </c>
      <c r="J293" s="307"/>
      <c r="N293" t="s">
        <v>4511</v>
      </c>
    </row>
    <row r="294" spans="1:22" x14ac:dyDescent="0.25">
      <c r="A294" s="333"/>
      <c r="B294" s="333"/>
      <c r="C294" s="333"/>
      <c r="D294" s="333"/>
      <c r="E294" s="333"/>
      <c r="F294" s="224" t="s">
        <v>4620</v>
      </c>
      <c r="G294" s="400"/>
      <c r="H294" s="333"/>
      <c r="I294" s="335">
        <v>1</v>
      </c>
      <c r="J294" s="335"/>
      <c r="K294" s="333"/>
      <c r="L294" s="333"/>
      <c r="M294" s="333"/>
      <c r="N294" s="333" t="s">
        <v>4644</v>
      </c>
      <c r="O294" s="335" t="s">
        <v>4637</v>
      </c>
      <c r="P294" s="333"/>
      <c r="Q294" s="333"/>
      <c r="R294" s="333"/>
      <c r="S294" s="333"/>
      <c r="T294" s="333"/>
    </row>
    <row r="295" spans="1:22" x14ac:dyDescent="0.25">
      <c r="F295" s="224" t="s">
        <v>4620</v>
      </c>
      <c r="G295" s="389" t="s">
        <v>4860</v>
      </c>
      <c r="I295" s="344">
        <f>(10/25000)*2</f>
        <v>8.0000000000000004E-4</v>
      </c>
      <c r="J295" s="344">
        <f>(I295/0.6)-I295</f>
        <v>5.3333333333333347E-4</v>
      </c>
      <c r="N295" t="s">
        <v>4621</v>
      </c>
    </row>
    <row r="296" spans="1:22" x14ac:dyDescent="0.25">
      <c r="F296" s="224" t="s">
        <v>4620</v>
      </c>
      <c r="G296" s="389" t="s">
        <v>6334</v>
      </c>
      <c r="I296" s="344">
        <f>+I295+J295</f>
        <v>1.3333333333333335E-3</v>
      </c>
      <c r="N296" t="s">
        <v>4511</v>
      </c>
    </row>
    <row r="297" spans="1:22" x14ac:dyDescent="0.25">
      <c r="F297" s="224" t="s">
        <v>4620</v>
      </c>
      <c r="G297" s="389" t="s">
        <v>6442</v>
      </c>
      <c r="I297" s="344">
        <f>(1/10)*2</f>
        <v>0.2</v>
      </c>
      <c r="J297" s="322">
        <f>(9/10)*2</f>
        <v>1.8</v>
      </c>
      <c r="N297" t="s">
        <v>4494</v>
      </c>
    </row>
    <row r="298" spans="1:22" x14ac:dyDescent="0.25">
      <c r="A298" s="223" t="s">
        <v>4638</v>
      </c>
      <c r="B298" s="343" t="s">
        <v>4639</v>
      </c>
      <c r="C298" s="223" t="s">
        <v>1341</v>
      </c>
      <c r="D298" s="223"/>
      <c r="E298" s="223"/>
      <c r="F298" s="224" t="str">
        <f>+F291</f>
        <v>CA0008</v>
      </c>
      <c r="G298" s="400"/>
      <c r="H298" s="223"/>
      <c r="I298" s="325">
        <f>(15*10/25000)*0.8</f>
        <v>4.8000000000000004E-3</v>
      </c>
      <c r="J298" s="223"/>
      <c r="K298" s="223"/>
      <c r="L298" s="223"/>
      <c r="M298" s="223"/>
      <c r="N298" s="223" t="str">
        <f>+N291</f>
        <v>CUADRILLA ACERO 2 Turno por dia</v>
      </c>
      <c r="O298" s="312"/>
      <c r="P298" s="223"/>
      <c r="Q298" s="223"/>
      <c r="R298" s="223"/>
      <c r="S298" s="223"/>
    </row>
    <row r="299" spans="1:22" x14ac:dyDescent="0.25">
      <c r="F299" s="224" t="s">
        <v>4620</v>
      </c>
      <c r="G299" s="389" t="s">
        <v>6483</v>
      </c>
      <c r="I299" s="344">
        <f>(1/25000)*0.8</f>
        <v>3.2000000000000005E-5</v>
      </c>
      <c r="J299" s="344">
        <f>(I299/0.6)-I299</f>
        <v>2.1333333333333341E-5</v>
      </c>
      <c r="N299" t="s">
        <v>4493</v>
      </c>
    </row>
    <row r="300" spans="1:22" x14ac:dyDescent="0.25">
      <c r="F300" s="224" t="s">
        <v>4620</v>
      </c>
      <c r="G300" s="389" t="s">
        <v>6334</v>
      </c>
      <c r="I300" s="344">
        <f>+I299+J299</f>
        <v>5.3333333333333347E-5</v>
      </c>
      <c r="J300" s="307"/>
      <c r="N300" t="s">
        <v>4511</v>
      </c>
    </row>
    <row r="301" spans="1:22" x14ac:dyDescent="0.25">
      <c r="F301" s="224" t="s">
        <v>4620</v>
      </c>
      <c r="G301" s="389" t="s">
        <v>4860</v>
      </c>
      <c r="I301" s="344">
        <f>((10/25000)*2)*0.8</f>
        <v>6.4000000000000005E-4</v>
      </c>
      <c r="J301" s="344">
        <f>(I301/0.6)-I301</f>
        <v>4.2666666666666667E-4</v>
      </c>
      <c r="N301" t="s">
        <v>4621</v>
      </c>
    </row>
    <row r="302" spans="1:22" x14ac:dyDescent="0.25">
      <c r="F302" s="224" t="s">
        <v>4620</v>
      </c>
      <c r="G302" s="389" t="s">
        <v>6334</v>
      </c>
      <c r="I302" s="344">
        <f>+I301+J301</f>
        <v>1.0666666666666667E-3</v>
      </c>
      <c r="N302" t="s">
        <v>4511</v>
      </c>
    </row>
    <row r="303" spans="1:22" x14ac:dyDescent="0.25">
      <c r="F303" s="224" t="s">
        <v>4620</v>
      </c>
      <c r="G303" s="389" t="s">
        <v>6442</v>
      </c>
      <c r="I303" s="344">
        <f>((1/10)*2)*0.8</f>
        <v>0.16000000000000003</v>
      </c>
      <c r="J303" s="322">
        <f>((9/10)*2)*0.8</f>
        <v>1.4400000000000002</v>
      </c>
      <c r="N303" t="s">
        <v>4494</v>
      </c>
    </row>
    <row r="304" spans="1:22" ht="45" x14ac:dyDescent="0.25">
      <c r="A304" s="223" t="s">
        <v>4640</v>
      </c>
      <c r="B304" s="343" t="s">
        <v>4642</v>
      </c>
      <c r="C304" s="223" t="s">
        <v>1341</v>
      </c>
      <c r="D304" s="223"/>
      <c r="E304" s="223"/>
      <c r="F304" s="224" t="str">
        <f>+F298</f>
        <v>CA0008</v>
      </c>
      <c r="G304" s="400"/>
      <c r="H304" s="223"/>
      <c r="I304" s="325">
        <f>20*10/55000</f>
        <v>3.6363636363636364E-3</v>
      </c>
      <c r="J304" s="223"/>
      <c r="K304" s="223"/>
      <c r="L304" s="223"/>
      <c r="M304" s="223"/>
      <c r="N304" s="223" t="str">
        <f>+N298</f>
        <v>CUADRILLA ACERO 2 Turno por dia</v>
      </c>
      <c r="O304" s="312" t="s">
        <v>4641</v>
      </c>
      <c r="P304" s="223"/>
      <c r="Q304" s="223"/>
      <c r="R304" s="223"/>
      <c r="S304" s="223"/>
      <c r="T304" s="223"/>
      <c r="U304" s="223"/>
      <c r="V304" s="223"/>
    </row>
    <row r="305" spans="6:18" x14ac:dyDescent="0.25">
      <c r="G305" s="389" t="s">
        <v>6483</v>
      </c>
      <c r="I305" s="345">
        <f>(3/55000)</f>
        <v>5.4545454545454546E-5</v>
      </c>
      <c r="J305" s="345">
        <f>1/55000</f>
        <v>1.8181818181818182E-5</v>
      </c>
      <c r="N305" t="s">
        <v>4493</v>
      </c>
    </row>
    <row r="306" spans="6:18" x14ac:dyDescent="0.25">
      <c r="G306" s="389" t="s">
        <v>6334</v>
      </c>
      <c r="I306" s="345">
        <f>+I305+J305</f>
        <v>7.2727272727272728E-5</v>
      </c>
      <c r="N306" t="s">
        <v>4511</v>
      </c>
    </row>
    <row r="307" spans="6:18" x14ac:dyDescent="0.25">
      <c r="G307" s="389" t="s">
        <v>4860</v>
      </c>
      <c r="H307" s="333"/>
      <c r="I307" s="382">
        <f>(1*10/55000)*0.6</f>
        <v>1.0909090909090908E-4</v>
      </c>
      <c r="J307" s="382">
        <f>((1*10/55000))-I307</f>
        <v>7.2727272727272728E-5</v>
      </c>
      <c r="K307" s="333"/>
      <c r="L307" s="333"/>
      <c r="M307" s="333"/>
      <c r="N307" s="333" t="s">
        <v>4621</v>
      </c>
      <c r="O307" s="335"/>
      <c r="P307" s="333"/>
      <c r="Q307" s="333"/>
    </row>
    <row r="308" spans="6:18" x14ac:dyDescent="0.25">
      <c r="G308" s="389" t="s">
        <v>6334</v>
      </c>
      <c r="I308" s="345">
        <f>+I307+J307</f>
        <v>1.8181818181818181E-4</v>
      </c>
      <c r="N308" t="s">
        <v>4511</v>
      </c>
    </row>
    <row r="309" spans="6:18" x14ac:dyDescent="0.25">
      <c r="G309" s="389" t="s">
        <v>6442</v>
      </c>
      <c r="I309">
        <f>3*2/55000</f>
        <v>1.0909090909090909E-4</v>
      </c>
      <c r="J309">
        <f>3*8/55000</f>
        <v>4.3636363636363637E-4</v>
      </c>
      <c r="N309" t="s">
        <v>4494</v>
      </c>
    </row>
    <row r="310" spans="6:18" x14ac:dyDescent="0.25">
      <c r="I310">
        <v>1</v>
      </c>
      <c r="N310" s="333" t="s">
        <v>4643</v>
      </c>
    </row>
    <row r="311" spans="6:18" x14ac:dyDescent="0.25">
      <c r="F311" s="224" t="str">
        <f>+F304</f>
        <v>CA0008</v>
      </c>
      <c r="G311" s="400"/>
      <c r="I311">
        <f>20*7/55000</f>
        <v>2.5454545454545456E-3</v>
      </c>
      <c r="N311" s="333" t="str">
        <f t="shared" ref="N311:N316" si="0">+N304</f>
        <v>CUADRILLA ACERO 2 Turno por dia</v>
      </c>
      <c r="O311" s="307" t="s">
        <v>4653</v>
      </c>
    </row>
    <row r="312" spans="6:18" x14ac:dyDescent="0.25">
      <c r="G312" s="389" t="s">
        <v>6483</v>
      </c>
      <c r="I312" s="345">
        <f>+I305</f>
        <v>5.4545454545454546E-5</v>
      </c>
      <c r="J312" s="345">
        <f>+J305</f>
        <v>1.8181818181818182E-5</v>
      </c>
      <c r="N312" t="str">
        <f t="shared" si="0"/>
        <v>Camion con baja da 40 ton</v>
      </c>
    </row>
    <row r="313" spans="6:18" x14ac:dyDescent="0.25">
      <c r="G313" s="389" t="s">
        <v>6334</v>
      </c>
      <c r="I313" s="345">
        <f>+I312+J312</f>
        <v>7.2727272727272728E-5</v>
      </c>
      <c r="N313" t="str">
        <f t="shared" si="0"/>
        <v>OPERADOR DE EQUIP. PESADO 2 turno por dia</v>
      </c>
    </row>
    <row r="314" spans="6:18" x14ac:dyDescent="0.25">
      <c r="G314" s="389" t="s">
        <v>4860</v>
      </c>
      <c r="I314" s="345">
        <f>(1*7/55000)*0.6</f>
        <v>7.6363636363636361E-5</v>
      </c>
      <c r="J314" s="345">
        <f>((1*10/55000))-I314</f>
        <v>1.0545454545454545E-4</v>
      </c>
      <c r="N314" t="str">
        <f t="shared" si="0"/>
        <v>Autogru da 50 ton</v>
      </c>
    </row>
    <row r="315" spans="6:18" x14ac:dyDescent="0.25">
      <c r="G315" s="389" t="s">
        <v>6334</v>
      </c>
      <c r="I315" s="345">
        <f>+I314+J314</f>
        <v>1.8181818181818181E-4</v>
      </c>
      <c r="N315" t="str">
        <f t="shared" si="0"/>
        <v>OPERADOR DE EQUIP. PESADO 2 turno por dia</v>
      </c>
    </row>
    <row r="316" spans="6:18" x14ac:dyDescent="0.25">
      <c r="G316" s="389" t="s">
        <v>6442</v>
      </c>
      <c r="I316">
        <f>+I309</f>
        <v>1.0909090909090909E-4</v>
      </c>
      <c r="J316">
        <f>+J309</f>
        <v>4.3636363636363637E-4</v>
      </c>
      <c r="N316" t="str">
        <f t="shared" si="0"/>
        <v>Saldadora diesel 550 AMP</v>
      </c>
      <c r="O316" s="307" t="s">
        <v>4654</v>
      </c>
    </row>
    <row r="317" spans="6:18" x14ac:dyDescent="0.25">
      <c r="I317">
        <f>(1/(1200*3))*1.02</f>
        <v>2.8333333333333335E-4</v>
      </c>
      <c r="N317" t="s">
        <v>4645</v>
      </c>
      <c r="O317" s="307" t="s">
        <v>4646</v>
      </c>
      <c r="R317" t="s">
        <v>4648</v>
      </c>
    </row>
    <row r="318" spans="6:18" x14ac:dyDescent="0.25">
      <c r="F318" s="224" t="str">
        <f>+F311</f>
        <v>CA0008</v>
      </c>
      <c r="G318" s="400"/>
      <c r="H318" s="333"/>
      <c r="I318" s="333">
        <f>(10*4)/(1200*3*43)</f>
        <v>2.5839793281653745E-4</v>
      </c>
      <c r="J318" s="333"/>
      <c r="K318" s="333"/>
      <c r="L318" s="333"/>
      <c r="M318" s="333"/>
      <c r="N318" s="333" t="str">
        <f>+N311</f>
        <v>CUADRILLA ACERO 2 Turno por dia</v>
      </c>
      <c r="O318" s="335" t="s">
        <v>4647</v>
      </c>
      <c r="P318" s="333"/>
      <c r="Q318" s="333"/>
      <c r="R318" t="s">
        <v>4649</v>
      </c>
    </row>
    <row r="319" spans="6:18" x14ac:dyDescent="0.25">
      <c r="G319" s="389" t="s">
        <v>6483</v>
      </c>
      <c r="I319" s="347">
        <f>1*2/(1200*3*43)</f>
        <v>1.2919896640826873E-5</v>
      </c>
      <c r="J319" s="347">
        <f>(I319/0.4)-I319</f>
        <v>1.9379844961240308E-5</v>
      </c>
      <c r="N319" t="s">
        <v>4493</v>
      </c>
      <c r="O319" s="307" t="s">
        <v>4650</v>
      </c>
      <c r="R319" t="s">
        <v>4651</v>
      </c>
    </row>
    <row r="320" spans="6:18" x14ac:dyDescent="0.25">
      <c r="G320" s="389" t="s">
        <v>6334</v>
      </c>
      <c r="I320" s="347">
        <f>+I319+J319</f>
        <v>3.2299741602067181E-5</v>
      </c>
      <c r="N320" t="s">
        <v>4511</v>
      </c>
    </row>
    <row r="321" spans="1:20" x14ac:dyDescent="0.25">
      <c r="G321" s="389" t="s">
        <v>4860</v>
      </c>
      <c r="I321" s="347">
        <f>1*3/(1200*3*43)</f>
        <v>1.9379844961240311E-5</v>
      </c>
      <c r="J321" s="347">
        <f>(I321/0.75)-I321</f>
        <v>6.4599483204134382E-6</v>
      </c>
      <c r="N321" t="s">
        <v>4621</v>
      </c>
      <c r="R321" t="s">
        <v>4652</v>
      </c>
    </row>
    <row r="322" spans="1:20" x14ac:dyDescent="0.25">
      <c r="G322" s="389" t="s">
        <v>6334</v>
      </c>
      <c r="I322" s="347">
        <f>+I321+J321</f>
        <v>2.5839793281653749E-5</v>
      </c>
      <c r="N322" t="s">
        <v>4511</v>
      </c>
    </row>
    <row r="323" spans="1:20" x14ac:dyDescent="0.25">
      <c r="F323" s="224" t="str">
        <f>+F318</f>
        <v>CA0008</v>
      </c>
      <c r="G323" s="400"/>
      <c r="I323">
        <f>+I318*0.7</f>
        <v>1.808785529715762E-4</v>
      </c>
      <c r="N323" t="str">
        <f>+N318</f>
        <v>CUADRILLA ACERO 2 Turno por dia</v>
      </c>
      <c r="O323" s="307" t="s">
        <v>4655</v>
      </c>
    </row>
    <row r="324" spans="1:20" x14ac:dyDescent="0.25">
      <c r="G324" s="389" t="s">
        <v>6483</v>
      </c>
      <c r="I324" s="347">
        <f>+I319*0.6</f>
        <v>7.7519379844961241E-6</v>
      </c>
      <c r="J324" s="347">
        <f>+J319*0.6</f>
        <v>1.1627906976744184E-5</v>
      </c>
      <c r="N324" t="s">
        <v>4493</v>
      </c>
    </row>
    <row r="325" spans="1:20" x14ac:dyDescent="0.25">
      <c r="A325" s="333"/>
      <c r="B325" s="333"/>
      <c r="C325" s="333"/>
      <c r="D325" s="333"/>
      <c r="E325" s="333"/>
      <c r="G325" s="389" t="s">
        <v>6334</v>
      </c>
      <c r="H325" s="333"/>
      <c r="I325" s="383">
        <f>+I324+J324</f>
        <v>1.9379844961240308E-5</v>
      </c>
      <c r="J325" s="333"/>
      <c r="K325" s="333"/>
      <c r="L325" s="333"/>
      <c r="M325" s="333"/>
      <c r="N325" s="333" t="s">
        <v>4511</v>
      </c>
      <c r="O325" s="335"/>
      <c r="P325" s="333"/>
      <c r="Q325" s="333"/>
      <c r="R325" s="333"/>
      <c r="S325" s="333"/>
    </row>
    <row r="326" spans="1:20" x14ac:dyDescent="0.25">
      <c r="G326" s="389" t="s">
        <v>4860</v>
      </c>
      <c r="I326" s="347">
        <f>+I321*0.6</f>
        <v>1.1627906976744187E-5</v>
      </c>
      <c r="J326" s="347">
        <f>+J321*0.6</f>
        <v>3.8759689922480629E-6</v>
      </c>
      <c r="N326" t="s">
        <v>4621</v>
      </c>
    </row>
    <row r="327" spans="1:20" x14ac:dyDescent="0.25">
      <c r="G327" s="389" t="s">
        <v>6334</v>
      </c>
      <c r="I327" s="347">
        <f>+I326+J326</f>
        <v>1.5503875968992252E-5</v>
      </c>
      <c r="N327" t="s">
        <v>4511</v>
      </c>
    </row>
    <row r="328" spans="1:20" ht="45" x14ac:dyDescent="0.25">
      <c r="A328" s="223" t="s">
        <v>4656</v>
      </c>
      <c r="B328" s="343" t="s">
        <v>4657</v>
      </c>
      <c r="C328" s="223" t="s">
        <v>1341</v>
      </c>
      <c r="D328" s="223"/>
      <c r="E328" s="223"/>
      <c r="F328" s="301" t="str">
        <f>+F304</f>
        <v>CA0008</v>
      </c>
      <c r="G328" s="401"/>
      <c r="H328" s="223"/>
      <c r="I328" s="325">
        <f t="shared" ref="I328:I340" si="1">+I304</f>
        <v>3.6363636363636364E-3</v>
      </c>
      <c r="J328" s="223"/>
      <c r="K328" s="223"/>
      <c r="L328" s="223"/>
      <c r="M328" s="223"/>
      <c r="N328" s="223" t="str">
        <f>+N323</f>
        <v>CUADRILLA ACERO 2 Turno por dia</v>
      </c>
      <c r="O328" s="312" t="s">
        <v>4641</v>
      </c>
      <c r="P328" s="223"/>
      <c r="Q328" s="223"/>
      <c r="R328" s="223"/>
      <c r="S328" s="223"/>
      <c r="T328" s="223"/>
    </row>
    <row r="329" spans="1:20" x14ac:dyDescent="0.25">
      <c r="G329" s="389" t="s">
        <v>6483</v>
      </c>
      <c r="I329" s="346">
        <f t="shared" si="1"/>
        <v>5.4545454545454546E-5</v>
      </c>
      <c r="J329" s="346">
        <f>+J305</f>
        <v>1.8181818181818182E-5</v>
      </c>
      <c r="N329" t="s">
        <v>4493</v>
      </c>
    </row>
    <row r="330" spans="1:20" x14ac:dyDescent="0.25">
      <c r="G330" s="389" t="s">
        <v>6334</v>
      </c>
      <c r="I330" s="346">
        <f t="shared" si="1"/>
        <v>7.2727272727272728E-5</v>
      </c>
      <c r="J330" s="346"/>
      <c r="N330" t="s">
        <v>4511</v>
      </c>
    </row>
    <row r="331" spans="1:20" x14ac:dyDescent="0.25">
      <c r="G331" s="389" t="s">
        <v>4860</v>
      </c>
      <c r="I331" s="346">
        <f t="shared" si="1"/>
        <v>1.0909090909090908E-4</v>
      </c>
      <c r="J331" s="346">
        <f>+J307</f>
        <v>7.2727272727272728E-5</v>
      </c>
      <c r="N331" t="s">
        <v>4621</v>
      </c>
    </row>
    <row r="332" spans="1:20" x14ac:dyDescent="0.25">
      <c r="G332" s="389" t="s">
        <v>6334</v>
      </c>
      <c r="I332" s="346">
        <f t="shared" si="1"/>
        <v>1.8181818181818181E-4</v>
      </c>
      <c r="J332" s="346"/>
      <c r="N332" t="s">
        <v>4511</v>
      </c>
    </row>
    <row r="333" spans="1:20" x14ac:dyDescent="0.25">
      <c r="A333" s="333"/>
      <c r="B333" s="333"/>
      <c r="C333" s="333"/>
      <c r="D333" s="333"/>
      <c r="E333" s="333"/>
      <c r="G333" s="389" t="s">
        <v>6442</v>
      </c>
      <c r="H333" s="333"/>
      <c r="I333" s="380">
        <f t="shared" si="1"/>
        <v>1.0909090909090909E-4</v>
      </c>
      <c r="J333" s="380">
        <f>+J309</f>
        <v>4.3636363636363637E-4</v>
      </c>
      <c r="K333" s="333"/>
      <c r="L333" s="333"/>
      <c r="M333" s="333"/>
      <c r="N333" s="333" t="s">
        <v>4494</v>
      </c>
      <c r="O333" s="335"/>
      <c r="P333" s="333"/>
      <c r="Q333" s="333"/>
      <c r="R333" s="333"/>
      <c r="S333" s="333"/>
      <c r="T333" s="333"/>
    </row>
    <row r="334" spans="1:20" x14ac:dyDescent="0.25">
      <c r="I334" s="346">
        <f t="shared" si="1"/>
        <v>1</v>
      </c>
      <c r="J334" s="346"/>
      <c r="N334" s="333" t="s">
        <v>4643</v>
      </c>
    </row>
    <row r="335" spans="1:20" x14ac:dyDescent="0.25">
      <c r="F335" s="224" t="str">
        <f>+F328</f>
        <v>CA0008</v>
      </c>
      <c r="G335" s="400"/>
      <c r="I335" s="346">
        <f t="shared" si="1"/>
        <v>2.5454545454545456E-3</v>
      </c>
      <c r="J335" s="346"/>
      <c r="N335" s="333" t="str">
        <f t="shared" ref="N335:N340" si="2">+N328</f>
        <v>CUADRILLA ACERO 2 Turno por dia</v>
      </c>
      <c r="O335" s="307" t="s">
        <v>4653</v>
      </c>
    </row>
    <row r="336" spans="1:20" x14ac:dyDescent="0.25">
      <c r="G336" s="389" t="s">
        <v>6483</v>
      </c>
      <c r="I336" s="346">
        <f t="shared" si="1"/>
        <v>5.4545454545454546E-5</v>
      </c>
      <c r="J336" s="346">
        <f>+J312</f>
        <v>1.8181818181818182E-5</v>
      </c>
      <c r="N336" t="str">
        <f t="shared" si="2"/>
        <v>Camion con baja da 40 ton</v>
      </c>
    </row>
    <row r="337" spans="1:20" x14ac:dyDescent="0.25">
      <c r="G337" s="389" t="s">
        <v>6334</v>
      </c>
      <c r="I337" s="346">
        <f t="shared" si="1"/>
        <v>7.2727272727272728E-5</v>
      </c>
      <c r="J337" s="346"/>
      <c r="N337" t="str">
        <f t="shared" si="2"/>
        <v>OPERADOR DE EQUIP. PESADO 2 turno por dia</v>
      </c>
    </row>
    <row r="338" spans="1:20" x14ac:dyDescent="0.25">
      <c r="G338" s="389" t="s">
        <v>4860</v>
      </c>
      <c r="I338" s="346">
        <f t="shared" si="1"/>
        <v>7.6363636363636361E-5</v>
      </c>
      <c r="J338" s="346">
        <f>+J314</f>
        <v>1.0545454545454545E-4</v>
      </c>
      <c r="N338" t="str">
        <f t="shared" si="2"/>
        <v>Autogru da 50 ton</v>
      </c>
    </row>
    <row r="339" spans="1:20" x14ac:dyDescent="0.25">
      <c r="A339" s="333"/>
      <c r="B339" s="333"/>
      <c r="C339" s="333"/>
      <c r="D339" s="333"/>
      <c r="E339" s="333"/>
      <c r="G339" s="389" t="s">
        <v>6334</v>
      </c>
      <c r="H339" s="333"/>
      <c r="I339" s="380">
        <f t="shared" si="1"/>
        <v>1.8181818181818181E-4</v>
      </c>
      <c r="J339" s="380"/>
      <c r="K339" s="333"/>
      <c r="L339" s="333"/>
      <c r="M339" s="333"/>
      <c r="N339" s="333" t="str">
        <f t="shared" si="2"/>
        <v>OPERADOR DE EQUIP. PESADO 2 turno por dia</v>
      </c>
      <c r="O339" s="335"/>
      <c r="P339" s="333"/>
      <c r="Q339" s="333"/>
      <c r="R339" s="333"/>
      <c r="S339" s="333"/>
      <c r="T339" s="333"/>
    </row>
    <row r="340" spans="1:20" x14ac:dyDescent="0.25">
      <c r="G340" s="389" t="s">
        <v>6442</v>
      </c>
      <c r="I340" s="346">
        <f t="shared" si="1"/>
        <v>1.0909090909090909E-4</v>
      </c>
      <c r="J340" s="346">
        <f>+J316</f>
        <v>4.3636363636363637E-4</v>
      </c>
      <c r="N340" t="str">
        <f t="shared" si="2"/>
        <v>Saldadora diesel 550 AMP</v>
      </c>
    </row>
    <row r="341" spans="1:20" ht="45" x14ac:dyDescent="0.25">
      <c r="A341" s="223" t="s">
        <v>4658</v>
      </c>
      <c r="B341" s="343" t="s">
        <v>4664</v>
      </c>
      <c r="C341" s="223"/>
      <c r="D341" s="223"/>
      <c r="E341" s="223"/>
      <c r="F341" s="224" t="str">
        <f>+F335</f>
        <v>CA0008</v>
      </c>
      <c r="G341" s="400"/>
      <c r="H341" s="223"/>
      <c r="I341" s="348">
        <f>+I343*10*1.2</f>
        <v>6.0000000000000001E-3</v>
      </c>
      <c r="J341" s="223"/>
      <c r="K341" s="223"/>
      <c r="L341" s="223"/>
      <c r="M341" s="223"/>
      <c r="N341" s="223" t="str">
        <f>+N328</f>
        <v>CUADRILLA ACERO 2 Turno por dia</v>
      </c>
      <c r="O341" s="312"/>
      <c r="P341" s="223"/>
      <c r="Q341" s="223"/>
      <c r="R341" s="223"/>
      <c r="S341" s="223"/>
      <c r="T341" s="223"/>
    </row>
    <row r="342" spans="1:20" x14ac:dyDescent="0.25">
      <c r="F342" t="s">
        <v>4585</v>
      </c>
      <c r="G342" s="389" t="s">
        <v>6426</v>
      </c>
      <c r="I342" s="346">
        <f>1/2500</f>
        <v>4.0000000000000002E-4</v>
      </c>
      <c r="J342">
        <f>(I342/0.8)-I342</f>
        <v>9.9999999999999991E-5</v>
      </c>
      <c r="N342" t="s">
        <v>4659</v>
      </c>
      <c r="O342" s="307" t="s">
        <v>4662</v>
      </c>
    </row>
    <row r="343" spans="1:20" x14ac:dyDescent="0.25">
      <c r="F343" t="s">
        <v>4585</v>
      </c>
      <c r="G343" s="389" t="s">
        <v>6334</v>
      </c>
      <c r="I343" s="346">
        <f>+I342+J342</f>
        <v>5.0000000000000001E-4</v>
      </c>
      <c r="N343" t="str">
        <f>+N337</f>
        <v>OPERADOR DE EQUIP. PESADO 2 turno por dia</v>
      </c>
    </row>
    <row r="344" spans="1:20" x14ac:dyDescent="0.25">
      <c r="F344" t="s">
        <v>4585</v>
      </c>
      <c r="G344" s="389" t="s">
        <v>4860</v>
      </c>
      <c r="I344" s="321">
        <f>+I342*0.5</f>
        <v>2.0000000000000001E-4</v>
      </c>
      <c r="J344" s="321">
        <f>+J342*0.5</f>
        <v>4.9999999999999996E-5</v>
      </c>
      <c r="N344" t="s">
        <v>4485</v>
      </c>
    </row>
    <row r="345" spans="1:20" x14ac:dyDescent="0.25">
      <c r="F345" t="s">
        <v>4585</v>
      </c>
      <c r="G345" s="389" t="s">
        <v>6334</v>
      </c>
      <c r="I345" s="346">
        <f>+I344+J344</f>
        <v>2.5000000000000001E-4</v>
      </c>
      <c r="N345" t="str">
        <f>+N339</f>
        <v>OPERADOR DE EQUIP. PESADO 2 turno por dia</v>
      </c>
    </row>
    <row r="346" spans="1:20" x14ac:dyDescent="0.25">
      <c r="F346" t="s">
        <v>4585</v>
      </c>
      <c r="I346" s="346">
        <f>+I342</f>
        <v>4.0000000000000002E-4</v>
      </c>
      <c r="J346">
        <f>+J342</f>
        <v>9.9999999999999991E-5</v>
      </c>
      <c r="N346" t="s">
        <v>4660</v>
      </c>
    </row>
    <row r="347" spans="1:20" x14ac:dyDescent="0.25">
      <c r="A347" s="333"/>
      <c r="B347" s="333"/>
      <c r="C347" s="333"/>
      <c r="D347" s="333"/>
      <c r="E347" s="333"/>
      <c r="F347" t="s">
        <v>4585</v>
      </c>
      <c r="G347" s="398" t="s">
        <v>265</v>
      </c>
      <c r="H347" s="333"/>
      <c r="I347" s="333">
        <f>(800*0.22*0.6)*I346</f>
        <v>4.224E-2</v>
      </c>
      <c r="J347" s="333"/>
      <c r="K347" s="333"/>
      <c r="L347" s="333"/>
      <c r="M347" s="333"/>
      <c r="N347" s="333" t="s">
        <v>4661</v>
      </c>
      <c r="O347" s="335"/>
      <c r="P347" s="333"/>
      <c r="Q347" s="333"/>
      <c r="R347" s="333"/>
      <c r="S347" s="333"/>
      <c r="T347" s="333"/>
    </row>
    <row r="348" spans="1:20" x14ac:dyDescent="0.25">
      <c r="F348" t="s">
        <v>4585</v>
      </c>
      <c r="G348" s="389" t="s">
        <v>6483</v>
      </c>
      <c r="I348">
        <f>+I342*0.6</f>
        <v>2.4000000000000001E-4</v>
      </c>
      <c r="J348">
        <f>+J342*0.6</f>
        <v>5.9999999999999995E-5</v>
      </c>
      <c r="N348" t="str">
        <f>+N336</f>
        <v>Camion con baja da 40 ton</v>
      </c>
    </row>
    <row r="349" spans="1:20" x14ac:dyDescent="0.25">
      <c r="F349" t="s">
        <v>4585</v>
      </c>
      <c r="G349" s="389" t="s">
        <v>6334</v>
      </c>
      <c r="I349">
        <f>+I348+J348</f>
        <v>3.0000000000000003E-4</v>
      </c>
      <c r="N349" t="str">
        <f>+N345</f>
        <v>OPERADOR DE EQUIP. PESADO 2 turno por dia</v>
      </c>
    </row>
    <row r="350" spans="1:20" x14ac:dyDescent="0.25">
      <c r="F350" t="s">
        <v>4585</v>
      </c>
      <c r="G350" s="389" t="s">
        <v>6442</v>
      </c>
      <c r="I350">
        <f>+I342*0.15*2</f>
        <v>1.2E-4</v>
      </c>
      <c r="J350">
        <f>+J342*0.15*2</f>
        <v>2.9999999999999997E-5</v>
      </c>
      <c r="N350" t="str">
        <f>+N340</f>
        <v>Saldadora diesel 550 AMP</v>
      </c>
    </row>
    <row r="351" spans="1:20" x14ac:dyDescent="0.25">
      <c r="F351" t="s">
        <v>4585</v>
      </c>
      <c r="I351">
        <v>1</v>
      </c>
      <c r="N351" t="s">
        <v>4663</v>
      </c>
    </row>
    <row r="352" spans="1:20" ht="45" x14ac:dyDescent="0.25">
      <c r="A352" s="223" t="s">
        <v>4665</v>
      </c>
      <c r="B352" s="343" t="s">
        <v>4666</v>
      </c>
      <c r="C352" s="223" t="s">
        <v>1341</v>
      </c>
      <c r="D352" s="223"/>
      <c r="E352" s="223"/>
      <c r="F352" s="224" t="str">
        <f t="shared" ref="F352:F363" si="3">+F341</f>
        <v>CA0008</v>
      </c>
      <c r="G352" s="400"/>
      <c r="H352" s="223"/>
      <c r="I352" s="348">
        <f t="shared" ref="I352:I361" si="4">+I341</f>
        <v>6.0000000000000001E-3</v>
      </c>
      <c r="J352" s="223"/>
      <c r="K352" s="223"/>
      <c r="L352" s="223"/>
      <c r="M352" s="223"/>
      <c r="N352" s="223" t="str">
        <f t="shared" ref="N352:N363" si="5">+N341</f>
        <v>CUADRILLA ACERO 2 Turno por dia</v>
      </c>
      <c r="O352" s="312"/>
      <c r="P352" s="223"/>
      <c r="Q352" s="223"/>
    </row>
    <row r="353" spans="1:17" x14ac:dyDescent="0.25">
      <c r="F353" t="str">
        <f t="shared" si="3"/>
        <v>xxxx</v>
      </c>
      <c r="G353" s="389" t="s">
        <v>6426</v>
      </c>
      <c r="I353" s="346">
        <f t="shared" si="4"/>
        <v>4.0000000000000002E-4</v>
      </c>
      <c r="J353">
        <f>+J342</f>
        <v>9.9999999999999991E-5</v>
      </c>
      <c r="N353" t="str">
        <f t="shared" si="5"/>
        <v>GRU CINGOLATA 250 TON</v>
      </c>
      <c r="O353" s="307" t="s">
        <v>4662</v>
      </c>
    </row>
    <row r="354" spans="1:17" x14ac:dyDescent="0.25">
      <c r="F354" t="str">
        <f t="shared" si="3"/>
        <v>xxxx</v>
      </c>
      <c r="G354" s="389" t="s">
        <v>6334</v>
      </c>
      <c r="I354" s="346">
        <f t="shared" si="4"/>
        <v>5.0000000000000001E-4</v>
      </c>
      <c r="N354" t="str">
        <f t="shared" si="5"/>
        <v>OPERADOR DE EQUIP. PESADO 2 turno por dia</v>
      </c>
    </row>
    <row r="355" spans="1:17" x14ac:dyDescent="0.25">
      <c r="F355" t="str">
        <f t="shared" si="3"/>
        <v>xxxx</v>
      </c>
      <c r="G355" s="389" t="s">
        <v>4860</v>
      </c>
      <c r="I355" s="346">
        <f t="shared" si="4"/>
        <v>2.0000000000000001E-4</v>
      </c>
      <c r="J355">
        <f>+J344</f>
        <v>4.9999999999999996E-5</v>
      </c>
      <c r="N355" t="str">
        <f t="shared" si="5"/>
        <v>GRU CINGOLATA 50 TON</v>
      </c>
    </row>
    <row r="356" spans="1:17" x14ac:dyDescent="0.25">
      <c r="F356" t="str">
        <f t="shared" si="3"/>
        <v>xxxx</v>
      </c>
      <c r="G356" s="389" t="s">
        <v>6334</v>
      </c>
      <c r="I356" s="346">
        <f t="shared" si="4"/>
        <v>2.5000000000000001E-4</v>
      </c>
      <c r="N356" t="str">
        <f t="shared" si="5"/>
        <v>OPERADOR DE EQUIP. PESADO 2 turno por dia</v>
      </c>
    </row>
    <row r="357" spans="1:17" x14ac:dyDescent="0.25">
      <c r="F357" t="str">
        <f t="shared" si="3"/>
        <v>xxxx</v>
      </c>
      <c r="I357" s="346">
        <f t="shared" si="4"/>
        <v>4.0000000000000002E-4</v>
      </c>
      <c r="J357">
        <f>+J346</f>
        <v>9.9999999999999991E-5</v>
      </c>
      <c r="N357" t="str">
        <f t="shared" si="5"/>
        <v>Vibro + centralina</v>
      </c>
    </row>
    <row r="358" spans="1:17" x14ac:dyDescent="0.25">
      <c r="A358" s="333"/>
      <c r="B358" s="333"/>
      <c r="C358" s="333"/>
      <c r="D358" s="333"/>
      <c r="E358" s="333"/>
      <c r="F358" t="str">
        <f t="shared" si="3"/>
        <v>xxxx</v>
      </c>
      <c r="G358" s="398" t="s">
        <v>265</v>
      </c>
      <c r="H358" s="333"/>
      <c r="I358" s="380">
        <f t="shared" si="4"/>
        <v>4.224E-2</v>
      </c>
      <c r="J358" s="333"/>
      <c r="K358" s="333"/>
      <c r="L358" s="333"/>
      <c r="M358" s="333"/>
      <c r="N358" s="333" t="str">
        <f t="shared" si="5"/>
        <v>Diesel</v>
      </c>
      <c r="O358" s="335"/>
      <c r="P358" s="333"/>
      <c r="Q358" s="333"/>
    </row>
    <row r="359" spans="1:17" x14ac:dyDescent="0.25">
      <c r="F359" t="str">
        <f t="shared" si="3"/>
        <v>xxxx</v>
      </c>
      <c r="G359" s="389" t="s">
        <v>6483</v>
      </c>
      <c r="I359" s="346">
        <f t="shared" si="4"/>
        <v>2.4000000000000001E-4</v>
      </c>
      <c r="J359">
        <f>+J348</f>
        <v>5.9999999999999995E-5</v>
      </c>
      <c r="N359" t="str">
        <f t="shared" si="5"/>
        <v>Camion con baja da 40 ton</v>
      </c>
    </row>
    <row r="360" spans="1:17" x14ac:dyDescent="0.25">
      <c r="F360" t="str">
        <f t="shared" si="3"/>
        <v>xxxx</v>
      </c>
      <c r="G360" s="389" t="s">
        <v>6334</v>
      </c>
      <c r="I360" s="346">
        <f t="shared" si="4"/>
        <v>3.0000000000000003E-4</v>
      </c>
      <c r="N360" t="str">
        <f t="shared" si="5"/>
        <v>OPERADOR DE EQUIP. PESADO 2 turno por dia</v>
      </c>
    </row>
    <row r="361" spans="1:17" x14ac:dyDescent="0.25">
      <c r="F361" t="str">
        <f t="shared" si="3"/>
        <v>xxxx</v>
      </c>
      <c r="G361" s="389" t="s">
        <v>6442</v>
      </c>
      <c r="I361" s="346">
        <f t="shared" si="4"/>
        <v>1.2E-4</v>
      </c>
      <c r="J361">
        <f>+J350</f>
        <v>2.9999999999999997E-5</v>
      </c>
      <c r="N361" t="str">
        <f t="shared" si="5"/>
        <v>Saldadora diesel 550 AMP</v>
      </c>
    </row>
    <row r="362" spans="1:17" x14ac:dyDescent="0.25">
      <c r="F362" t="str">
        <f t="shared" si="3"/>
        <v>xxxx</v>
      </c>
      <c r="I362" s="346">
        <v>1</v>
      </c>
      <c r="N362" t="str">
        <f t="shared" si="5"/>
        <v>PERFIL COMBINADO EM AÇO CARBONO</v>
      </c>
    </row>
    <row r="363" spans="1:17" x14ac:dyDescent="0.25">
      <c r="A363" s="223" t="s">
        <v>4667</v>
      </c>
      <c r="B363" s="223" t="s">
        <v>2626</v>
      </c>
      <c r="C363" s="223" t="s">
        <v>1341</v>
      </c>
      <c r="D363" s="223"/>
      <c r="E363" s="223"/>
      <c r="F363" s="224" t="str">
        <f t="shared" si="3"/>
        <v>CA0008</v>
      </c>
      <c r="G363" s="400"/>
      <c r="H363" s="223"/>
      <c r="I363" s="223">
        <f>10*5/14852</f>
        <v>3.3665499596014004E-3</v>
      </c>
      <c r="J363" s="223"/>
      <c r="K363" s="223"/>
      <c r="L363" s="223"/>
      <c r="M363" s="223"/>
      <c r="N363" s="223" t="str">
        <f t="shared" si="5"/>
        <v>CUADRILLA ACERO 2 Turno por dia</v>
      </c>
      <c r="O363" s="312" t="s">
        <v>4670</v>
      </c>
      <c r="P363" s="223"/>
      <c r="Q363" s="223"/>
    </row>
    <row r="364" spans="1:17" x14ac:dyDescent="0.25">
      <c r="F364" t="s">
        <v>4620</v>
      </c>
      <c r="G364" s="389" t="s">
        <v>4860</v>
      </c>
      <c r="I364">
        <f>(I363/10)*0.6</f>
        <v>2.0199299757608401E-4</v>
      </c>
      <c r="J364" s="346">
        <f>(I364/0.8)-I364</f>
        <v>5.0498249394020982E-5</v>
      </c>
      <c r="N364" t="s">
        <v>4485</v>
      </c>
    </row>
    <row r="365" spans="1:17" x14ac:dyDescent="0.25">
      <c r="F365" t="s">
        <v>4620</v>
      </c>
      <c r="G365" s="389" t="s">
        <v>6334</v>
      </c>
      <c r="I365" s="346">
        <f>+I364+J364</f>
        <v>2.5249124697010499E-4</v>
      </c>
      <c r="N365" t="str">
        <f>+N354</f>
        <v>OPERADOR DE EQUIP. PESADO 2 turno por dia</v>
      </c>
    </row>
    <row r="366" spans="1:17" x14ac:dyDescent="0.25">
      <c r="F366" t="s">
        <v>4620</v>
      </c>
      <c r="G366" s="389" t="s">
        <v>6483</v>
      </c>
      <c r="I366">
        <f>(I363/10)*0.4</f>
        <v>1.3466199838405601E-4</v>
      </c>
      <c r="J366" s="346">
        <f>(I366/0.6)-I366</f>
        <v>8.9774665589370685E-5</v>
      </c>
      <c r="N366" t="str">
        <f>+N359</f>
        <v>Camion con baja da 40 ton</v>
      </c>
    </row>
    <row r="367" spans="1:17" x14ac:dyDescent="0.25">
      <c r="A367" s="333"/>
      <c r="B367" s="333"/>
      <c r="C367" s="333"/>
      <c r="D367" s="333"/>
      <c r="E367" s="333"/>
      <c r="F367" t="s">
        <v>4620</v>
      </c>
      <c r="G367" s="389" t="s">
        <v>6334</v>
      </c>
      <c r="H367" s="333"/>
      <c r="I367" s="380">
        <f>+I366+J366</f>
        <v>2.244366639734267E-4</v>
      </c>
      <c r="J367" s="333"/>
      <c r="K367" s="333"/>
      <c r="L367" s="333"/>
      <c r="M367" s="333"/>
      <c r="N367" s="333" t="str">
        <f>+N360</f>
        <v>OPERADOR DE EQUIP. PESADO 2 turno por dia</v>
      </c>
      <c r="O367" s="335"/>
      <c r="P367" s="333"/>
      <c r="Q367" s="333"/>
    </row>
    <row r="368" spans="1:17" x14ac:dyDescent="0.25">
      <c r="F368" t="s">
        <v>4620</v>
      </c>
      <c r="G368" s="389" t="s">
        <v>6442</v>
      </c>
      <c r="I368">
        <f>2*I364*0.4</f>
        <v>1.6159439806086721E-4</v>
      </c>
      <c r="J368" s="346">
        <f>2*J364*0.4</f>
        <v>4.0398599515216789E-5</v>
      </c>
      <c r="N368" t="str">
        <f>+N361</f>
        <v>Saldadora diesel 550 AMP</v>
      </c>
    </row>
    <row r="369" spans="1:21" x14ac:dyDescent="0.25">
      <c r="E369" t="s">
        <v>4959</v>
      </c>
      <c r="F369" t="s">
        <v>4620</v>
      </c>
      <c r="G369" s="389" t="s">
        <v>4959</v>
      </c>
      <c r="J369">
        <v>1</v>
      </c>
      <c r="N369" t="s">
        <v>4668</v>
      </c>
      <c r="O369" s="307" t="s">
        <v>4669</v>
      </c>
    </row>
    <row r="370" spans="1:21" x14ac:dyDescent="0.25">
      <c r="A370" s="223" t="s">
        <v>4671</v>
      </c>
      <c r="B370" s="223" t="s">
        <v>4672</v>
      </c>
      <c r="C370" s="223" t="s">
        <v>1341</v>
      </c>
      <c r="D370" s="223"/>
      <c r="E370" s="223"/>
      <c r="F370" s="224" t="s">
        <v>4471</v>
      </c>
      <c r="G370" s="400"/>
      <c r="H370" s="223"/>
      <c r="I370" s="348">
        <v>6.0000000000000001E-3</v>
      </c>
      <c r="J370" s="223"/>
      <c r="K370" s="223"/>
      <c r="L370" s="223"/>
      <c r="M370" s="223"/>
      <c r="N370" s="223" t="s">
        <v>4474</v>
      </c>
      <c r="O370" s="312"/>
      <c r="P370" s="223"/>
      <c r="Q370" s="223"/>
      <c r="R370" s="223"/>
      <c r="S370" s="223"/>
    </row>
    <row r="371" spans="1:21" x14ac:dyDescent="0.25">
      <c r="F371" t="s">
        <v>4620</v>
      </c>
      <c r="G371" s="389" t="s">
        <v>6483</v>
      </c>
      <c r="I371" s="346">
        <v>4.0000000000000003E-5</v>
      </c>
      <c r="J371" s="346">
        <v>2.6666666666666667E-5</v>
      </c>
      <c r="N371" t="s">
        <v>4493</v>
      </c>
    </row>
    <row r="372" spans="1:21" x14ac:dyDescent="0.25">
      <c r="F372" t="s">
        <v>4620</v>
      </c>
      <c r="G372" s="389" t="s">
        <v>6334</v>
      </c>
      <c r="I372" s="346">
        <v>6.666666666666667E-5</v>
      </c>
      <c r="J372" s="346"/>
      <c r="N372" t="s">
        <v>4511</v>
      </c>
    </row>
    <row r="373" spans="1:21" x14ac:dyDescent="0.25">
      <c r="F373" t="s">
        <v>4620</v>
      </c>
      <c r="I373" s="346">
        <v>1</v>
      </c>
      <c r="J373" s="346"/>
      <c r="N373" t="s">
        <v>4673</v>
      </c>
    </row>
    <row r="374" spans="1:21" x14ac:dyDescent="0.25">
      <c r="F374" t="s">
        <v>4620</v>
      </c>
      <c r="G374" s="389" t="s">
        <v>4860</v>
      </c>
      <c r="I374" s="346">
        <v>8.0000000000000004E-4</v>
      </c>
      <c r="J374" s="346">
        <v>5.3333333333333347E-4</v>
      </c>
      <c r="N374" t="s">
        <v>4621</v>
      </c>
    </row>
    <row r="375" spans="1:21" x14ac:dyDescent="0.25">
      <c r="F375" t="s">
        <v>4620</v>
      </c>
      <c r="G375" s="389" t="s">
        <v>6334</v>
      </c>
      <c r="I375" s="346">
        <v>1.3333333333333335E-3</v>
      </c>
      <c r="J375" s="346"/>
      <c r="N375" t="s">
        <v>4511</v>
      </c>
    </row>
    <row r="376" spans="1:21" x14ac:dyDescent="0.25">
      <c r="A376" s="333"/>
      <c r="B376" s="333"/>
      <c r="C376" s="333"/>
      <c r="D376" s="333"/>
      <c r="E376" s="333"/>
      <c r="F376" t="s">
        <v>4620</v>
      </c>
      <c r="G376" s="389" t="s">
        <v>6442</v>
      </c>
      <c r="H376" s="333"/>
      <c r="I376" s="376">
        <v>0.2</v>
      </c>
      <c r="J376" s="376">
        <v>1.8</v>
      </c>
      <c r="K376" s="333"/>
      <c r="L376" s="333"/>
      <c r="M376" s="333"/>
      <c r="N376" s="333" t="s">
        <v>4494</v>
      </c>
      <c r="O376" s="335"/>
      <c r="P376" s="333"/>
      <c r="Q376" s="333"/>
      <c r="R376" s="333"/>
      <c r="S376" s="333"/>
      <c r="T376" s="333"/>
      <c r="U376" s="333"/>
    </row>
    <row r="377" spans="1:21" x14ac:dyDescent="0.25">
      <c r="A377" s="223" t="s">
        <v>4674</v>
      </c>
      <c r="B377" s="223" t="s">
        <v>4675</v>
      </c>
      <c r="C377" s="223" t="s">
        <v>1341</v>
      </c>
      <c r="D377" s="223"/>
      <c r="E377" s="223"/>
      <c r="F377" s="224" t="str">
        <f>+'CP. Auxiliar'!A31</f>
        <v>CA0008</v>
      </c>
      <c r="G377" s="400"/>
      <c r="H377" s="223"/>
      <c r="I377" s="223">
        <v>120</v>
      </c>
      <c r="J377" s="223"/>
      <c r="K377" s="223"/>
      <c r="L377" s="223"/>
      <c r="M377" s="223"/>
      <c r="N377" s="223" t="str">
        <f>+'CP. Auxiliar'!B31</f>
        <v>CUADRILLA ACERO 2 Turno por dia</v>
      </c>
      <c r="O377" s="312"/>
      <c r="P377" s="223"/>
      <c r="Q377" s="223"/>
      <c r="R377" s="223"/>
      <c r="S377" s="223"/>
      <c r="T377" s="223"/>
    </row>
    <row r="378" spans="1:21" x14ac:dyDescent="0.25">
      <c r="F378" s="224" t="s">
        <v>4585</v>
      </c>
      <c r="G378" s="389" t="s">
        <v>6432</v>
      </c>
      <c r="I378">
        <v>0.33</v>
      </c>
      <c r="J378">
        <f>(I378/0.4)-I378</f>
        <v>0.49499999999999994</v>
      </c>
      <c r="N378" s="224" t="s">
        <v>4582</v>
      </c>
    </row>
    <row r="379" spans="1:21" x14ac:dyDescent="0.25">
      <c r="F379" s="224" t="s">
        <v>4585</v>
      </c>
      <c r="G379" s="389" t="s">
        <v>245</v>
      </c>
      <c r="I379">
        <f>+I378+J378</f>
        <v>0.82499999999999996</v>
      </c>
      <c r="N379" t="s">
        <v>4576</v>
      </c>
    </row>
    <row r="380" spans="1:21" x14ac:dyDescent="0.25">
      <c r="F380" s="224" t="s">
        <v>4585</v>
      </c>
      <c r="G380" s="389" t="s">
        <v>6540</v>
      </c>
      <c r="I380">
        <f>0.2+0.667</f>
        <v>0.86699999999999999</v>
      </c>
      <c r="J380">
        <f>(I380/0.6)-I380</f>
        <v>0.57800000000000007</v>
      </c>
      <c r="N380" t="s">
        <v>4488</v>
      </c>
    </row>
    <row r="381" spans="1:21" x14ac:dyDescent="0.25">
      <c r="F381" s="224" t="s">
        <v>4585</v>
      </c>
      <c r="G381" s="389" t="s">
        <v>245</v>
      </c>
      <c r="I381">
        <f>+I380+J380</f>
        <v>1.4450000000000001</v>
      </c>
      <c r="N381" t="s">
        <v>4576</v>
      </c>
    </row>
    <row r="382" spans="1:21" x14ac:dyDescent="0.25">
      <c r="F382" s="224" t="s">
        <v>4585</v>
      </c>
      <c r="G382" s="400"/>
      <c r="I382">
        <v>1.1499999999999999</v>
      </c>
      <c r="N382" t="s">
        <v>4705</v>
      </c>
    </row>
    <row r="383" spans="1:21" x14ac:dyDescent="0.25">
      <c r="A383" s="223" t="s">
        <v>4676</v>
      </c>
      <c r="B383" s="343" t="s">
        <v>4677</v>
      </c>
      <c r="C383" s="223" t="s">
        <v>1341</v>
      </c>
      <c r="D383" s="223"/>
      <c r="E383" s="223"/>
      <c r="F383" s="224" t="s">
        <v>4471</v>
      </c>
      <c r="G383" s="400"/>
      <c r="H383" s="223"/>
      <c r="I383" s="325">
        <f>0.006*0.95</f>
        <v>5.7000000000000002E-3</v>
      </c>
      <c r="J383" s="223"/>
      <c r="K383" s="223"/>
      <c r="L383" s="223"/>
      <c r="M383" s="223"/>
      <c r="N383" s="223" t="s">
        <v>4474</v>
      </c>
      <c r="O383" s="312"/>
      <c r="P383" s="223"/>
      <c r="Q383" s="223"/>
      <c r="R383" s="223"/>
      <c r="S383" s="223"/>
      <c r="T383" s="223"/>
      <c r="U383" s="223"/>
    </row>
    <row r="384" spans="1:21" x14ac:dyDescent="0.25">
      <c r="F384" s="224" t="s">
        <v>4620</v>
      </c>
      <c r="G384" s="389" t="s">
        <v>6483</v>
      </c>
      <c r="I384" s="344">
        <v>4.0000000000000003E-5</v>
      </c>
      <c r="J384" s="344">
        <v>2.6666666666666667E-5</v>
      </c>
      <c r="N384" t="s">
        <v>4493</v>
      </c>
    </row>
    <row r="385" spans="1:21" x14ac:dyDescent="0.25">
      <c r="F385" s="224" t="s">
        <v>4620</v>
      </c>
      <c r="G385" s="389" t="s">
        <v>6334</v>
      </c>
      <c r="I385" s="344">
        <v>6.666666666666667E-5</v>
      </c>
      <c r="J385" s="307"/>
      <c r="N385" t="s">
        <v>4511</v>
      </c>
    </row>
    <row r="386" spans="1:21" x14ac:dyDescent="0.25">
      <c r="F386" s="224" t="s">
        <v>4620</v>
      </c>
      <c r="G386" s="400"/>
      <c r="I386" s="307">
        <v>1</v>
      </c>
      <c r="J386" s="307"/>
      <c r="N386" t="s">
        <v>4644</v>
      </c>
      <c r="O386" s="307" t="s">
        <v>4637</v>
      </c>
    </row>
    <row r="387" spans="1:21" x14ac:dyDescent="0.25">
      <c r="F387" s="224" t="s">
        <v>4620</v>
      </c>
      <c r="G387" s="389" t="s">
        <v>4860</v>
      </c>
      <c r="I387" s="344">
        <v>8.0000000000000004E-4</v>
      </c>
      <c r="J387" s="344">
        <v>5.3333333333333347E-4</v>
      </c>
      <c r="N387" t="s">
        <v>4621</v>
      </c>
    </row>
    <row r="388" spans="1:21" x14ac:dyDescent="0.25">
      <c r="A388" s="333"/>
      <c r="B388" s="333"/>
      <c r="C388" s="333"/>
      <c r="D388" s="333"/>
      <c r="E388" s="333"/>
      <c r="F388" s="224" t="s">
        <v>4620</v>
      </c>
      <c r="G388" s="389" t="s">
        <v>6334</v>
      </c>
      <c r="H388" s="333"/>
      <c r="I388" s="381">
        <v>1.3333333333333335E-3</v>
      </c>
      <c r="J388" s="333"/>
      <c r="K388" s="333"/>
      <c r="L388" s="333"/>
      <c r="M388" s="333"/>
      <c r="N388" s="333" t="s">
        <v>4511</v>
      </c>
      <c r="O388" s="335"/>
      <c r="P388" s="333"/>
      <c r="Q388" s="333"/>
      <c r="R388" s="333"/>
      <c r="S388" s="333"/>
    </row>
    <row r="389" spans="1:21" x14ac:dyDescent="0.25">
      <c r="F389" s="224" t="s">
        <v>4620</v>
      </c>
      <c r="G389" s="389" t="s">
        <v>6442</v>
      </c>
      <c r="I389" s="344">
        <f>0.2*0.95</f>
        <v>0.19</v>
      </c>
      <c r="J389" s="322">
        <f>1.8*0.95</f>
        <v>1.71</v>
      </c>
      <c r="N389" t="s">
        <v>4494</v>
      </c>
    </row>
    <row r="390" spans="1:21" x14ac:dyDescent="0.25">
      <c r="A390" s="223" t="s">
        <v>4678</v>
      </c>
      <c r="B390" s="223" t="s">
        <v>4683</v>
      </c>
      <c r="C390" s="223" t="s">
        <v>1341</v>
      </c>
      <c r="D390" s="223"/>
      <c r="E390" s="223"/>
      <c r="F390" s="224" t="str">
        <f>+F383</f>
        <v>CA0008</v>
      </c>
      <c r="G390" s="400"/>
      <c r="H390" s="223"/>
      <c r="I390" s="325">
        <f>0.005*2*3</f>
        <v>0.03</v>
      </c>
      <c r="J390" s="223"/>
      <c r="K390" s="223"/>
      <c r="L390" s="223"/>
      <c r="M390" s="223"/>
      <c r="N390" s="223" t="str">
        <f>+N383</f>
        <v>CUADRILLA ACERO 2 Turno por dia</v>
      </c>
      <c r="O390" s="312"/>
      <c r="P390" s="223"/>
      <c r="Q390" s="223"/>
      <c r="R390" s="223"/>
      <c r="S390" s="223"/>
      <c r="T390" s="223"/>
    </row>
    <row r="391" spans="1:21" x14ac:dyDescent="0.25">
      <c r="F391" s="224" t="s">
        <v>4620</v>
      </c>
      <c r="G391" s="400"/>
      <c r="H391" s="297" t="s">
        <v>1409</v>
      </c>
      <c r="I391" s="344">
        <v>5.0000000000000001E-4</v>
      </c>
      <c r="N391" s="224" t="s">
        <v>4679</v>
      </c>
    </row>
    <row r="392" spans="1:21" x14ac:dyDescent="0.25">
      <c r="F392" s="224" t="s">
        <v>4620</v>
      </c>
      <c r="G392" s="400"/>
      <c r="I392" s="344">
        <v>1E-3</v>
      </c>
      <c r="N392" s="400" t="s">
        <v>4680</v>
      </c>
    </row>
    <row r="393" spans="1:21" x14ac:dyDescent="0.25">
      <c r="F393" s="224" t="s">
        <v>4620</v>
      </c>
      <c r="G393" s="389" t="s">
        <v>6540</v>
      </c>
      <c r="I393" s="344">
        <v>5.0000000000000001E-3</v>
      </c>
      <c r="J393">
        <f>(I393/0.6)-I393</f>
        <v>3.3333333333333331E-3</v>
      </c>
      <c r="N393" s="224" t="s">
        <v>4681</v>
      </c>
    </row>
    <row r="394" spans="1:21" x14ac:dyDescent="0.25">
      <c r="F394" s="224" t="s">
        <v>4620</v>
      </c>
      <c r="G394" s="389" t="s">
        <v>6334</v>
      </c>
      <c r="I394" s="344">
        <f>+I393+J393</f>
        <v>8.3333333333333332E-3</v>
      </c>
      <c r="N394" t="s">
        <v>4511</v>
      </c>
    </row>
    <row r="395" spans="1:21" x14ac:dyDescent="0.25">
      <c r="A395" s="333"/>
      <c r="B395" s="333"/>
      <c r="C395" s="333"/>
      <c r="D395" s="333"/>
      <c r="E395" s="333"/>
      <c r="F395" s="224" t="s">
        <v>4620</v>
      </c>
      <c r="G395" s="389" t="s">
        <v>6432</v>
      </c>
      <c r="H395" s="333"/>
      <c r="I395" s="381">
        <v>5.0000000000000001E-3</v>
      </c>
      <c r="J395" s="333">
        <f>(I395/0.4)-I395</f>
        <v>7.4999999999999989E-3</v>
      </c>
      <c r="K395" s="333"/>
      <c r="L395" s="333"/>
      <c r="M395" s="333"/>
      <c r="N395" s="224" t="s">
        <v>4582</v>
      </c>
      <c r="O395" s="335"/>
      <c r="P395" s="333"/>
      <c r="Q395" s="333"/>
    </row>
    <row r="396" spans="1:21" x14ac:dyDescent="0.25">
      <c r="F396" s="224" t="s">
        <v>4620</v>
      </c>
      <c r="G396" s="389" t="s">
        <v>6334</v>
      </c>
      <c r="I396" s="344">
        <f>+I395+J395</f>
        <v>1.2499999999999999E-2</v>
      </c>
      <c r="N396" t="s">
        <v>4511</v>
      </c>
    </row>
    <row r="397" spans="1:21" x14ac:dyDescent="0.25">
      <c r="F397" s="224" t="s">
        <v>4620</v>
      </c>
      <c r="G397" s="400"/>
      <c r="I397" s="344">
        <f>I390/5</f>
        <v>6.0000000000000001E-3</v>
      </c>
      <c r="J397">
        <f>(I397/0.3)-I397</f>
        <v>1.4E-2</v>
      </c>
      <c r="N397" t="s">
        <v>4688</v>
      </c>
      <c r="O397" s="307" t="s">
        <v>4689</v>
      </c>
    </row>
    <row r="398" spans="1:21" x14ac:dyDescent="0.25">
      <c r="F398" s="224" t="s">
        <v>4460</v>
      </c>
      <c r="G398" s="389" t="s">
        <v>62</v>
      </c>
      <c r="I398" s="344">
        <f>+I397*0.5</f>
        <v>3.0000000000000001E-3</v>
      </c>
      <c r="J398">
        <f>+J397*0.5</f>
        <v>7.0000000000000001E-3</v>
      </c>
      <c r="N398" t="s">
        <v>4518</v>
      </c>
    </row>
    <row r="399" spans="1:21" x14ac:dyDescent="0.25">
      <c r="F399" s="224" t="s">
        <v>4620</v>
      </c>
      <c r="G399" s="400"/>
      <c r="I399" s="344">
        <v>1.03</v>
      </c>
      <c r="N399" t="s">
        <v>4687</v>
      </c>
    </row>
    <row r="400" spans="1:21" x14ac:dyDescent="0.25">
      <c r="A400" s="223" t="s">
        <v>4682</v>
      </c>
      <c r="B400" s="223" t="s">
        <v>4684</v>
      </c>
      <c r="C400" s="223" t="s">
        <v>4514</v>
      </c>
      <c r="D400" s="223"/>
      <c r="E400" s="223"/>
      <c r="F400" s="224" t="str">
        <f>+'CP. Auxiliar'!A7</f>
        <v>CA0002</v>
      </c>
      <c r="G400" s="400"/>
      <c r="H400" s="223"/>
      <c r="I400" s="223">
        <f>5/150</f>
        <v>3.3333333333333333E-2</v>
      </c>
      <c r="J400" s="223"/>
      <c r="K400" s="223"/>
      <c r="L400" s="223"/>
      <c r="M400" s="223"/>
      <c r="N400" s="223" t="str">
        <f>+'CP. Auxiliar'!B7</f>
        <v>CUADRILLA ESCAVACION 2 Turno por dia</v>
      </c>
      <c r="O400" s="312"/>
      <c r="P400" s="223"/>
      <c r="Q400" s="223"/>
      <c r="R400" s="223"/>
      <c r="S400" s="223"/>
      <c r="T400" s="223"/>
      <c r="U400" s="223"/>
    </row>
    <row r="401" spans="1:21" x14ac:dyDescent="0.25">
      <c r="F401" s="224" t="s">
        <v>4620</v>
      </c>
      <c r="G401" s="400"/>
      <c r="I401">
        <f>1/120</f>
        <v>8.3333333333333332E-3</v>
      </c>
      <c r="J401">
        <f>(I401/0.7)-I401</f>
        <v>3.5714285714285726E-3</v>
      </c>
      <c r="N401" s="224" t="s">
        <v>4685</v>
      </c>
    </row>
    <row r="402" spans="1:21" x14ac:dyDescent="0.25">
      <c r="F402" s="224" t="s">
        <v>4620</v>
      </c>
      <c r="G402" s="389" t="s">
        <v>6334</v>
      </c>
      <c r="I402">
        <f>+I401+J401</f>
        <v>1.1904761904761906E-2</v>
      </c>
      <c r="N402" t="s">
        <v>4511</v>
      </c>
    </row>
    <row r="403" spans="1:21" x14ac:dyDescent="0.25">
      <c r="F403" s="224" t="s">
        <v>4620</v>
      </c>
      <c r="G403" s="389" t="s">
        <v>6414</v>
      </c>
      <c r="I403">
        <f>1/14</f>
        <v>7.1428571428571425E-2</v>
      </c>
      <c r="J403">
        <f>(I403/0.8)-I403</f>
        <v>1.7857142857142849E-2</v>
      </c>
      <c r="N403" t="s">
        <v>4686</v>
      </c>
    </row>
    <row r="404" spans="1:21" x14ac:dyDescent="0.25">
      <c r="A404" s="333"/>
      <c r="B404" s="333"/>
      <c r="C404" s="333"/>
      <c r="D404" s="333"/>
      <c r="E404" s="333"/>
      <c r="F404" s="224" t="s">
        <v>4620</v>
      </c>
      <c r="G404" s="389" t="s">
        <v>6334</v>
      </c>
      <c r="H404" s="333"/>
      <c r="I404" s="333">
        <f>+I403+J403</f>
        <v>8.9285714285714274E-2</v>
      </c>
      <c r="J404" s="333"/>
      <c r="K404" s="333"/>
      <c r="L404" s="333"/>
      <c r="M404" s="333"/>
      <c r="N404" s="333" t="s">
        <v>4511</v>
      </c>
      <c r="O404" s="335"/>
      <c r="P404" s="333"/>
      <c r="Q404" s="333"/>
      <c r="R404" s="333"/>
    </row>
    <row r="405" spans="1:21" x14ac:dyDescent="0.25">
      <c r="F405" s="224" t="s">
        <v>4620</v>
      </c>
      <c r="G405" s="400"/>
      <c r="I405" s="321">
        <f>1/200</f>
        <v>5.0000000000000001E-3</v>
      </c>
      <c r="J405">
        <f>(I405/0.55)-I405</f>
        <v>4.0909090909090904E-3</v>
      </c>
      <c r="N405" s="224" t="s">
        <v>4685</v>
      </c>
    </row>
    <row r="406" spans="1:21" x14ac:dyDescent="0.25">
      <c r="F406" s="224" t="s">
        <v>4620</v>
      </c>
      <c r="G406" s="389" t="s">
        <v>6334</v>
      </c>
      <c r="I406" s="321">
        <f>+I405+J405</f>
        <v>9.0909090909090905E-3</v>
      </c>
      <c r="N406" t="s">
        <v>4511</v>
      </c>
    </row>
    <row r="407" spans="1:21" x14ac:dyDescent="0.25">
      <c r="F407" s="224" t="s">
        <v>4620</v>
      </c>
      <c r="G407" s="400"/>
      <c r="I407">
        <v>1.05</v>
      </c>
      <c r="N407" t="s">
        <v>1121</v>
      </c>
    </row>
    <row r="408" spans="1:21" x14ac:dyDescent="0.25">
      <c r="A408" s="223" t="s">
        <v>4690</v>
      </c>
      <c r="B408" s="223" t="s">
        <v>4694</v>
      </c>
      <c r="C408" s="223" t="s">
        <v>4514</v>
      </c>
      <c r="D408" s="223"/>
      <c r="E408" s="223"/>
      <c r="F408" s="224" t="str">
        <f>+'CP. Auxiliar'!A19</f>
        <v>CA0005</v>
      </c>
      <c r="G408" s="400"/>
      <c r="H408" s="223"/>
      <c r="I408" s="223">
        <v>0.65</v>
      </c>
      <c r="J408" s="223"/>
      <c r="K408" s="223"/>
      <c r="L408" s="223"/>
      <c r="M408" s="223"/>
      <c r="N408" s="223" t="str">
        <f>+'CP. Auxiliar'!B19</f>
        <v>CUADRILLA FORMALETA 1 Turno por dia</v>
      </c>
      <c r="O408" s="312"/>
      <c r="P408" s="223"/>
      <c r="Q408" s="223"/>
      <c r="R408" s="223"/>
      <c r="S408" s="223"/>
      <c r="T408" s="223"/>
      <c r="U408" s="223"/>
    </row>
    <row r="409" spans="1:21" x14ac:dyDescent="0.25">
      <c r="F409" s="224" t="s">
        <v>4460</v>
      </c>
      <c r="G409" s="400"/>
      <c r="I409">
        <v>1</v>
      </c>
      <c r="N409" s="224" t="s">
        <v>4691</v>
      </c>
      <c r="O409" s="307" t="s">
        <v>4702</v>
      </c>
    </row>
    <row r="410" spans="1:21" x14ac:dyDescent="0.25">
      <c r="F410" s="224" t="s">
        <v>4460</v>
      </c>
      <c r="G410" s="389" t="s">
        <v>6432</v>
      </c>
      <c r="I410">
        <v>9.4299999999999991E-3</v>
      </c>
      <c r="J410">
        <f>(I410/0.5)-I410</f>
        <v>9.4299999999999991E-3</v>
      </c>
      <c r="N410" s="224" t="s">
        <v>4582</v>
      </c>
    </row>
    <row r="411" spans="1:21" x14ac:dyDescent="0.25">
      <c r="A411" s="333"/>
      <c r="B411" s="333"/>
      <c r="C411" s="333"/>
      <c r="D411" s="333"/>
      <c r="E411" s="333"/>
      <c r="F411" s="224" t="s">
        <v>4460</v>
      </c>
      <c r="G411" s="389" t="s">
        <v>245</v>
      </c>
      <c r="H411" s="333"/>
      <c r="I411" s="333">
        <f>+I410+J410</f>
        <v>1.8859999999999998E-2</v>
      </c>
      <c r="J411" s="333"/>
      <c r="K411" s="333"/>
      <c r="L411" s="333"/>
      <c r="M411" s="333"/>
      <c r="N411" s="333" t="s">
        <v>4576</v>
      </c>
      <c r="O411" s="335"/>
      <c r="P411" s="333"/>
      <c r="Q411" s="333"/>
      <c r="R411" s="333"/>
    </row>
    <row r="412" spans="1:21" x14ac:dyDescent="0.25">
      <c r="F412" s="224" t="s">
        <v>4460</v>
      </c>
      <c r="G412" s="389" t="s">
        <v>6540</v>
      </c>
      <c r="I412">
        <v>1.1780000000000001E-2</v>
      </c>
      <c r="J412">
        <f>(I412/0.6)-I412</f>
        <v>7.8533333333333354E-3</v>
      </c>
      <c r="N412" t="s">
        <v>4488</v>
      </c>
    </row>
    <row r="413" spans="1:21" x14ac:dyDescent="0.25">
      <c r="F413" s="224" t="s">
        <v>4460</v>
      </c>
      <c r="G413" s="389" t="s">
        <v>245</v>
      </c>
      <c r="I413">
        <f>+I412+J412</f>
        <v>1.9633333333333336E-2</v>
      </c>
      <c r="N413" t="s">
        <v>4576</v>
      </c>
    </row>
    <row r="414" spans="1:21" x14ac:dyDescent="0.25">
      <c r="F414" s="224" t="s">
        <v>4460</v>
      </c>
      <c r="G414" s="400"/>
      <c r="I414">
        <v>1.1780000000000001E-2</v>
      </c>
      <c r="J414">
        <f>(I414/0.7)-I414</f>
        <v>5.0485714285714283E-3</v>
      </c>
      <c r="N414" t="s">
        <v>4692</v>
      </c>
    </row>
    <row r="415" spans="1:21" x14ac:dyDescent="0.25">
      <c r="A415" s="333"/>
      <c r="B415" s="333"/>
      <c r="C415" s="333"/>
      <c r="D415" s="333"/>
      <c r="E415" s="333"/>
      <c r="F415" s="224" t="s">
        <v>4460</v>
      </c>
      <c r="G415" s="389" t="s">
        <v>245</v>
      </c>
      <c r="H415" s="333"/>
      <c r="I415" s="333">
        <f>+I414+J414</f>
        <v>1.6828571428571429E-2</v>
      </c>
      <c r="J415" s="333"/>
      <c r="K415" s="333"/>
      <c r="L415" s="333"/>
      <c r="M415" s="333"/>
      <c r="N415" s="333" t="s">
        <v>4576</v>
      </c>
      <c r="O415" s="335"/>
      <c r="P415" s="333"/>
      <c r="Q415" s="333"/>
      <c r="R415" s="333"/>
      <c r="S415" s="333"/>
      <c r="T415" s="333"/>
    </row>
    <row r="416" spans="1:21" x14ac:dyDescent="0.25">
      <c r="A416" s="223" t="s">
        <v>4693</v>
      </c>
      <c r="B416" s="223" t="s">
        <v>4697</v>
      </c>
      <c r="C416" s="223" t="s">
        <v>1341</v>
      </c>
      <c r="D416" s="223"/>
      <c r="E416" s="223"/>
      <c r="F416" s="224" t="s">
        <v>4471</v>
      </c>
      <c r="G416" s="400"/>
      <c r="H416" s="223"/>
      <c r="I416" s="223">
        <v>3.5000000000000003E-2</v>
      </c>
      <c r="J416" s="223"/>
      <c r="K416" s="223"/>
      <c r="L416" s="223"/>
      <c r="M416" s="223"/>
      <c r="N416" s="223" t="s">
        <v>4474</v>
      </c>
      <c r="O416" s="312"/>
      <c r="P416" s="223"/>
      <c r="Q416" s="223"/>
      <c r="R416" s="223"/>
      <c r="S416" s="223"/>
      <c r="T416" s="223"/>
      <c r="U416" s="223"/>
    </row>
    <row r="417" spans="1:19" x14ac:dyDescent="0.25">
      <c r="F417" t="s">
        <v>4620</v>
      </c>
      <c r="H417" t="s">
        <v>1409</v>
      </c>
      <c r="I417">
        <v>5.1000000000000004E-4</v>
      </c>
      <c r="N417" t="s">
        <v>4679</v>
      </c>
    </row>
    <row r="418" spans="1:19" x14ac:dyDescent="0.25">
      <c r="F418" t="s">
        <v>4620</v>
      </c>
      <c r="I418">
        <v>1.1999999999999999E-3</v>
      </c>
      <c r="N418" t="s">
        <v>4680</v>
      </c>
    </row>
    <row r="419" spans="1:19" x14ac:dyDescent="0.25">
      <c r="F419" t="s">
        <v>4620</v>
      </c>
      <c r="G419" s="389" t="s">
        <v>6540</v>
      </c>
      <c r="I419">
        <v>5.0000000000000001E-3</v>
      </c>
      <c r="J419">
        <v>3.3333333333333331E-3</v>
      </c>
      <c r="N419" t="s">
        <v>4681</v>
      </c>
    </row>
    <row r="420" spans="1:19" x14ac:dyDescent="0.25">
      <c r="F420" t="s">
        <v>4620</v>
      </c>
      <c r="G420" s="389" t="s">
        <v>6334</v>
      </c>
      <c r="I420">
        <v>8.3333333333333332E-3</v>
      </c>
      <c r="N420" t="s">
        <v>4511</v>
      </c>
    </row>
    <row r="421" spans="1:19" x14ac:dyDescent="0.25">
      <c r="A421" s="333"/>
      <c r="B421" s="333"/>
      <c r="C421" s="333"/>
      <c r="D421" s="333"/>
      <c r="E421" s="333"/>
      <c r="F421" s="333" t="s">
        <v>4620</v>
      </c>
      <c r="G421" s="389" t="s">
        <v>6432</v>
      </c>
      <c r="H421" s="333"/>
      <c r="I421" s="333">
        <v>5.0000000000000001E-3</v>
      </c>
      <c r="J421" s="333">
        <v>7.4999999999999989E-3</v>
      </c>
      <c r="K421" s="333"/>
      <c r="L421" s="333"/>
      <c r="M421" s="333"/>
      <c r="N421" s="333" t="s">
        <v>4582</v>
      </c>
      <c r="O421" s="335"/>
      <c r="P421" s="333"/>
      <c r="Q421" s="333"/>
      <c r="R421" s="333"/>
    </row>
    <row r="422" spans="1:19" x14ac:dyDescent="0.25">
      <c r="F422" t="s">
        <v>4620</v>
      </c>
      <c r="G422" s="389" t="s">
        <v>6334</v>
      </c>
      <c r="I422">
        <v>1.2499999999999999E-2</v>
      </c>
      <c r="N422" t="s">
        <v>4511</v>
      </c>
    </row>
    <row r="423" spans="1:19" x14ac:dyDescent="0.25">
      <c r="F423" t="s">
        <v>4620</v>
      </c>
      <c r="I423">
        <v>6.4999999999999997E-3</v>
      </c>
      <c r="J423">
        <f>0.014-0.0005</f>
        <v>1.35E-2</v>
      </c>
      <c r="N423" t="s">
        <v>4688</v>
      </c>
      <c r="O423" s="307" t="s">
        <v>4689</v>
      </c>
    </row>
    <row r="424" spans="1:19" x14ac:dyDescent="0.25">
      <c r="F424" t="s">
        <v>4460</v>
      </c>
      <c r="G424" s="389" t="s">
        <v>62</v>
      </c>
      <c r="I424">
        <v>3.0000000000000001E-3</v>
      </c>
      <c r="J424">
        <v>7.0000000000000001E-3</v>
      </c>
      <c r="N424" t="s">
        <v>4518</v>
      </c>
    </row>
    <row r="425" spans="1:19" x14ac:dyDescent="0.25">
      <c r="F425" t="s">
        <v>4620</v>
      </c>
      <c r="I425">
        <v>1.03</v>
      </c>
      <c r="N425" t="s">
        <v>4695</v>
      </c>
    </row>
    <row r="426" spans="1:19" ht="30" x14ac:dyDescent="0.25">
      <c r="A426" s="223" t="s">
        <v>4696</v>
      </c>
      <c r="B426" s="343" t="s">
        <v>4698</v>
      </c>
      <c r="C426" s="223"/>
      <c r="D426" s="223"/>
      <c r="E426" s="223"/>
      <c r="F426" s="224" t="str">
        <f>+'CP. Auxiliar'!A19</f>
        <v>CA0005</v>
      </c>
      <c r="G426" s="400"/>
      <c r="H426" s="223"/>
      <c r="I426" s="223">
        <v>2.8</v>
      </c>
      <c r="J426" s="223"/>
      <c r="K426" s="223"/>
      <c r="L426" s="223"/>
      <c r="M426" s="223"/>
      <c r="N426" s="223" t="str">
        <f>+'CP. Auxiliar'!B19</f>
        <v>CUADRILLA FORMALETA 1 Turno por dia</v>
      </c>
      <c r="O426" s="312"/>
      <c r="P426" s="223"/>
      <c r="Q426" s="223"/>
      <c r="R426" s="223"/>
      <c r="S426" s="223"/>
    </row>
    <row r="427" spans="1:19" x14ac:dyDescent="0.25">
      <c r="A427" s="333"/>
      <c r="B427" s="333"/>
      <c r="C427" s="333"/>
      <c r="D427" s="333"/>
      <c r="E427" s="333"/>
      <c r="F427" s="333" t="s">
        <v>4620</v>
      </c>
      <c r="G427" s="400"/>
      <c r="H427" s="333"/>
      <c r="I427" s="224">
        <v>1.01</v>
      </c>
      <c r="J427" s="333"/>
      <c r="K427" s="333"/>
      <c r="L427" s="333"/>
      <c r="M427" s="333"/>
      <c r="N427" s="224" t="s">
        <v>4699</v>
      </c>
      <c r="O427" s="335"/>
      <c r="P427" s="333"/>
      <c r="Q427" s="333"/>
      <c r="R427" s="333"/>
      <c r="S427" s="333"/>
    </row>
    <row r="428" spans="1:19" x14ac:dyDescent="0.25">
      <c r="F428" t="s">
        <v>4620</v>
      </c>
      <c r="G428" s="389" t="s">
        <v>6432</v>
      </c>
      <c r="I428">
        <f>1/20</f>
        <v>0.05</v>
      </c>
      <c r="J428">
        <f>(I428/0.4)-I428</f>
        <v>7.4999999999999997E-2</v>
      </c>
      <c r="N428" s="224" t="s">
        <v>4582</v>
      </c>
    </row>
    <row r="429" spans="1:19" x14ac:dyDescent="0.25">
      <c r="F429" t="s">
        <v>4620</v>
      </c>
      <c r="G429" s="389" t="s">
        <v>245</v>
      </c>
      <c r="I429">
        <f>+I428+J428</f>
        <v>0.125</v>
      </c>
      <c r="N429" t="s">
        <v>4576</v>
      </c>
    </row>
    <row r="430" spans="1:19" x14ac:dyDescent="0.25">
      <c r="F430" t="s">
        <v>4620</v>
      </c>
      <c r="G430" s="389" t="s">
        <v>6540</v>
      </c>
      <c r="I430">
        <f>1/5</f>
        <v>0.2</v>
      </c>
      <c r="J430">
        <f>(I430/0.6)-I430</f>
        <v>0.13333333333333336</v>
      </c>
      <c r="N430" t="s">
        <v>4488</v>
      </c>
    </row>
    <row r="431" spans="1:19" x14ac:dyDescent="0.25">
      <c r="F431" t="s">
        <v>4620</v>
      </c>
      <c r="G431" s="389" t="s">
        <v>245</v>
      </c>
      <c r="I431">
        <f>+I430+J430</f>
        <v>0.33333333333333337</v>
      </c>
      <c r="N431" t="s">
        <v>4576</v>
      </c>
    </row>
    <row r="432" spans="1:19" x14ac:dyDescent="0.25">
      <c r="A432" s="223" t="s">
        <v>4700</v>
      </c>
      <c r="B432" s="223" t="s">
        <v>4701</v>
      </c>
      <c r="C432" s="223" t="s">
        <v>4514</v>
      </c>
      <c r="D432" s="223"/>
      <c r="E432" s="223"/>
      <c r="F432" s="224" t="str">
        <f>+'CP. Auxiliar'!A43</f>
        <v>CA0010</v>
      </c>
      <c r="G432" s="400"/>
      <c r="H432" s="223"/>
      <c r="I432" s="223">
        <f>0.65*1.3</f>
        <v>0.84500000000000008</v>
      </c>
      <c r="J432" s="223"/>
      <c r="K432" s="223"/>
      <c r="L432" s="223"/>
      <c r="M432" s="223"/>
      <c r="N432" s="223" t="str">
        <f>+'CP. Auxiliar'!B43</f>
        <v>CUADRILLA VARIOS 2 Turno por dia</v>
      </c>
      <c r="O432" s="312"/>
      <c r="P432" s="223"/>
      <c r="Q432" s="223"/>
    </row>
    <row r="433" spans="1:18" x14ac:dyDescent="0.25">
      <c r="F433" s="224" t="s">
        <v>4460</v>
      </c>
      <c r="G433" s="400"/>
      <c r="I433">
        <v>1</v>
      </c>
      <c r="N433" s="224" t="s">
        <v>4691</v>
      </c>
      <c r="O433" s="307" t="s">
        <v>4702</v>
      </c>
    </row>
    <row r="434" spans="1:18" x14ac:dyDescent="0.25">
      <c r="F434" s="224" t="s">
        <v>4460</v>
      </c>
      <c r="G434" s="389" t="s">
        <v>6432</v>
      </c>
      <c r="I434">
        <f>0.00943*1.3</f>
        <v>1.2258999999999999E-2</v>
      </c>
      <c r="J434">
        <f>(I434/0.5)-I434</f>
        <v>1.2258999999999999E-2</v>
      </c>
      <c r="N434" s="224" t="s">
        <v>4582</v>
      </c>
    </row>
    <row r="435" spans="1:18" x14ac:dyDescent="0.25">
      <c r="A435" s="333"/>
      <c r="B435" s="333"/>
      <c r="C435" s="333"/>
      <c r="D435" s="333"/>
      <c r="E435" s="333"/>
      <c r="F435" s="224" t="s">
        <v>4460</v>
      </c>
      <c r="G435" s="389" t="s">
        <v>245</v>
      </c>
      <c r="H435" s="333"/>
      <c r="I435" s="333">
        <f>+I434+J434</f>
        <v>2.4517999999999998E-2</v>
      </c>
      <c r="J435" s="333"/>
      <c r="K435" s="333"/>
      <c r="L435" s="333"/>
      <c r="M435" s="333"/>
      <c r="N435" s="333" t="s">
        <v>4576</v>
      </c>
      <c r="O435" s="335"/>
      <c r="P435" s="333"/>
      <c r="Q435" s="333"/>
    </row>
    <row r="436" spans="1:18" x14ac:dyDescent="0.25">
      <c r="F436" s="224" t="s">
        <v>4460</v>
      </c>
      <c r="G436" s="389" t="s">
        <v>6540</v>
      </c>
      <c r="I436">
        <f>0.01178*1.3</f>
        <v>1.5314000000000001E-2</v>
      </c>
      <c r="J436">
        <f>(I436/0.6)-I436</f>
        <v>1.0209333333333334E-2</v>
      </c>
      <c r="N436" t="s">
        <v>4488</v>
      </c>
    </row>
    <row r="437" spans="1:18" x14ac:dyDescent="0.25">
      <c r="F437" s="224" t="s">
        <v>4460</v>
      </c>
      <c r="G437" s="389" t="s">
        <v>245</v>
      </c>
      <c r="I437">
        <f>+I436+J436</f>
        <v>2.5523333333333335E-2</v>
      </c>
      <c r="N437" t="s">
        <v>4576</v>
      </c>
    </row>
    <row r="438" spans="1:18" x14ac:dyDescent="0.25">
      <c r="F438" s="224" t="s">
        <v>4460</v>
      </c>
      <c r="G438" s="400"/>
      <c r="I438">
        <f>0.01178*1.3</f>
        <v>1.5314000000000001E-2</v>
      </c>
      <c r="J438">
        <f>(I438/0.7)-I438</f>
        <v>6.5631428571428577E-3</v>
      </c>
      <c r="N438" t="s">
        <v>4692</v>
      </c>
    </row>
    <row r="439" spans="1:18" x14ac:dyDescent="0.25">
      <c r="F439" s="224" t="s">
        <v>4460</v>
      </c>
      <c r="G439" s="389" t="s">
        <v>245</v>
      </c>
      <c r="I439">
        <f>+I438+J438</f>
        <v>2.1877142857142859E-2</v>
      </c>
      <c r="N439" t="s">
        <v>4576</v>
      </c>
    </row>
    <row r="440" spans="1:18" x14ac:dyDescent="0.25">
      <c r="A440" s="223" t="s">
        <v>4703</v>
      </c>
      <c r="B440" s="223" t="s">
        <v>4704</v>
      </c>
      <c r="C440" s="223" t="s">
        <v>1341</v>
      </c>
      <c r="D440" s="223"/>
      <c r="E440" s="223"/>
      <c r="F440" s="224" t="str">
        <f>+'CP. Auxiliar'!A31</f>
        <v>CA0008</v>
      </c>
      <c r="G440" s="400"/>
      <c r="H440" s="223"/>
      <c r="I440" s="223">
        <v>120</v>
      </c>
      <c r="J440" s="223"/>
      <c r="K440" s="223"/>
      <c r="L440" s="223"/>
      <c r="M440" s="223"/>
      <c r="N440" s="223" t="str">
        <f>+'CP. Auxiliar'!B31</f>
        <v>CUADRILLA ACERO 2 Turno por dia</v>
      </c>
      <c r="O440" s="312"/>
      <c r="P440" s="223"/>
      <c r="Q440" s="223"/>
      <c r="R440" s="223"/>
    </row>
    <row r="441" spans="1:18" x14ac:dyDescent="0.25">
      <c r="F441" s="224" t="s">
        <v>4585</v>
      </c>
      <c r="G441" s="389" t="s">
        <v>6432</v>
      </c>
      <c r="I441">
        <v>0.33</v>
      </c>
      <c r="J441">
        <f>(I441/0.4)-I441</f>
        <v>0.49499999999999994</v>
      </c>
      <c r="N441" s="224" t="s">
        <v>4582</v>
      </c>
    </row>
    <row r="442" spans="1:18" x14ac:dyDescent="0.25">
      <c r="F442" s="224" t="s">
        <v>4585</v>
      </c>
      <c r="G442" s="389" t="s">
        <v>6334</v>
      </c>
      <c r="I442">
        <f>+I441+J441</f>
        <v>0.82499999999999996</v>
      </c>
      <c r="N442" t="s">
        <v>4511</v>
      </c>
    </row>
    <row r="443" spans="1:18" x14ac:dyDescent="0.25">
      <c r="A443" s="333"/>
      <c r="B443" s="333"/>
      <c r="C443" s="333"/>
      <c r="D443" s="333"/>
      <c r="E443" s="333"/>
      <c r="F443" s="224" t="s">
        <v>4585</v>
      </c>
      <c r="G443" s="389" t="s">
        <v>6540</v>
      </c>
      <c r="H443" s="333"/>
      <c r="I443" s="333">
        <f>0.2+0.667</f>
        <v>0.86699999999999999</v>
      </c>
      <c r="J443" s="333">
        <f>(I443/0.6)-I443</f>
        <v>0.57800000000000007</v>
      </c>
      <c r="K443" s="333"/>
      <c r="L443" s="333"/>
      <c r="M443" s="333"/>
      <c r="N443" s="333" t="s">
        <v>4488</v>
      </c>
      <c r="O443" s="335"/>
      <c r="P443" s="333"/>
      <c r="Q443" s="333"/>
    </row>
    <row r="444" spans="1:18" x14ac:dyDescent="0.25">
      <c r="F444" s="224" t="s">
        <v>4585</v>
      </c>
      <c r="G444" s="389" t="s">
        <v>6334</v>
      </c>
      <c r="I444">
        <f>+I443+J443</f>
        <v>1.4450000000000001</v>
      </c>
      <c r="N444" t="s">
        <v>4511</v>
      </c>
    </row>
    <row r="445" spans="1:18" x14ac:dyDescent="0.25">
      <c r="F445" s="224" t="s">
        <v>4585</v>
      </c>
      <c r="G445" s="400"/>
      <c r="I445">
        <v>1.1499999999999999</v>
      </c>
      <c r="N445" t="s">
        <v>4705</v>
      </c>
    </row>
    <row r="446" spans="1:18" x14ac:dyDescent="0.25">
      <c r="A446" s="223" t="s">
        <v>4706</v>
      </c>
      <c r="B446" s="223" t="s">
        <v>4708</v>
      </c>
      <c r="C446" s="223" t="s">
        <v>4514</v>
      </c>
      <c r="D446" s="223"/>
      <c r="E446" s="223"/>
      <c r="F446" s="349" t="str">
        <f>+'CP. Auxiliar'!A19</f>
        <v>CA0005</v>
      </c>
      <c r="G446" s="401"/>
      <c r="H446" s="223"/>
      <c r="I446" s="350">
        <f>I449*10*3</f>
        <v>10.000000000000002</v>
      </c>
      <c r="J446" s="223"/>
      <c r="K446" s="223"/>
      <c r="L446" s="223"/>
      <c r="M446" s="223"/>
      <c r="N446" s="223" t="str">
        <f>+'CP. Auxiliar'!B19</f>
        <v>CUADRILLA FORMALETA 1 Turno por dia</v>
      </c>
      <c r="O446" s="312"/>
      <c r="P446" s="223"/>
      <c r="Q446" s="223"/>
      <c r="R446" s="223"/>
    </row>
    <row r="447" spans="1:18" x14ac:dyDescent="0.25">
      <c r="F447" s="224" t="s">
        <v>4620</v>
      </c>
      <c r="G447" s="400"/>
      <c r="I447">
        <v>1.1000000000000001</v>
      </c>
      <c r="N447" t="s">
        <v>4707</v>
      </c>
    </row>
    <row r="448" spans="1:18" x14ac:dyDescent="0.25">
      <c r="F448" s="224" t="s">
        <v>4620</v>
      </c>
      <c r="G448" s="389" t="s">
        <v>6432</v>
      </c>
      <c r="I448">
        <f>1/5</f>
        <v>0.2</v>
      </c>
      <c r="J448">
        <f>(I448/0.6)-I448</f>
        <v>0.13333333333333336</v>
      </c>
      <c r="N448" s="224" t="s">
        <v>4582</v>
      </c>
    </row>
    <row r="449" spans="1:20" x14ac:dyDescent="0.25">
      <c r="F449" s="224" t="s">
        <v>4620</v>
      </c>
      <c r="G449" s="389" t="s">
        <v>245</v>
      </c>
      <c r="I449">
        <f>+I448+J448</f>
        <v>0.33333333333333337</v>
      </c>
      <c r="N449" t="s">
        <v>4576</v>
      </c>
    </row>
    <row r="450" spans="1:20" x14ac:dyDescent="0.25">
      <c r="A450" s="223" t="s">
        <v>4709</v>
      </c>
      <c r="B450" s="223" t="s">
        <v>4710</v>
      </c>
      <c r="C450" s="223" t="s">
        <v>4514</v>
      </c>
      <c r="D450" s="223"/>
      <c r="E450" s="223"/>
      <c r="F450" s="349" t="str">
        <f>+F446</f>
        <v>CA0005</v>
      </c>
      <c r="G450" s="401"/>
      <c r="H450" s="223"/>
      <c r="I450" s="223">
        <v>4</v>
      </c>
      <c r="J450" s="223"/>
      <c r="K450" s="223"/>
      <c r="L450" s="223"/>
      <c r="M450" s="223"/>
      <c r="N450" s="223" t="str">
        <f>+N446</f>
        <v>CUADRILLA FORMALETA 1 Turno por dia</v>
      </c>
      <c r="O450" s="312"/>
      <c r="P450" s="223"/>
      <c r="Q450" s="223"/>
      <c r="R450" s="223"/>
      <c r="S450" s="223"/>
      <c r="T450" s="223"/>
    </row>
    <row r="451" spans="1:20" x14ac:dyDescent="0.25">
      <c r="A451" s="333"/>
      <c r="B451" s="333"/>
      <c r="C451" s="333"/>
      <c r="D451" s="333"/>
      <c r="E451" s="333"/>
      <c r="F451" s="224" t="s">
        <v>4585</v>
      </c>
      <c r="G451" s="389" t="s">
        <v>6540</v>
      </c>
      <c r="H451" s="333"/>
      <c r="I451" s="333">
        <v>0.8</v>
      </c>
      <c r="J451" s="333">
        <v>0.2</v>
      </c>
      <c r="K451" s="333"/>
      <c r="L451" s="333"/>
      <c r="M451" s="333"/>
      <c r="N451" s="333" t="s">
        <v>4488</v>
      </c>
      <c r="O451" s="335"/>
      <c r="P451" s="333"/>
      <c r="Q451" s="333"/>
      <c r="R451" s="333"/>
    </row>
    <row r="452" spans="1:20" x14ac:dyDescent="0.25">
      <c r="F452" s="224" t="s">
        <v>4585</v>
      </c>
      <c r="G452" s="389" t="s">
        <v>245</v>
      </c>
      <c r="I452">
        <f>+I451+J451</f>
        <v>1</v>
      </c>
      <c r="N452" t="s">
        <v>4576</v>
      </c>
    </row>
    <row r="453" spans="1:20" x14ac:dyDescent="0.25">
      <c r="F453" s="224" t="s">
        <v>4585</v>
      </c>
      <c r="G453" s="389" t="s">
        <v>6432</v>
      </c>
      <c r="I453">
        <f>+I448</f>
        <v>0.2</v>
      </c>
      <c r="J453">
        <f>+J448</f>
        <v>0.13333333333333336</v>
      </c>
      <c r="N453" s="224" t="s">
        <v>4582</v>
      </c>
    </row>
    <row r="454" spans="1:20" x14ac:dyDescent="0.25">
      <c r="F454" s="224" t="s">
        <v>4585</v>
      </c>
      <c r="G454" s="389" t="s">
        <v>245</v>
      </c>
      <c r="I454">
        <f>+I453+J453</f>
        <v>0.33333333333333337</v>
      </c>
      <c r="N454" t="s">
        <v>4576</v>
      </c>
    </row>
    <row r="455" spans="1:20" x14ac:dyDescent="0.25">
      <c r="A455" s="223" t="s">
        <v>4711</v>
      </c>
      <c r="B455" s="223" t="s">
        <v>4712</v>
      </c>
      <c r="C455" s="223" t="s">
        <v>4514</v>
      </c>
      <c r="D455" s="223"/>
      <c r="E455" s="223"/>
      <c r="F455" s="349" t="str">
        <f>+F450</f>
        <v>CA0005</v>
      </c>
      <c r="G455" s="401"/>
      <c r="H455" s="223"/>
      <c r="I455" s="223">
        <v>3.2</v>
      </c>
      <c r="J455" s="223"/>
      <c r="K455" s="223"/>
      <c r="L455" s="223"/>
      <c r="M455" s="223"/>
      <c r="N455" s="223" t="str">
        <f>+N450</f>
        <v>CUADRILLA FORMALETA 1 Turno por dia</v>
      </c>
      <c r="O455" s="312"/>
      <c r="P455" s="223"/>
      <c r="Q455" s="223"/>
      <c r="R455" s="223"/>
    </row>
    <row r="456" spans="1:20" x14ac:dyDescent="0.25">
      <c r="F456" s="224" t="s">
        <v>4585</v>
      </c>
      <c r="G456" s="389" t="s">
        <v>6540</v>
      </c>
      <c r="I456">
        <v>0.7</v>
      </c>
      <c r="J456">
        <v>0.1</v>
      </c>
      <c r="N456" t="s">
        <v>4488</v>
      </c>
    </row>
    <row r="457" spans="1:20" x14ac:dyDescent="0.25">
      <c r="F457" s="224" t="s">
        <v>4585</v>
      </c>
      <c r="G457" s="389" t="s">
        <v>245</v>
      </c>
      <c r="I457">
        <f>+I456+J456</f>
        <v>0.79999999999999993</v>
      </c>
      <c r="N457" t="s">
        <v>4576</v>
      </c>
    </row>
    <row r="458" spans="1:20" x14ac:dyDescent="0.25">
      <c r="F458" s="224" t="s">
        <v>4585</v>
      </c>
      <c r="G458" s="389" t="s">
        <v>6432</v>
      </c>
      <c r="I458">
        <f>+I453</f>
        <v>0.2</v>
      </c>
      <c r="J458">
        <f>+J453</f>
        <v>0.13333333333333336</v>
      </c>
      <c r="N458" s="224" t="s">
        <v>4582</v>
      </c>
    </row>
    <row r="459" spans="1:20" x14ac:dyDescent="0.25">
      <c r="F459" s="224" t="s">
        <v>4585</v>
      </c>
      <c r="G459" s="389" t="s">
        <v>245</v>
      </c>
      <c r="I459">
        <f>+I458+J458</f>
        <v>0.33333333333333337</v>
      </c>
      <c r="N459" t="s">
        <v>4576</v>
      </c>
    </row>
    <row r="460" spans="1:20" ht="30" x14ac:dyDescent="0.25">
      <c r="A460" s="223" t="s">
        <v>4713</v>
      </c>
      <c r="B460" s="343" t="s">
        <v>4714</v>
      </c>
      <c r="C460" s="223" t="s">
        <v>4579</v>
      </c>
      <c r="D460" s="223"/>
      <c r="E460" s="223"/>
      <c r="F460" s="349" t="str">
        <f>+'CP. Auxiliar'!A35</f>
        <v>CA0009</v>
      </c>
      <c r="G460" s="401"/>
      <c r="H460" s="223"/>
      <c r="I460" s="223">
        <v>1.2</v>
      </c>
      <c r="J460" s="223"/>
      <c r="K460" s="223"/>
      <c r="L460" s="223"/>
      <c r="M460" s="223"/>
      <c r="N460" s="223" t="str">
        <f>+'CP. Auxiliar'!B35</f>
        <v>CUADRILLA VARIOS 1 Turno por dia</v>
      </c>
      <c r="O460" s="312"/>
      <c r="P460" s="223"/>
      <c r="Q460" s="223"/>
      <c r="R460" s="223"/>
      <c r="S460" s="223"/>
    </row>
    <row r="461" spans="1:20" x14ac:dyDescent="0.25">
      <c r="F461" s="224" t="s">
        <v>4620</v>
      </c>
      <c r="G461" s="400"/>
      <c r="I461">
        <v>1.1000000000000001</v>
      </c>
      <c r="N461" s="224" t="s">
        <v>4715</v>
      </c>
    </row>
    <row r="462" spans="1:20" x14ac:dyDescent="0.25">
      <c r="F462" s="224" t="s">
        <v>4620</v>
      </c>
      <c r="G462" s="400"/>
      <c r="I462">
        <v>1.1000000000000001</v>
      </c>
      <c r="N462" s="224" t="s">
        <v>4716</v>
      </c>
    </row>
    <row r="463" spans="1:20" x14ac:dyDescent="0.25">
      <c r="A463" s="333"/>
      <c r="B463" s="333"/>
      <c r="C463" s="333"/>
      <c r="D463" s="333"/>
      <c r="E463" s="333"/>
      <c r="F463" s="224" t="s">
        <v>4620</v>
      </c>
      <c r="G463" s="389" t="s">
        <v>6540</v>
      </c>
      <c r="H463" s="333"/>
      <c r="I463" s="333">
        <v>0.01</v>
      </c>
      <c r="J463" s="333">
        <f>(I463/0.8)-I463</f>
        <v>2.4999999999999988E-3</v>
      </c>
      <c r="K463" s="333"/>
      <c r="L463" s="333"/>
      <c r="M463" s="333"/>
      <c r="N463" s="333" t="s">
        <v>4488</v>
      </c>
      <c r="O463" s="335"/>
      <c r="P463" s="333"/>
      <c r="Q463" s="333"/>
      <c r="R463" s="333"/>
      <c r="S463" s="333"/>
      <c r="T463" s="333"/>
    </row>
    <row r="464" spans="1:20" x14ac:dyDescent="0.25">
      <c r="F464" s="224" t="s">
        <v>4620</v>
      </c>
      <c r="G464" s="389" t="s">
        <v>245</v>
      </c>
      <c r="I464">
        <f>+I463+J463</f>
        <v>1.2499999999999999E-2</v>
      </c>
      <c r="N464" t="s">
        <v>4576</v>
      </c>
    </row>
    <row r="465" spans="1:18" x14ac:dyDescent="0.25">
      <c r="F465" s="224" t="s">
        <v>4620</v>
      </c>
      <c r="G465" s="389" t="s">
        <v>6432</v>
      </c>
      <c r="I465">
        <v>5.0000000000000001E-3</v>
      </c>
      <c r="J465">
        <f>(I465/0.6)-I465</f>
        <v>3.3333333333333331E-3</v>
      </c>
      <c r="N465" s="224" t="s">
        <v>4582</v>
      </c>
    </row>
    <row r="466" spans="1:18" x14ac:dyDescent="0.25">
      <c r="F466" s="224" t="s">
        <v>4620</v>
      </c>
      <c r="G466" s="389" t="s">
        <v>245</v>
      </c>
      <c r="I466">
        <f>+I465+J465</f>
        <v>8.3333333333333332E-3</v>
      </c>
      <c r="N466" t="s">
        <v>4576</v>
      </c>
    </row>
    <row r="467" spans="1:18" ht="30" x14ac:dyDescent="0.25">
      <c r="A467" s="223" t="s">
        <v>4717</v>
      </c>
      <c r="B467" s="343" t="s">
        <v>4718</v>
      </c>
      <c r="C467" s="223" t="s">
        <v>4579</v>
      </c>
      <c r="D467" s="223"/>
      <c r="E467" s="223"/>
      <c r="F467" s="349" t="str">
        <f>+F460</f>
        <v>CA0009</v>
      </c>
      <c r="G467" s="401"/>
      <c r="H467" s="223"/>
      <c r="I467" s="223">
        <v>1.2</v>
      </c>
      <c r="J467" s="223"/>
      <c r="K467" s="223"/>
      <c r="L467" s="223"/>
      <c r="M467" s="223"/>
      <c r="N467" s="223" t="str">
        <f>+N460</f>
        <v>CUADRILLA VARIOS 1 Turno por dia</v>
      </c>
      <c r="O467" s="312"/>
      <c r="P467" s="223"/>
      <c r="Q467" s="223"/>
    </row>
    <row r="468" spans="1:18" x14ac:dyDescent="0.25">
      <c r="F468" s="224" t="s">
        <v>4620</v>
      </c>
      <c r="G468" s="400"/>
      <c r="I468">
        <v>1.1000000000000001</v>
      </c>
      <c r="N468" s="224" t="s">
        <v>4715</v>
      </c>
    </row>
    <row r="469" spans="1:18" x14ac:dyDescent="0.25">
      <c r="A469" s="333"/>
      <c r="B469" s="333"/>
      <c r="C469" s="333"/>
      <c r="D469" s="333"/>
      <c r="E469" s="333"/>
      <c r="F469" s="224" t="s">
        <v>4620</v>
      </c>
      <c r="G469" s="400"/>
      <c r="H469" s="333"/>
      <c r="I469" s="333">
        <v>1.1000000000000001</v>
      </c>
      <c r="J469" s="333"/>
      <c r="K469" s="333"/>
      <c r="L469" s="333"/>
      <c r="M469" s="333"/>
      <c r="N469" s="224" t="s">
        <v>4716</v>
      </c>
      <c r="O469" s="335"/>
      <c r="P469" s="333"/>
      <c r="Q469" s="333"/>
      <c r="R469" s="333"/>
    </row>
    <row r="470" spans="1:18" x14ac:dyDescent="0.25">
      <c r="F470" s="224" t="s">
        <v>4620</v>
      </c>
      <c r="G470" s="389" t="s">
        <v>6540</v>
      </c>
      <c r="I470">
        <v>0.01</v>
      </c>
      <c r="J470">
        <f>(I470/0.8)-I470</f>
        <v>2.4999999999999988E-3</v>
      </c>
      <c r="N470" t="s">
        <v>4488</v>
      </c>
    </row>
    <row r="471" spans="1:18" x14ac:dyDescent="0.25">
      <c r="F471" s="224" t="s">
        <v>4620</v>
      </c>
      <c r="G471" s="389" t="s">
        <v>245</v>
      </c>
      <c r="I471">
        <f>+I470+J470</f>
        <v>1.2499999999999999E-2</v>
      </c>
      <c r="N471" t="s">
        <v>4576</v>
      </c>
    </row>
    <row r="472" spans="1:18" x14ac:dyDescent="0.25">
      <c r="F472" s="224" t="s">
        <v>4620</v>
      </c>
      <c r="G472" s="389" t="s">
        <v>6432</v>
      </c>
      <c r="I472">
        <v>5.0000000000000001E-3</v>
      </c>
      <c r="J472">
        <f>(I472/0.6)-I472</f>
        <v>3.3333333333333331E-3</v>
      </c>
      <c r="N472" s="224" t="s">
        <v>4582</v>
      </c>
    </row>
    <row r="473" spans="1:18" x14ac:dyDescent="0.25">
      <c r="F473" s="224" t="s">
        <v>4620</v>
      </c>
      <c r="G473" s="389" t="s">
        <v>245</v>
      </c>
      <c r="I473">
        <f>+I472+J472</f>
        <v>8.3333333333333332E-3</v>
      </c>
      <c r="N473" t="s">
        <v>4576</v>
      </c>
    </row>
    <row r="474" spans="1:18" x14ac:dyDescent="0.25">
      <c r="A474" s="223" t="s">
        <v>4719</v>
      </c>
      <c r="B474" s="223" t="s">
        <v>4721</v>
      </c>
      <c r="C474" s="223" t="s">
        <v>4722</v>
      </c>
      <c r="D474" s="223"/>
      <c r="E474" s="223"/>
      <c r="F474" s="349" t="str">
        <f>+'CP. Auxiliar'!A35</f>
        <v>CA0009</v>
      </c>
      <c r="G474" s="401"/>
      <c r="H474" s="223"/>
      <c r="I474" s="223">
        <f>5/8</f>
        <v>0.625</v>
      </c>
      <c r="J474" s="223"/>
      <c r="K474" s="223"/>
      <c r="L474" s="223"/>
      <c r="M474" s="223"/>
      <c r="N474" s="223" t="str">
        <f>+'CP. Auxiliar'!B35</f>
        <v>CUADRILLA VARIOS 1 Turno por dia</v>
      </c>
      <c r="O474" s="312"/>
      <c r="P474" s="223"/>
      <c r="Q474" s="223"/>
    </row>
    <row r="475" spans="1:18" x14ac:dyDescent="0.25">
      <c r="A475" s="333"/>
      <c r="B475" s="333"/>
      <c r="C475" s="333"/>
      <c r="D475" s="333"/>
      <c r="E475" s="333"/>
      <c r="F475" s="224" t="s">
        <v>4620</v>
      </c>
      <c r="G475" s="389" t="s">
        <v>6432</v>
      </c>
      <c r="H475" s="333"/>
      <c r="I475" s="333">
        <f>(I474/5)*0.8</f>
        <v>0.1</v>
      </c>
      <c r="J475" s="333">
        <f>(I475/0.8)-I475</f>
        <v>2.4999999999999994E-2</v>
      </c>
      <c r="K475" s="333"/>
      <c r="L475" s="333"/>
      <c r="M475" s="333"/>
      <c r="N475" s="224" t="s">
        <v>4582</v>
      </c>
      <c r="O475" s="335"/>
      <c r="P475" s="333"/>
      <c r="Q475" s="333"/>
      <c r="R475" s="333"/>
    </row>
    <row r="476" spans="1:18" x14ac:dyDescent="0.25">
      <c r="F476" s="224" t="s">
        <v>4620</v>
      </c>
      <c r="G476" s="389" t="s">
        <v>245</v>
      </c>
      <c r="I476">
        <f>+I475+J475</f>
        <v>0.125</v>
      </c>
      <c r="N476" t="s">
        <v>4576</v>
      </c>
    </row>
    <row r="477" spans="1:18" x14ac:dyDescent="0.25">
      <c r="F477" s="224" t="s">
        <v>4620</v>
      </c>
      <c r="G477" s="389" t="s">
        <v>62</v>
      </c>
      <c r="I477">
        <f>+I475</f>
        <v>0.1</v>
      </c>
      <c r="J477">
        <f>(I477/0.8)-I477</f>
        <v>2.4999999999999994E-2</v>
      </c>
      <c r="N477" t="s">
        <v>4518</v>
      </c>
    </row>
    <row r="478" spans="1:18" x14ac:dyDescent="0.25">
      <c r="F478" s="224" t="s">
        <v>4620</v>
      </c>
      <c r="G478" s="400"/>
      <c r="I478">
        <f>+I477</f>
        <v>0.1</v>
      </c>
      <c r="J478">
        <f>(I478/0.8)-I478</f>
        <v>2.4999999999999994E-2</v>
      </c>
      <c r="N478" t="s">
        <v>4723</v>
      </c>
    </row>
    <row r="479" spans="1:18" x14ac:dyDescent="0.25">
      <c r="F479" s="224" t="s">
        <v>4620</v>
      </c>
      <c r="G479" s="400"/>
      <c r="I479">
        <v>1</v>
      </c>
      <c r="N479" t="s">
        <v>4720</v>
      </c>
    </row>
    <row r="480" spans="1:18" x14ac:dyDescent="0.25">
      <c r="A480" s="223" t="s">
        <v>4725</v>
      </c>
      <c r="B480" s="223" t="s">
        <v>4724</v>
      </c>
      <c r="C480" s="223" t="s">
        <v>4722</v>
      </c>
      <c r="D480" s="223"/>
      <c r="E480" s="223"/>
      <c r="F480" s="349" t="str">
        <f>+F474</f>
        <v>CA0009</v>
      </c>
      <c r="G480" s="401"/>
      <c r="H480" s="223"/>
      <c r="I480" s="351">
        <f>I481*5*3</f>
        <v>0.60000000000000009</v>
      </c>
      <c r="J480" s="223"/>
      <c r="K480" s="223"/>
      <c r="L480" s="223"/>
      <c r="M480" s="223"/>
      <c r="N480" s="223" t="str">
        <f>+N474</f>
        <v>CUADRILLA VARIOS 1 Turno por dia</v>
      </c>
      <c r="O480" s="312"/>
      <c r="P480" s="223"/>
      <c r="Q480" s="223"/>
      <c r="R480" s="223"/>
    </row>
    <row r="481" spans="1:20" x14ac:dyDescent="0.25">
      <c r="A481" s="333"/>
      <c r="B481" s="333"/>
      <c r="C481" s="333"/>
      <c r="D481" s="333"/>
      <c r="E481" s="333"/>
      <c r="F481" s="224" t="s">
        <v>4620</v>
      </c>
      <c r="G481" s="400"/>
      <c r="H481" s="333"/>
      <c r="I481" s="333">
        <f>1/10*0.4</f>
        <v>4.0000000000000008E-2</v>
      </c>
      <c r="J481" s="333">
        <f>+I481</f>
        <v>4.0000000000000008E-2</v>
      </c>
      <c r="K481" s="333"/>
      <c r="L481" s="333"/>
      <c r="M481" s="333"/>
      <c r="N481" s="224" t="s">
        <v>4726</v>
      </c>
      <c r="O481" s="335"/>
      <c r="P481" s="333"/>
      <c r="Q481" s="333"/>
      <c r="R481" s="333"/>
      <c r="S481" s="333"/>
    </row>
    <row r="482" spans="1:20" x14ac:dyDescent="0.25">
      <c r="F482" s="224" t="s">
        <v>4620</v>
      </c>
      <c r="G482" s="389" t="s">
        <v>62</v>
      </c>
      <c r="I482">
        <f>+I481/2</f>
        <v>2.0000000000000004E-2</v>
      </c>
      <c r="J482">
        <f>+I482</f>
        <v>2.0000000000000004E-2</v>
      </c>
      <c r="N482" t="s">
        <v>4518</v>
      </c>
    </row>
    <row r="483" spans="1:20" x14ac:dyDescent="0.25">
      <c r="F483" s="224" t="str">
        <f>+'CP. Auxiliar'!A77</f>
        <v>CA0052</v>
      </c>
      <c r="G483" s="389" t="s">
        <v>4965</v>
      </c>
      <c r="I483">
        <f>2/1000</f>
        <v>2E-3</v>
      </c>
      <c r="N483" t="str">
        <f>+'CP. Auxiliar'!B77</f>
        <v>AQUA</v>
      </c>
    </row>
    <row r="484" spans="1:20" x14ac:dyDescent="0.25">
      <c r="F484" s="224" t="s">
        <v>4620</v>
      </c>
      <c r="G484" s="400" t="s">
        <v>111</v>
      </c>
      <c r="I484">
        <f>(1.5/18)*I483</f>
        <v>1.6666666666666666E-4</v>
      </c>
      <c r="J484" s="346">
        <f>+I484*0.3</f>
        <v>4.9999999999999996E-5</v>
      </c>
      <c r="N484" t="s">
        <v>4519</v>
      </c>
    </row>
    <row r="485" spans="1:20" x14ac:dyDescent="0.25">
      <c r="F485" s="224" t="s">
        <v>4620</v>
      </c>
      <c r="G485" s="389" t="s">
        <v>6334</v>
      </c>
      <c r="I485" s="346">
        <f>+I484+J484</f>
        <v>2.1666666666666666E-4</v>
      </c>
      <c r="N485" t="s">
        <v>4511</v>
      </c>
    </row>
    <row r="486" spans="1:20" x14ac:dyDescent="0.25">
      <c r="A486" s="333"/>
      <c r="B486" s="333"/>
      <c r="C486" s="333"/>
      <c r="D486" s="333"/>
      <c r="E486" s="333"/>
      <c r="F486" s="224" t="s">
        <v>4620</v>
      </c>
      <c r="G486" s="389" t="s">
        <v>6432</v>
      </c>
      <c r="H486" s="333"/>
      <c r="I486" s="333">
        <f>1/80</f>
        <v>1.2500000000000001E-2</v>
      </c>
      <c r="J486" s="333">
        <f>+I486*0.25</f>
        <v>3.1250000000000002E-3</v>
      </c>
      <c r="K486" s="333"/>
      <c r="L486" s="333"/>
      <c r="M486" s="333"/>
      <c r="N486" s="224" t="s">
        <v>4582</v>
      </c>
      <c r="O486" s="335"/>
      <c r="P486" s="333"/>
      <c r="Q486" s="333"/>
      <c r="R486" s="333"/>
      <c r="S486" s="333"/>
      <c r="T486" s="333"/>
    </row>
    <row r="487" spans="1:20" x14ac:dyDescent="0.25">
      <c r="F487" s="224" t="s">
        <v>4620</v>
      </c>
      <c r="G487" s="389" t="s">
        <v>245</v>
      </c>
      <c r="I487">
        <f>I486+J486</f>
        <v>1.5625E-2</v>
      </c>
      <c r="N487" t="s">
        <v>4576</v>
      </c>
    </row>
    <row r="488" spans="1:20" x14ac:dyDescent="0.25">
      <c r="F488" s="224" t="s">
        <v>4620</v>
      </c>
      <c r="G488" s="400"/>
      <c r="I488">
        <v>3.9</v>
      </c>
      <c r="N488" t="s">
        <v>4727</v>
      </c>
    </row>
    <row r="489" spans="1:20" x14ac:dyDescent="0.25">
      <c r="F489" s="224" t="s">
        <v>4620</v>
      </c>
      <c r="G489" s="400"/>
      <c r="I489">
        <f>((0.016*0.016*3.14)-(0.0125*0.0128*3.14))*0.4</f>
        <v>1.2057599999999998E-4</v>
      </c>
      <c r="N489" t="s">
        <v>4728</v>
      </c>
    </row>
    <row r="490" spans="1:20" x14ac:dyDescent="0.25">
      <c r="A490" s="223" t="s">
        <v>4729</v>
      </c>
      <c r="B490" s="223" t="s">
        <v>4731</v>
      </c>
      <c r="C490" s="223" t="s">
        <v>4722</v>
      </c>
      <c r="D490" s="223"/>
      <c r="E490" s="223"/>
      <c r="F490" s="224" t="str">
        <f>+F480</f>
        <v>CA0009</v>
      </c>
      <c r="G490" s="400"/>
      <c r="H490" s="223"/>
      <c r="I490" s="223">
        <f>10/5</f>
        <v>2</v>
      </c>
      <c r="J490" s="223"/>
      <c r="K490" s="223"/>
      <c r="L490" s="223"/>
      <c r="M490" s="223"/>
      <c r="N490" s="223" t="str">
        <f>+N480</f>
        <v>CUADRILLA VARIOS 1 Turno por dia</v>
      </c>
      <c r="O490" s="312"/>
      <c r="P490" s="223"/>
      <c r="Q490" s="223"/>
      <c r="R490" s="223"/>
      <c r="S490" s="223"/>
      <c r="T490" s="223"/>
    </row>
    <row r="491" spans="1:20" x14ac:dyDescent="0.25">
      <c r="F491" s="224" t="s">
        <v>4740</v>
      </c>
      <c r="G491" s="389" t="s">
        <v>6432</v>
      </c>
      <c r="I491">
        <f>1.5/100</f>
        <v>1.4999999999999999E-2</v>
      </c>
      <c r="J491">
        <f>I491*0.2</f>
        <v>3.0000000000000001E-3</v>
      </c>
      <c r="N491" s="224" t="s">
        <v>4582</v>
      </c>
    </row>
    <row r="492" spans="1:20" x14ac:dyDescent="0.25">
      <c r="F492" s="224" t="s">
        <v>4740</v>
      </c>
      <c r="G492" s="389" t="s">
        <v>245</v>
      </c>
      <c r="I492">
        <f>+I491+J491</f>
        <v>1.7999999999999999E-2</v>
      </c>
      <c r="N492" t="s">
        <v>4576</v>
      </c>
    </row>
    <row r="493" spans="1:20" x14ac:dyDescent="0.25">
      <c r="F493" s="224" t="s">
        <v>4740</v>
      </c>
      <c r="G493" s="400"/>
      <c r="I493">
        <v>1.1000000000000001</v>
      </c>
      <c r="N493" t="s">
        <v>4730</v>
      </c>
    </row>
    <row r="494" spans="1:20" x14ac:dyDescent="0.25">
      <c r="F494" s="224" t="s">
        <v>4740</v>
      </c>
      <c r="G494" s="389" t="s">
        <v>62</v>
      </c>
      <c r="I494" s="322">
        <f>1/7</f>
        <v>0.14285714285714285</v>
      </c>
      <c r="J494">
        <f>(I494/0.3)-I494</f>
        <v>0.33333333333333331</v>
      </c>
      <c r="N494" t="s">
        <v>4518</v>
      </c>
    </row>
    <row r="495" spans="1:20" ht="30" x14ac:dyDescent="0.25">
      <c r="A495" s="223" t="s">
        <v>4732</v>
      </c>
      <c r="B495" s="343" t="s">
        <v>4733</v>
      </c>
      <c r="C495" s="223" t="s">
        <v>4722</v>
      </c>
      <c r="D495" s="223"/>
      <c r="E495" s="223"/>
      <c r="F495" s="224" t="str">
        <f>+'CP. Auxiliar'!A3</f>
        <v>CA0001</v>
      </c>
      <c r="G495" s="400"/>
      <c r="H495" s="223"/>
      <c r="I495" s="223">
        <f>+I497*5</f>
        <v>0.8928571428571429</v>
      </c>
      <c r="J495" s="223"/>
      <c r="K495" s="223"/>
      <c r="L495" s="223"/>
      <c r="M495" s="223"/>
      <c r="N495" s="223" t="str">
        <f>+'CP. Auxiliar'!B3</f>
        <v>CUADRILLA ESCAVACION 1 Turno per dia</v>
      </c>
      <c r="O495" s="312" t="s">
        <v>4744</v>
      </c>
      <c r="P495" s="223"/>
      <c r="Q495" s="223"/>
      <c r="R495" s="223"/>
    </row>
    <row r="496" spans="1:20" x14ac:dyDescent="0.25">
      <c r="F496" s="224" t="s">
        <v>4740</v>
      </c>
      <c r="G496" s="400"/>
      <c r="I496">
        <f>(1/40)*5</f>
        <v>0.125</v>
      </c>
      <c r="J496">
        <f>(I496/0.7)-I496</f>
        <v>5.3571428571428575E-2</v>
      </c>
      <c r="N496" s="224" t="s">
        <v>4685</v>
      </c>
    </row>
    <row r="497" spans="1:24" x14ac:dyDescent="0.25">
      <c r="F497" s="224" t="s">
        <v>4740</v>
      </c>
      <c r="G497" s="389" t="s">
        <v>6334</v>
      </c>
      <c r="I497">
        <f>+I496+J496</f>
        <v>0.17857142857142858</v>
      </c>
      <c r="N497" t="s">
        <v>4511</v>
      </c>
      <c r="O497" s="307" t="s">
        <v>4734</v>
      </c>
      <c r="P497" t="s">
        <v>4735</v>
      </c>
      <c r="Q497" t="s">
        <v>4736</v>
      </c>
      <c r="R497" t="s">
        <v>4611</v>
      </c>
      <c r="S497" t="s">
        <v>4737</v>
      </c>
      <c r="U497" t="s">
        <v>4738</v>
      </c>
    </row>
    <row r="498" spans="1:24" x14ac:dyDescent="0.25">
      <c r="F498" s="224" t="s">
        <v>4740</v>
      </c>
      <c r="G498" s="389" t="s">
        <v>6414</v>
      </c>
      <c r="I498">
        <f>(V498/60/14)*5</f>
        <v>0.53479853479853467</v>
      </c>
      <c r="J498">
        <f>(I498/0.8)-I498</f>
        <v>0.13369963369963367</v>
      </c>
      <c r="N498" t="s">
        <v>4686</v>
      </c>
      <c r="O498" s="307">
        <v>2</v>
      </c>
      <c r="P498">
        <f>60/40*14</f>
        <v>21</v>
      </c>
      <c r="Q498">
        <f>60/25*10</f>
        <v>24</v>
      </c>
      <c r="R498">
        <v>2</v>
      </c>
      <c r="S498">
        <f>+Q498</f>
        <v>24</v>
      </c>
      <c r="T498" s="307">
        <f>+S498+R498+Q498+P498+O498</f>
        <v>73</v>
      </c>
      <c r="U498" s="307">
        <f>+V498-T498</f>
        <v>16.84615384615384</v>
      </c>
      <c r="V498">
        <f>T498/(6.5/8)</f>
        <v>89.84615384615384</v>
      </c>
    </row>
    <row r="499" spans="1:24" x14ac:dyDescent="0.25">
      <c r="F499" s="224" t="s">
        <v>4740</v>
      </c>
      <c r="G499" s="389" t="s">
        <v>6334</v>
      </c>
      <c r="I499">
        <f>+I498+J498</f>
        <v>0.66849816849816834</v>
      </c>
      <c r="N499" t="s">
        <v>4511</v>
      </c>
    </row>
    <row r="500" spans="1:24" ht="30" x14ac:dyDescent="0.25">
      <c r="A500" s="223" t="s">
        <v>4739</v>
      </c>
      <c r="B500" s="343" t="s">
        <v>4742</v>
      </c>
      <c r="C500" s="223" t="s">
        <v>4722</v>
      </c>
      <c r="D500" s="223"/>
      <c r="E500" s="223"/>
      <c r="F500" s="224" t="str">
        <f>+F495</f>
        <v>CA0001</v>
      </c>
      <c r="G500" s="400"/>
      <c r="H500" s="223"/>
      <c r="I500" s="223">
        <f>+I502*5</f>
        <v>0.71428571428571441</v>
      </c>
      <c r="J500" s="223"/>
      <c r="K500" s="223"/>
      <c r="L500" s="223"/>
      <c r="M500" s="223"/>
      <c r="N500" s="223" t="str">
        <f>+N495</f>
        <v>CUADRILLA ESCAVACION 1 Turno per dia</v>
      </c>
      <c r="O500" s="312" t="s">
        <v>4744</v>
      </c>
      <c r="P500" s="223"/>
      <c r="Q500" s="223"/>
      <c r="R500" s="223"/>
      <c r="S500" s="223"/>
    </row>
    <row r="501" spans="1:24" x14ac:dyDescent="0.25">
      <c r="F501" s="224" t="s">
        <v>4740</v>
      </c>
      <c r="G501" s="400"/>
      <c r="I501">
        <f>(1/50)*5</f>
        <v>0.1</v>
      </c>
      <c r="J501">
        <f>(I501/0.7)-I501</f>
        <v>4.2857142857142871E-2</v>
      </c>
      <c r="N501" s="224" t="s">
        <v>4685</v>
      </c>
    </row>
    <row r="502" spans="1:24" x14ac:dyDescent="0.25">
      <c r="A502" s="333"/>
      <c r="B502" s="333"/>
      <c r="C502" s="333"/>
      <c r="D502" s="333"/>
      <c r="E502" s="333"/>
      <c r="F502" s="224" t="s">
        <v>4740</v>
      </c>
      <c r="G502" s="389" t="s">
        <v>6334</v>
      </c>
      <c r="H502" s="333"/>
      <c r="I502" s="333">
        <f>+I501+J501</f>
        <v>0.14285714285714288</v>
      </c>
      <c r="J502" s="333"/>
      <c r="K502" s="333"/>
      <c r="L502" s="333"/>
      <c r="M502" s="333"/>
      <c r="N502" s="333" t="s">
        <v>4511</v>
      </c>
      <c r="O502" s="335" t="s">
        <v>4734</v>
      </c>
      <c r="P502" s="333" t="s">
        <v>4735</v>
      </c>
      <c r="Q502" s="333" t="s">
        <v>4736</v>
      </c>
      <c r="R502" s="333" t="s">
        <v>4611</v>
      </c>
    </row>
    <row r="503" spans="1:24" x14ac:dyDescent="0.25">
      <c r="F503" s="224" t="s">
        <v>4740</v>
      </c>
      <c r="G503" s="389" t="s">
        <v>6414</v>
      </c>
      <c r="I503">
        <f>(V503/60/14)*5</f>
        <v>0.50402930402930401</v>
      </c>
      <c r="J503">
        <f>(I503/0.8)-I503</f>
        <v>0.126007326007326</v>
      </c>
      <c r="N503" t="s">
        <v>4686</v>
      </c>
      <c r="O503" s="307">
        <v>2</v>
      </c>
      <c r="P503">
        <f>60/50*14</f>
        <v>16.8</v>
      </c>
      <c r="Q503">
        <f>60/25*10</f>
        <v>24</v>
      </c>
      <c r="R503">
        <v>2</v>
      </c>
      <c r="S503">
        <f>+Q503</f>
        <v>24</v>
      </c>
      <c r="T503" s="307">
        <f>+S503+R503+Q503+P503+O503</f>
        <v>68.8</v>
      </c>
      <c r="U503" s="307">
        <f>+V503-T503</f>
        <v>15.876923076923077</v>
      </c>
      <c r="V503">
        <f>T503/(6.5/8)</f>
        <v>84.676923076923075</v>
      </c>
    </row>
    <row r="504" spans="1:24" x14ac:dyDescent="0.25">
      <c r="F504" s="224" t="s">
        <v>4740</v>
      </c>
      <c r="G504" s="389" t="s">
        <v>6334</v>
      </c>
      <c r="I504">
        <f>+I503+J503</f>
        <v>0.63003663003663002</v>
      </c>
      <c r="N504" t="s">
        <v>4511</v>
      </c>
    </row>
    <row r="505" spans="1:24" ht="30" x14ac:dyDescent="0.25">
      <c r="A505" s="357" t="s">
        <v>4741</v>
      </c>
      <c r="B505" s="360" t="s">
        <v>4743</v>
      </c>
      <c r="C505" s="357" t="s">
        <v>4514</v>
      </c>
      <c r="D505" s="223"/>
      <c r="E505" s="223"/>
      <c r="F505" s="224" t="str">
        <f>+F500</f>
        <v>CA0001</v>
      </c>
      <c r="G505" s="400"/>
      <c r="H505" s="223"/>
      <c r="I505" s="223">
        <f>+I507*4</f>
        <v>8.3333333333333329E-2</v>
      </c>
      <c r="J505" s="223"/>
      <c r="K505" s="223"/>
      <c r="L505" s="223"/>
      <c r="M505" s="223"/>
      <c r="N505" s="223" t="str">
        <f>+N500</f>
        <v>CUADRILLA ESCAVACION 1 Turno per dia</v>
      </c>
      <c r="O505" s="312"/>
      <c r="P505" s="223"/>
      <c r="Q505" s="223"/>
      <c r="R505" s="223"/>
      <c r="S505" s="223"/>
      <c r="T505" s="333"/>
      <c r="U505" s="333"/>
      <c r="W505" s="223"/>
      <c r="X505" s="223"/>
    </row>
    <row r="506" spans="1:24" x14ac:dyDescent="0.25">
      <c r="A506" s="358"/>
      <c r="B506" s="358"/>
      <c r="C506" s="358"/>
      <c r="F506" s="224" t="s">
        <v>4740</v>
      </c>
      <c r="G506" s="400"/>
      <c r="I506">
        <f>(1/60)</f>
        <v>1.6666666666666666E-2</v>
      </c>
      <c r="J506">
        <f>(I506/0.8)-I506</f>
        <v>4.1666666666666657E-3</v>
      </c>
      <c r="N506" s="224" t="s">
        <v>4685</v>
      </c>
    </row>
    <row r="507" spans="1:24" x14ac:dyDescent="0.25">
      <c r="A507" s="358"/>
      <c r="B507" s="359" t="s">
        <v>4779</v>
      </c>
      <c r="C507" s="359"/>
      <c r="F507" s="224" t="s">
        <v>4740</v>
      </c>
      <c r="G507" s="389" t="s">
        <v>6334</v>
      </c>
      <c r="I507">
        <f>+I506+J506</f>
        <v>2.0833333333333332E-2</v>
      </c>
      <c r="N507" t="s">
        <v>4511</v>
      </c>
      <c r="O507" s="307" t="s">
        <v>4734</v>
      </c>
      <c r="P507" t="s">
        <v>4735</v>
      </c>
      <c r="Q507" t="s">
        <v>4736</v>
      </c>
      <c r="R507" t="s">
        <v>4611</v>
      </c>
    </row>
    <row r="508" spans="1:24" x14ac:dyDescent="0.25">
      <c r="A508" s="358"/>
      <c r="B508" s="358"/>
      <c r="C508" s="358"/>
      <c r="F508" s="224" t="s">
        <v>4740</v>
      </c>
      <c r="G508" s="389" t="s">
        <v>6414</v>
      </c>
      <c r="I508">
        <f>(V508/60/14)</f>
        <v>9.6703296703296693E-2</v>
      </c>
      <c r="J508">
        <f>(I508/0.8)-I508</f>
        <v>2.4175824175824173E-2</v>
      </c>
      <c r="N508" t="s">
        <v>4686</v>
      </c>
      <c r="O508" s="307">
        <v>2</v>
      </c>
      <c r="P508">
        <f>60/60*14</f>
        <v>14</v>
      </c>
      <c r="Q508">
        <f>60/25*10</f>
        <v>24</v>
      </c>
      <c r="R508">
        <v>2</v>
      </c>
      <c r="S508">
        <f>+Q508</f>
        <v>24</v>
      </c>
      <c r="T508" s="307">
        <f>+S508+R508+Q508+P508+O508</f>
        <v>66</v>
      </c>
      <c r="U508" s="307">
        <f>+V508-T508</f>
        <v>15.230769230769226</v>
      </c>
      <c r="V508">
        <f>T508/(6.5/8)</f>
        <v>81.230769230769226</v>
      </c>
    </row>
    <row r="509" spans="1:24" x14ac:dyDescent="0.25">
      <c r="A509" s="358"/>
      <c r="B509" s="358"/>
      <c r="C509" s="358"/>
      <c r="F509" s="224" t="s">
        <v>4740</v>
      </c>
      <c r="G509" s="389" t="s">
        <v>6334</v>
      </c>
      <c r="I509">
        <f>+I508+J508</f>
        <v>0.12087912087912087</v>
      </c>
      <c r="N509" t="s">
        <v>4511</v>
      </c>
    </row>
    <row r="510" spans="1:24" ht="30" x14ac:dyDescent="0.25">
      <c r="A510" s="223" t="s">
        <v>4745</v>
      </c>
      <c r="B510" s="343" t="s">
        <v>4746</v>
      </c>
      <c r="C510" s="223" t="s">
        <v>4514</v>
      </c>
      <c r="D510" s="223"/>
      <c r="E510" s="223"/>
      <c r="F510" s="349" t="str">
        <f>+'CP. Auxiliar'!A7</f>
        <v>CA0002</v>
      </c>
      <c r="G510" s="401"/>
      <c r="H510" s="223"/>
      <c r="I510" s="223">
        <f>1320/3620</f>
        <v>0.36464088397790057</v>
      </c>
      <c r="J510" s="223"/>
      <c r="K510" s="223"/>
      <c r="L510" s="223"/>
      <c r="M510" s="223"/>
      <c r="N510" s="223" t="str">
        <f>+'CP. Auxiliar'!B7</f>
        <v>CUADRILLA ESCAVACION 2 Turno por dia</v>
      </c>
      <c r="O510" s="312"/>
      <c r="P510" s="223"/>
      <c r="Q510" s="223"/>
      <c r="R510" s="223"/>
      <c r="S510" s="223"/>
      <c r="T510" s="223"/>
      <c r="U510" s="223"/>
      <c r="V510" s="223"/>
    </row>
    <row r="511" spans="1:24" x14ac:dyDescent="0.25">
      <c r="F511" s="224" t="s">
        <v>4555</v>
      </c>
      <c r="G511" s="400"/>
      <c r="I511">
        <f>100/3620</f>
        <v>2.7624309392265192E-2</v>
      </c>
      <c r="M511" t="s">
        <v>4615</v>
      </c>
      <c r="N511" s="224" t="s">
        <v>4747</v>
      </c>
      <c r="O511" s="307" t="s">
        <v>4826</v>
      </c>
    </row>
    <row r="512" spans="1:24" x14ac:dyDescent="0.25">
      <c r="F512" s="224" t="s">
        <v>4555</v>
      </c>
      <c r="G512" s="389" t="s">
        <v>6444</v>
      </c>
      <c r="I512">
        <f>50/3620</f>
        <v>1.3812154696132596E-2</v>
      </c>
      <c r="J512">
        <f>(220-50)/3620</f>
        <v>4.6961325966850827E-2</v>
      </c>
      <c r="N512" s="224" t="s">
        <v>4748</v>
      </c>
    </row>
    <row r="513" spans="1:18" x14ac:dyDescent="0.25">
      <c r="F513" s="224" t="s">
        <v>4555</v>
      </c>
      <c r="G513" s="389" t="s">
        <v>6334</v>
      </c>
      <c r="I513">
        <f>+I512+J512</f>
        <v>6.0773480662983423E-2</v>
      </c>
      <c r="N513" t="s">
        <v>4511</v>
      </c>
    </row>
    <row r="514" spans="1:18" x14ac:dyDescent="0.25">
      <c r="F514" s="224" t="s">
        <v>4555</v>
      </c>
      <c r="G514" s="400"/>
      <c r="I514">
        <f>100/3620</f>
        <v>2.7624309392265192E-2</v>
      </c>
      <c r="J514">
        <f>(220-100)/3620</f>
        <v>3.3149171270718231E-2</v>
      </c>
      <c r="N514" t="s">
        <v>4749</v>
      </c>
    </row>
    <row r="515" spans="1:18" x14ac:dyDescent="0.25">
      <c r="A515" s="333"/>
      <c r="B515" s="333"/>
      <c r="C515" s="333"/>
      <c r="D515" s="333"/>
      <c r="E515" s="333"/>
      <c r="F515" s="224" t="s">
        <v>4555</v>
      </c>
      <c r="G515" s="389" t="s">
        <v>6334</v>
      </c>
      <c r="H515" s="333"/>
      <c r="I515" s="333">
        <f>+I514+J514</f>
        <v>6.0773480662983423E-2</v>
      </c>
      <c r="J515" s="333"/>
      <c r="K515" s="333"/>
      <c r="L515" s="333"/>
      <c r="M515" s="333"/>
      <c r="N515" s="333" t="s">
        <v>4511</v>
      </c>
      <c r="O515" s="335"/>
      <c r="P515" s="333"/>
      <c r="Q515" s="333"/>
      <c r="R515" s="333"/>
    </row>
    <row r="516" spans="1:18" x14ac:dyDescent="0.25">
      <c r="F516" s="224" t="s">
        <v>4555</v>
      </c>
      <c r="G516" s="389" t="s">
        <v>4862</v>
      </c>
      <c r="I516">
        <f>150/3620</f>
        <v>4.1436464088397788E-2</v>
      </c>
      <c r="J516">
        <f>(220-150)/3620</f>
        <v>1.9337016574585635E-2</v>
      </c>
      <c r="N516" t="s">
        <v>4750</v>
      </c>
    </row>
    <row r="517" spans="1:18" x14ac:dyDescent="0.25">
      <c r="F517" s="224" t="s">
        <v>4555</v>
      </c>
      <c r="G517" s="389" t="s">
        <v>6334</v>
      </c>
      <c r="I517">
        <f>+I516+J516</f>
        <v>6.0773480662983423E-2</v>
      </c>
      <c r="N517" t="s">
        <v>4511</v>
      </c>
    </row>
    <row r="518" spans="1:18" x14ac:dyDescent="0.25">
      <c r="F518" s="224" t="s">
        <v>4555</v>
      </c>
      <c r="G518" s="400"/>
      <c r="I518">
        <f>150/3620</f>
        <v>4.1436464088397788E-2</v>
      </c>
      <c r="J518">
        <f>(220-150)/3620</f>
        <v>1.9337016574585635E-2</v>
      </c>
      <c r="N518" t="s">
        <v>4751</v>
      </c>
    </row>
    <row r="519" spans="1:18" x14ac:dyDescent="0.25">
      <c r="F519" s="224" t="s">
        <v>4555</v>
      </c>
      <c r="G519" s="389" t="s">
        <v>6334</v>
      </c>
      <c r="I519">
        <f>+I518+J518</f>
        <v>6.0773480662983423E-2</v>
      </c>
      <c r="N519" t="s">
        <v>4511</v>
      </c>
    </row>
    <row r="520" spans="1:18" x14ac:dyDescent="0.25">
      <c r="F520" s="224" t="s">
        <v>4555</v>
      </c>
      <c r="G520" s="389" t="s">
        <v>6414</v>
      </c>
      <c r="I520">
        <f>540/3620</f>
        <v>0.14917127071823205</v>
      </c>
      <c r="J520">
        <f>(660-540)/3620</f>
        <v>3.3149171270718231E-2</v>
      </c>
      <c r="N520" t="s">
        <v>4686</v>
      </c>
    </row>
    <row r="521" spans="1:18" x14ac:dyDescent="0.25">
      <c r="F521" s="224" t="s">
        <v>4555</v>
      </c>
      <c r="G521" s="389" t="s">
        <v>6334</v>
      </c>
      <c r="I521">
        <f>+I520+J520</f>
        <v>0.18232044198895028</v>
      </c>
      <c r="N521" t="s">
        <v>4511</v>
      </c>
    </row>
    <row r="522" spans="1:18" x14ac:dyDescent="0.25">
      <c r="F522" s="352" t="s">
        <v>4479</v>
      </c>
      <c r="G522" s="389" t="s">
        <v>6428</v>
      </c>
      <c r="N522" t="s">
        <v>4480</v>
      </c>
    </row>
    <row r="523" spans="1:18" x14ac:dyDescent="0.25">
      <c r="A523" s="223" t="s">
        <v>4752</v>
      </c>
      <c r="B523" s="223" t="s">
        <v>4753</v>
      </c>
      <c r="C523" s="223" t="s">
        <v>4514</v>
      </c>
      <c r="D523" s="223"/>
      <c r="E523" s="223"/>
      <c r="F523" s="349" t="str">
        <f>+F510</f>
        <v>CA0002</v>
      </c>
      <c r="G523" s="401"/>
      <c r="H523" s="223"/>
      <c r="I523" s="223">
        <f>1500/14400</f>
        <v>0.10416666666666667</v>
      </c>
      <c r="J523" s="223"/>
      <c r="K523" s="223"/>
      <c r="L523" s="223"/>
      <c r="M523" s="223"/>
      <c r="N523" s="223" t="str">
        <f>+N510</f>
        <v>CUADRILLA ESCAVACION 2 Turno por dia</v>
      </c>
      <c r="O523" s="312"/>
      <c r="P523" s="223"/>
      <c r="Q523" s="223"/>
      <c r="R523" s="223"/>
    </row>
    <row r="524" spans="1:18" x14ac:dyDescent="0.25">
      <c r="F524" s="224" t="s">
        <v>4555</v>
      </c>
      <c r="G524" s="389" t="s">
        <v>6444</v>
      </c>
      <c r="I524">
        <f>100/14400</f>
        <v>6.9444444444444441E-3</v>
      </c>
      <c r="J524">
        <f>(250-100)/14400</f>
        <v>1.0416666666666666E-2</v>
      </c>
      <c r="N524" s="224" t="s">
        <v>4754</v>
      </c>
    </row>
    <row r="525" spans="1:18" x14ac:dyDescent="0.25">
      <c r="F525" s="224" t="s">
        <v>4555</v>
      </c>
      <c r="G525" s="389" t="s">
        <v>6334</v>
      </c>
      <c r="I525">
        <f>+I524+J524</f>
        <v>1.7361111111111112E-2</v>
      </c>
      <c r="N525" t="s">
        <v>4511</v>
      </c>
    </row>
    <row r="526" spans="1:18" x14ac:dyDescent="0.25">
      <c r="F526" s="224" t="s">
        <v>4555</v>
      </c>
      <c r="G526" s="389" t="s">
        <v>4862</v>
      </c>
      <c r="I526">
        <f>(250-25)/14400</f>
        <v>1.5625E-2</v>
      </c>
      <c r="J526">
        <f>25/14400</f>
        <v>1.736111111111111E-3</v>
      </c>
      <c r="N526" t="s">
        <v>4750</v>
      </c>
    </row>
    <row r="527" spans="1:18" x14ac:dyDescent="0.25">
      <c r="F527" s="224" t="s">
        <v>4555</v>
      </c>
      <c r="G527" s="389" t="s">
        <v>6334</v>
      </c>
      <c r="I527">
        <f>+I526+J526</f>
        <v>1.7361111111111112E-2</v>
      </c>
      <c r="N527" t="s">
        <v>4511</v>
      </c>
    </row>
    <row r="528" spans="1:18" x14ac:dyDescent="0.25">
      <c r="F528" s="224" t="s">
        <v>4555</v>
      </c>
      <c r="G528" s="400"/>
      <c r="I528">
        <f>200/14400</f>
        <v>1.3888888888888888E-2</v>
      </c>
      <c r="J528">
        <f>50/14400</f>
        <v>3.472222222222222E-3</v>
      </c>
      <c r="N528" t="s">
        <v>4751</v>
      </c>
    </row>
    <row r="529" spans="1:21" x14ac:dyDescent="0.25">
      <c r="A529" s="333"/>
      <c r="B529" s="333"/>
      <c r="C529" s="333"/>
      <c r="D529" s="333"/>
      <c r="E529" s="333"/>
      <c r="F529" s="224" t="s">
        <v>4555</v>
      </c>
      <c r="G529" s="389" t="s">
        <v>6334</v>
      </c>
      <c r="H529" s="333"/>
      <c r="I529" s="333">
        <f>+I528+J528</f>
        <v>1.7361111111111112E-2</v>
      </c>
      <c r="J529" s="333"/>
      <c r="K529" s="333"/>
      <c r="L529" s="333"/>
      <c r="M529" s="333"/>
      <c r="N529" s="333" t="s">
        <v>4511</v>
      </c>
      <c r="O529" s="335"/>
      <c r="P529" s="333"/>
      <c r="Q529" s="333"/>
      <c r="R529" s="333"/>
      <c r="S529" s="333"/>
      <c r="T529" s="333"/>
    </row>
    <row r="530" spans="1:21" x14ac:dyDescent="0.25">
      <c r="F530" s="224" t="s">
        <v>4555</v>
      </c>
      <c r="G530" s="389" t="s">
        <v>6414</v>
      </c>
      <c r="I530">
        <f>1750/14400</f>
        <v>0.12152777777777778</v>
      </c>
      <c r="J530">
        <f>100/14400</f>
        <v>6.9444444444444441E-3</v>
      </c>
      <c r="N530" t="s">
        <v>4686</v>
      </c>
    </row>
    <row r="531" spans="1:21" x14ac:dyDescent="0.25">
      <c r="A531" s="333"/>
      <c r="B531" s="333"/>
      <c r="C531" s="333"/>
      <c r="D531" s="333"/>
      <c r="E531" s="333"/>
      <c r="F531" s="224" t="s">
        <v>4555</v>
      </c>
      <c r="G531" s="389" t="s">
        <v>6334</v>
      </c>
      <c r="H531" s="333"/>
      <c r="I531" s="333">
        <f>+I530+J530</f>
        <v>0.12847222222222221</v>
      </c>
      <c r="J531" s="333"/>
      <c r="K531" s="333"/>
      <c r="L531" s="333"/>
      <c r="M531" s="333"/>
      <c r="N531" s="333" t="s">
        <v>4511</v>
      </c>
      <c r="O531" s="335"/>
      <c r="P531" s="333"/>
      <c r="Q531" s="333"/>
      <c r="R531" s="333"/>
      <c r="S531" s="333"/>
      <c r="T531" s="333"/>
      <c r="U531" s="333"/>
    </row>
    <row r="532" spans="1:21" x14ac:dyDescent="0.25">
      <c r="A532" s="333"/>
      <c r="B532" s="333"/>
      <c r="C532" s="333"/>
      <c r="D532" s="333"/>
      <c r="E532" s="333"/>
      <c r="F532" s="352" t="s">
        <v>4479</v>
      </c>
      <c r="G532" s="389" t="s">
        <v>6428</v>
      </c>
      <c r="N532" t="s">
        <v>4480</v>
      </c>
      <c r="P532" s="333"/>
      <c r="Q532" s="333"/>
      <c r="R532" s="333"/>
      <c r="S532" s="333"/>
      <c r="T532" s="333"/>
      <c r="U532" s="333"/>
    </row>
    <row r="533" spans="1:21" ht="30" x14ac:dyDescent="0.25">
      <c r="A533" s="223" t="s">
        <v>4755</v>
      </c>
      <c r="B533" s="343" t="s">
        <v>4756</v>
      </c>
      <c r="C533" s="223" t="s">
        <v>4514</v>
      </c>
      <c r="D533" s="223"/>
      <c r="E533" s="223"/>
      <c r="F533" s="349" t="str">
        <f>+F523</f>
        <v>CA0002</v>
      </c>
      <c r="G533" s="401"/>
      <c r="H533" s="223"/>
      <c r="I533" s="223">
        <f>2400/560250</f>
        <v>4.2838018741633201E-3</v>
      </c>
      <c r="J533" s="223"/>
      <c r="K533" s="223"/>
      <c r="L533" s="223"/>
      <c r="M533" s="223"/>
      <c r="N533" s="223" t="str">
        <f>+N523</f>
        <v>CUADRILLA ESCAVACION 2 Turno por dia</v>
      </c>
      <c r="O533" s="312"/>
      <c r="P533" s="223"/>
      <c r="Q533" s="223"/>
      <c r="R533" s="223"/>
      <c r="S533" s="223"/>
    </row>
    <row r="534" spans="1:21" x14ac:dyDescent="0.25">
      <c r="F534" s="224" t="s">
        <v>4555</v>
      </c>
      <c r="G534" s="400"/>
      <c r="I534">
        <f>380/560250</f>
        <v>6.7826863007585899E-4</v>
      </c>
      <c r="J534" s="347">
        <f>20/560250</f>
        <v>3.5698348951361001E-5</v>
      </c>
      <c r="N534" t="s">
        <v>4749</v>
      </c>
    </row>
    <row r="535" spans="1:21" x14ac:dyDescent="0.25">
      <c r="F535" s="224" t="s">
        <v>4555</v>
      </c>
      <c r="G535" s="389" t="s">
        <v>6334</v>
      </c>
      <c r="J535" s="347"/>
      <c r="N535" t="s">
        <v>4511</v>
      </c>
    </row>
    <row r="536" spans="1:21" x14ac:dyDescent="0.25">
      <c r="F536" s="224" t="s">
        <v>4555</v>
      </c>
      <c r="G536" s="389" t="s">
        <v>4862</v>
      </c>
      <c r="I536">
        <f>190/560250</f>
        <v>3.391343150379295E-4</v>
      </c>
      <c r="J536" s="347">
        <f>10/560250</f>
        <v>1.78491744756805E-5</v>
      </c>
      <c r="N536" t="s">
        <v>4750</v>
      </c>
    </row>
    <row r="537" spans="1:21" x14ac:dyDescent="0.25">
      <c r="F537" s="224" t="s">
        <v>4555</v>
      </c>
      <c r="G537" s="389" t="s">
        <v>6334</v>
      </c>
      <c r="J537" s="347"/>
      <c r="N537" t="s">
        <v>4511</v>
      </c>
    </row>
    <row r="538" spans="1:21" x14ac:dyDescent="0.25">
      <c r="F538" s="224" t="s">
        <v>4555</v>
      </c>
      <c r="G538" s="389" t="s">
        <v>62</v>
      </c>
      <c r="I538">
        <f>+I539/2</f>
        <v>8.0321285140562252E-4</v>
      </c>
      <c r="J538">
        <f>+J539/2</f>
        <v>2.6773761713520751E-4</v>
      </c>
      <c r="N538" t="s">
        <v>4518</v>
      </c>
    </row>
    <row r="539" spans="1:21" x14ac:dyDescent="0.25">
      <c r="F539" s="224" t="s">
        <v>4555</v>
      </c>
      <c r="G539" s="400"/>
      <c r="I539">
        <f>(6*150)/560250</f>
        <v>1.606425702811245E-3</v>
      </c>
      <c r="J539">
        <f>(6*50)/560250</f>
        <v>5.3547523427041502E-4</v>
      </c>
      <c r="N539" t="s">
        <v>4757</v>
      </c>
    </row>
    <row r="540" spans="1:21" x14ac:dyDescent="0.25">
      <c r="A540" s="333"/>
      <c r="B540" s="333"/>
      <c r="C540" s="333"/>
      <c r="D540" s="333"/>
      <c r="E540" s="333"/>
      <c r="F540" s="224" t="s">
        <v>4555</v>
      </c>
      <c r="G540" s="400"/>
      <c r="H540" s="333"/>
      <c r="I540" s="333">
        <f>100/560250</f>
        <v>1.78491744756805E-4</v>
      </c>
      <c r="J540" s="333">
        <f>+I540</f>
        <v>1.78491744756805E-4</v>
      </c>
      <c r="K540" s="333"/>
      <c r="L540" s="333"/>
      <c r="M540" s="333"/>
      <c r="N540" s="333" t="s">
        <v>4751</v>
      </c>
      <c r="O540" s="335"/>
      <c r="P540" s="333"/>
      <c r="Q540" s="333"/>
      <c r="R540" s="333"/>
    </row>
    <row r="541" spans="1:21" x14ac:dyDescent="0.25">
      <c r="F541" s="224" t="s">
        <v>4555</v>
      </c>
      <c r="G541" s="389" t="s">
        <v>6334</v>
      </c>
      <c r="N541" t="s">
        <v>4511</v>
      </c>
    </row>
    <row r="542" spans="1:21" x14ac:dyDescent="0.25">
      <c r="F542" s="224" t="s">
        <v>4555</v>
      </c>
      <c r="G542" s="389" t="s">
        <v>6414</v>
      </c>
      <c r="I542">
        <f>400/560250</f>
        <v>7.1396697902721999E-4</v>
      </c>
      <c r="J542" s="353">
        <f>50/560250</f>
        <v>8.9245872378402498E-5</v>
      </c>
      <c r="N542" t="s">
        <v>4686</v>
      </c>
    </row>
    <row r="543" spans="1:21" x14ac:dyDescent="0.25">
      <c r="F543" s="224" t="s">
        <v>4555</v>
      </c>
      <c r="G543" s="389" t="s">
        <v>6334</v>
      </c>
      <c r="N543" s="333" t="s">
        <v>4511</v>
      </c>
    </row>
    <row r="544" spans="1:21" x14ac:dyDescent="0.25">
      <c r="F544" s="224" t="s">
        <v>4555</v>
      </c>
      <c r="G544" s="400"/>
      <c r="H544" t="s">
        <v>1341</v>
      </c>
      <c r="I544">
        <f>(8*15*300)/1345</f>
        <v>26.765799256505577</v>
      </c>
      <c r="N544" s="224" t="s">
        <v>4758</v>
      </c>
      <c r="O544" s="307" t="s">
        <v>4759</v>
      </c>
    </row>
    <row r="545" spans="1:20" x14ac:dyDescent="0.25">
      <c r="F545" s="352" t="s">
        <v>4479</v>
      </c>
      <c r="G545" s="389" t="s">
        <v>6428</v>
      </c>
      <c r="N545" t="s">
        <v>4480</v>
      </c>
    </row>
    <row r="546" spans="1:20" ht="30" x14ac:dyDescent="0.25">
      <c r="A546" s="223" t="s">
        <v>4760</v>
      </c>
      <c r="B546" s="343" t="s">
        <v>4761</v>
      </c>
      <c r="C546" s="223" t="s">
        <v>4514</v>
      </c>
      <c r="D546" s="223"/>
      <c r="E546" s="223"/>
      <c r="F546" s="349" t="s">
        <v>4458</v>
      </c>
      <c r="G546" s="401"/>
      <c r="H546" s="223"/>
      <c r="I546" s="223">
        <f>2560*0.46/32</f>
        <v>36.800000000000004</v>
      </c>
      <c r="J546" s="223"/>
      <c r="K546" s="223"/>
      <c r="L546" s="223"/>
      <c r="M546" s="223"/>
      <c r="N546" s="223" t="s">
        <v>4461</v>
      </c>
      <c r="O546" s="312"/>
      <c r="P546" s="223"/>
      <c r="Q546" s="223"/>
      <c r="R546" s="223"/>
      <c r="S546" s="223"/>
      <c r="T546" s="223"/>
    </row>
    <row r="547" spans="1:20" x14ac:dyDescent="0.25">
      <c r="F547" s="224" t="s">
        <v>4555</v>
      </c>
      <c r="G547" s="389" t="s">
        <v>4862</v>
      </c>
      <c r="I547">
        <f>310*0.46/32</f>
        <v>4.4562499999999998</v>
      </c>
      <c r="J547">
        <f>10*0.46/32</f>
        <v>0.14375000000000002</v>
      </c>
      <c r="N547" t="s">
        <v>4750</v>
      </c>
    </row>
    <row r="548" spans="1:20" x14ac:dyDescent="0.25">
      <c r="F548" s="224" t="s">
        <v>4555</v>
      </c>
      <c r="G548" s="389" t="s">
        <v>6334</v>
      </c>
      <c r="I548">
        <f>+I547+J547</f>
        <v>4.5999999999999996</v>
      </c>
      <c r="N548" t="s">
        <v>4511</v>
      </c>
    </row>
    <row r="549" spans="1:20" x14ac:dyDescent="0.25">
      <c r="F549" s="224" t="s">
        <v>4555</v>
      </c>
      <c r="G549" s="389" t="s">
        <v>62</v>
      </c>
      <c r="I549">
        <f>+I550/2</f>
        <v>8.625</v>
      </c>
      <c r="J549">
        <f>+J550/2</f>
        <v>5.1749999999999998</v>
      </c>
      <c r="N549" t="s">
        <v>4518</v>
      </c>
    </row>
    <row r="550" spans="1:20" x14ac:dyDescent="0.25">
      <c r="F550" s="224" t="s">
        <v>4555</v>
      </c>
      <c r="G550" s="400"/>
      <c r="I550">
        <f>(6*200)*0.46/32</f>
        <v>17.25</v>
      </c>
      <c r="J550">
        <f>(6*120)*0.46/32</f>
        <v>10.35</v>
      </c>
      <c r="N550" t="s">
        <v>4757</v>
      </c>
    </row>
    <row r="551" spans="1:20" x14ac:dyDescent="0.25">
      <c r="A551" s="333"/>
      <c r="B551" s="333"/>
      <c r="C551" s="333"/>
      <c r="D551" s="333"/>
      <c r="E551" s="333"/>
      <c r="F551" s="224" t="s">
        <v>4555</v>
      </c>
      <c r="G551" s="400"/>
      <c r="H551" s="333"/>
      <c r="I551" s="333">
        <f>224*0.46/32</f>
        <v>3.22</v>
      </c>
      <c r="J551" s="333"/>
      <c r="K551" s="333"/>
      <c r="L551" s="333"/>
      <c r="M551" s="333" t="s">
        <v>4615</v>
      </c>
      <c r="N551" s="333" t="s">
        <v>4763</v>
      </c>
      <c r="O551" s="335"/>
      <c r="P551" s="333"/>
    </row>
    <row r="552" spans="1:20" x14ac:dyDescent="0.25">
      <c r="F552" s="224" t="s">
        <v>4555</v>
      </c>
      <c r="G552" s="389" t="s">
        <v>6414</v>
      </c>
      <c r="I552">
        <f>300*0.46/32</f>
        <v>4.3125</v>
      </c>
      <c r="J552">
        <f>30*0.46/32</f>
        <v>0.43125000000000002</v>
      </c>
      <c r="N552" t="s">
        <v>4762</v>
      </c>
    </row>
    <row r="553" spans="1:20" x14ac:dyDescent="0.25">
      <c r="F553" s="224" t="s">
        <v>4555</v>
      </c>
      <c r="G553" s="389" t="s">
        <v>6334</v>
      </c>
      <c r="I553">
        <f>+I552+J552</f>
        <v>4.7437500000000004</v>
      </c>
      <c r="N553" s="333" t="s">
        <v>4511</v>
      </c>
    </row>
    <row r="554" spans="1:20" x14ac:dyDescent="0.25">
      <c r="F554" s="224" t="s">
        <v>4555</v>
      </c>
      <c r="G554" s="400"/>
      <c r="H554" t="s">
        <v>1341</v>
      </c>
      <c r="I554">
        <f>((8*15*300)*0.46)/32</f>
        <v>517.5</v>
      </c>
      <c r="N554" s="224" t="s">
        <v>4758</v>
      </c>
      <c r="O554" s="307" t="s">
        <v>4759</v>
      </c>
    </row>
    <row r="555" spans="1:20" x14ac:dyDescent="0.25">
      <c r="F555" s="349" t="s">
        <v>4479</v>
      </c>
      <c r="G555" s="389" t="s">
        <v>6428</v>
      </c>
      <c r="N555" t="s">
        <v>4480</v>
      </c>
    </row>
    <row r="556" spans="1:20" ht="30" x14ac:dyDescent="0.25">
      <c r="A556" s="223" t="s">
        <v>4764</v>
      </c>
      <c r="B556" s="343" t="s">
        <v>4765</v>
      </c>
      <c r="C556" s="223" t="s">
        <v>4722</v>
      </c>
      <c r="D556" s="223"/>
      <c r="E556" s="223"/>
      <c r="F556" s="349" t="s">
        <v>4458</v>
      </c>
      <c r="G556" s="401"/>
      <c r="H556" s="223"/>
      <c r="I556" s="223">
        <f>2560*0.54/1470</f>
        <v>0.94040816326530619</v>
      </c>
      <c r="J556" s="223"/>
      <c r="K556" s="223"/>
      <c r="L556" s="223"/>
      <c r="M556" s="223"/>
      <c r="N556" s="223" t="s">
        <v>4461</v>
      </c>
      <c r="O556" s="312"/>
      <c r="P556" s="223"/>
      <c r="Q556" s="223"/>
      <c r="R556" s="223"/>
    </row>
    <row r="557" spans="1:20" x14ac:dyDescent="0.25">
      <c r="F557" s="224" t="s">
        <v>4555</v>
      </c>
      <c r="G557" s="389" t="s">
        <v>4862</v>
      </c>
      <c r="I557">
        <f>310*0.54/1470</f>
        <v>0.11387755102040817</v>
      </c>
      <c r="J557">
        <f>10*0.54/1470</f>
        <v>3.6734693877551023E-3</v>
      </c>
      <c r="N557" t="s">
        <v>4750</v>
      </c>
    </row>
    <row r="558" spans="1:20" x14ac:dyDescent="0.25">
      <c r="F558" s="224" t="s">
        <v>4555</v>
      </c>
      <c r="G558" s="389" t="s">
        <v>6334</v>
      </c>
      <c r="I558">
        <f>+I557+J557</f>
        <v>0.11755102040816327</v>
      </c>
      <c r="N558" t="s">
        <v>4511</v>
      </c>
    </row>
    <row r="559" spans="1:20" x14ac:dyDescent="0.25">
      <c r="F559" s="224" t="s">
        <v>4555</v>
      </c>
      <c r="G559" s="389" t="s">
        <v>62</v>
      </c>
      <c r="I559">
        <f>+I560/2</f>
        <v>0.22040816326530613</v>
      </c>
      <c r="J559">
        <f>+J560/2</f>
        <v>0.13224489795918368</v>
      </c>
      <c r="N559" t="s">
        <v>4518</v>
      </c>
    </row>
    <row r="560" spans="1:20" x14ac:dyDescent="0.25">
      <c r="F560" s="224" t="s">
        <v>4555</v>
      </c>
      <c r="G560" s="400"/>
      <c r="I560">
        <f>(6*200)*0.54/1470</f>
        <v>0.44081632653061226</v>
      </c>
      <c r="J560">
        <f>(6*120)*0.54/1470</f>
        <v>0.26448979591836735</v>
      </c>
      <c r="N560" t="s">
        <v>4757</v>
      </c>
    </row>
    <row r="561" spans="1:28" x14ac:dyDescent="0.25">
      <c r="A561" s="333"/>
      <c r="B561" s="333"/>
      <c r="C561" s="333"/>
      <c r="D561" s="333"/>
      <c r="E561" s="333"/>
      <c r="F561" s="224" t="s">
        <v>4555</v>
      </c>
      <c r="G561" s="400"/>
      <c r="H561" s="333"/>
      <c r="I561" s="333">
        <f>224*0.54/1470</f>
        <v>8.2285714285714295E-2</v>
      </c>
      <c r="J561" s="333"/>
      <c r="K561" s="333"/>
      <c r="L561" s="333"/>
      <c r="M561" s="333" t="s">
        <v>4615</v>
      </c>
      <c r="N561" s="333" t="s">
        <v>4763</v>
      </c>
      <c r="O561" s="335"/>
      <c r="P561" s="333"/>
      <c r="Q561" s="333"/>
      <c r="R561" s="333"/>
    </row>
    <row r="562" spans="1:28" x14ac:dyDescent="0.25">
      <c r="F562" s="224" t="s">
        <v>4555</v>
      </c>
      <c r="G562" s="389" t="s">
        <v>6414</v>
      </c>
      <c r="I562">
        <f>300*0.54/1470</f>
        <v>0.11020408163265306</v>
      </c>
      <c r="J562">
        <f>30*0.54/1470</f>
        <v>1.1020408163265308E-2</v>
      </c>
      <c r="N562" t="s">
        <v>4762</v>
      </c>
    </row>
    <row r="563" spans="1:28" x14ac:dyDescent="0.25">
      <c r="F563" s="224" t="s">
        <v>4555</v>
      </c>
      <c r="G563" s="389" t="s">
        <v>6334</v>
      </c>
      <c r="I563">
        <f>+I562+J562</f>
        <v>0.12122448979591838</v>
      </c>
      <c r="N563" s="333" t="s">
        <v>4511</v>
      </c>
    </row>
    <row r="564" spans="1:28" x14ac:dyDescent="0.25">
      <c r="F564" s="224" t="s">
        <v>4555</v>
      </c>
      <c r="G564" s="400"/>
      <c r="H564" t="s">
        <v>1341</v>
      </c>
      <c r="I564">
        <f>((8*15*300)*0.54)/1470</f>
        <v>13.224489795918368</v>
      </c>
      <c r="N564" s="224" t="s">
        <v>4758</v>
      </c>
      <c r="O564" s="307" t="s">
        <v>4759</v>
      </c>
    </row>
    <row r="565" spans="1:28" x14ac:dyDescent="0.25">
      <c r="F565" s="349" t="s">
        <v>4479</v>
      </c>
      <c r="G565" s="389" t="s">
        <v>6428</v>
      </c>
      <c r="N565" t="s">
        <v>4480</v>
      </c>
    </row>
    <row r="566" spans="1:28" ht="30" x14ac:dyDescent="0.25">
      <c r="A566" s="223" t="s">
        <v>4767</v>
      </c>
      <c r="B566" s="343" t="s">
        <v>4766</v>
      </c>
      <c r="C566" s="223" t="s">
        <v>4632</v>
      </c>
      <c r="D566" s="223"/>
      <c r="E566" s="223"/>
      <c r="F566" s="349" t="s">
        <v>4458</v>
      </c>
      <c r="G566" s="401"/>
      <c r="H566" s="223"/>
      <c r="I566" s="223">
        <f>6400/8</f>
        <v>800</v>
      </c>
      <c r="J566" s="223"/>
      <c r="K566" s="223"/>
      <c r="L566" s="223"/>
      <c r="M566" s="223" t="s">
        <v>4615</v>
      </c>
      <c r="N566" s="223" t="s">
        <v>4461</v>
      </c>
      <c r="O566" s="312"/>
      <c r="P566" s="223"/>
    </row>
    <row r="567" spans="1:28" x14ac:dyDescent="0.25">
      <c r="F567" s="224" t="s">
        <v>4555</v>
      </c>
      <c r="G567" s="389" t="s">
        <v>4860</v>
      </c>
      <c r="I567">
        <f>50/8</f>
        <v>6.25</v>
      </c>
      <c r="J567">
        <f>110/8</f>
        <v>13.75</v>
      </c>
      <c r="M567" t="s">
        <v>4615</v>
      </c>
      <c r="N567" s="224" t="s">
        <v>4768</v>
      </c>
    </row>
    <row r="568" spans="1:28" x14ac:dyDescent="0.25">
      <c r="A568" s="333"/>
      <c r="B568" s="333"/>
      <c r="C568" s="333"/>
      <c r="D568" s="333"/>
      <c r="E568" s="333"/>
      <c r="F568" s="224" t="s">
        <v>4555</v>
      </c>
      <c r="G568" s="389" t="s">
        <v>6334</v>
      </c>
      <c r="H568" s="333"/>
      <c r="I568" s="333">
        <f>+I567+J567</f>
        <v>20</v>
      </c>
      <c r="J568" s="333"/>
      <c r="K568" s="333"/>
      <c r="L568" s="333"/>
      <c r="M568" t="s">
        <v>4615</v>
      </c>
      <c r="N568" s="333" t="s">
        <v>4511</v>
      </c>
      <c r="O568" s="335"/>
      <c r="P568" s="333"/>
      <c r="Q568" s="333"/>
      <c r="R568" s="333"/>
      <c r="S568" s="333"/>
    </row>
    <row r="569" spans="1:28" x14ac:dyDescent="0.25">
      <c r="F569" s="224" t="s">
        <v>4555</v>
      </c>
      <c r="G569" s="389" t="s">
        <v>62</v>
      </c>
      <c r="I569">
        <f>60*3/8</f>
        <v>22.5</v>
      </c>
      <c r="J569">
        <f>100*3/8</f>
        <v>37.5</v>
      </c>
      <c r="M569" t="s">
        <v>4615</v>
      </c>
      <c r="N569" t="s">
        <v>4518</v>
      </c>
    </row>
    <row r="570" spans="1:28" x14ac:dyDescent="0.25">
      <c r="F570" s="224" t="s">
        <v>4555</v>
      </c>
      <c r="G570" s="400"/>
      <c r="I570">
        <f>+I569/3</f>
        <v>7.5</v>
      </c>
      <c r="J570">
        <f>+J569/3</f>
        <v>12.5</v>
      </c>
      <c r="M570" t="s">
        <v>4615</v>
      </c>
      <c r="N570" t="s">
        <v>4757</v>
      </c>
    </row>
    <row r="571" spans="1:28" x14ac:dyDescent="0.25">
      <c r="F571" s="224" t="s">
        <v>4555</v>
      </c>
      <c r="G571" s="400"/>
      <c r="I571">
        <v>1</v>
      </c>
      <c r="M571" t="s">
        <v>4790</v>
      </c>
      <c r="N571" t="s">
        <v>4769</v>
      </c>
      <c r="O571" s="307" t="s">
        <v>4770</v>
      </c>
      <c r="Z571" s="369" t="s">
        <v>4817</v>
      </c>
      <c r="AB571" s="369" t="s">
        <v>4818</v>
      </c>
    </row>
    <row r="572" spans="1:28" x14ac:dyDescent="0.25">
      <c r="F572" s="313" t="s">
        <v>4791</v>
      </c>
      <c r="G572" s="389" t="s">
        <v>6418</v>
      </c>
      <c r="I572">
        <v>0.5</v>
      </c>
      <c r="J572">
        <f>+I572*0.02</f>
        <v>0.01</v>
      </c>
      <c r="M572" t="s">
        <v>4615</v>
      </c>
      <c r="N572" s="294" t="s">
        <v>4798</v>
      </c>
      <c r="O572" s="370"/>
      <c r="P572" s="369"/>
      <c r="Q572" s="369"/>
      <c r="R572" s="369"/>
      <c r="S572" s="369"/>
      <c r="Z572" s="370">
        <v>3519.23</v>
      </c>
      <c r="AB572" s="370">
        <f>+Z572*0.921</f>
        <v>3241.21083</v>
      </c>
    </row>
    <row r="573" spans="1:28" x14ac:dyDescent="0.25">
      <c r="F573" s="313" t="s">
        <v>4792</v>
      </c>
      <c r="G573" s="400"/>
      <c r="I573">
        <f>+I572*3</f>
        <v>1.5</v>
      </c>
      <c r="M573" t="s">
        <v>4615</v>
      </c>
      <c r="N573" s="294" t="s">
        <v>4797</v>
      </c>
      <c r="O573" s="370"/>
      <c r="P573" s="369"/>
      <c r="Q573" s="369"/>
      <c r="R573" s="369"/>
      <c r="S573" s="369"/>
    </row>
    <row r="574" spans="1:28" x14ac:dyDescent="0.25">
      <c r="F574" s="224" t="str">
        <f>+F566</f>
        <v>CA0002</v>
      </c>
      <c r="G574" s="400"/>
      <c r="I574" s="322">
        <f>((+I573/3)*4)*26*10</f>
        <v>520</v>
      </c>
      <c r="M574" t="s">
        <v>4615</v>
      </c>
      <c r="N574" s="294" t="str">
        <f>+N566</f>
        <v>CUADRILLA ESCAVACION 2 Turno por dia</v>
      </c>
    </row>
    <row r="575" spans="1:28" x14ac:dyDescent="0.25">
      <c r="A575" s="223" t="s">
        <v>4771</v>
      </c>
      <c r="B575" s="223" t="s">
        <v>4772</v>
      </c>
      <c r="C575" s="223" t="s">
        <v>4514</v>
      </c>
      <c r="D575" s="223"/>
      <c r="E575" s="223"/>
      <c r="F575" s="349" t="s">
        <v>4458</v>
      </c>
      <c r="G575" s="401"/>
      <c r="H575" s="223"/>
      <c r="I575" s="223">
        <f>(2120+8500)/4182</f>
        <v>2.5394548063127691</v>
      </c>
      <c r="J575" s="223"/>
      <c r="K575" s="223"/>
      <c r="L575" s="223"/>
      <c r="M575" s="223"/>
      <c r="N575" s="223" t="s">
        <v>4461</v>
      </c>
      <c r="O575" s="312"/>
      <c r="P575" s="223"/>
      <c r="Q575" s="223"/>
      <c r="R575" s="223"/>
    </row>
    <row r="576" spans="1:28" x14ac:dyDescent="0.25">
      <c r="A576" s="333"/>
      <c r="B576" s="333"/>
      <c r="C576" s="333"/>
      <c r="D576" s="333"/>
      <c r="E576" s="333"/>
      <c r="F576" s="224" t="s">
        <v>4555</v>
      </c>
      <c r="G576" s="400"/>
      <c r="H576" s="333"/>
      <c r="I576" s="333">
        <f>515/4182</f>
        <v>0.12314681970349116</v>
      </c>
      <c r="J576" s="333">
        <f>15/4182</f>
        <v>3.5868005738880918E-3</v>
      </c>
      <c r="K576" s="333"/>
      <c r="L576" s="333"/>
      <c r="M576" s="333"/>
      <c r="N576" s="224" t="s">
        <v>4773</v>
      </c>
      <c r="O576" s="335"/>
      <c r="P576" s="333"/>
      <c r="Q576" s="333"/>
      <c r="R576" s="333"/>
      <c r="S576" s="333"/>
      <c r="W576" s="333"/>
    </row>
    <row r="577" spans="1:23" x14ac:dyDescent="0.25">
      <c r="F577" s="224" t="s">
        <v>4555</v>
      </c>
      <c r="G577" s="389" t="s">
        <v>6334</v>
      </c>
      <c r="I577">
        <f>+I576+J576</f>
        <v>0.12673362027737925</v>
      </c>
      <c r="N577" t="s">
        <v>4511</v>
      </c>
    </row>
    <row r="578" spans="1:23" x14ac:dyDescent="0.25">
      <c r="F578" s="224" t="s">
        <v>4555</v>
      </c>
      <c r="G578" s="389" t="s">
        <v>62</v>
      </c>
      <c r="I578">
        <f>+I579/4</f>
        <v>0.12314681970349116</v>
      </c>
      <c r="J578">
        <f>+J579/4</f>
        <v>3.5868005738880918E-3</v>
      </c>
      <c r="N578" t="s">
        <v>4518</v>
      </c>
    </row>
    <row r="579" spans="1:23" x14ac:dyDescent="0.25">
      <c r="F579" s="224" t="s">
        <v>4555</v>
      </c>
      <c r="G579" s="400"/>
      <c r="I579">
        <f>(I576*4)</f>
        <v>0.49258727881396464</v>
      </c>
      <c r="J579">
        <f>(J576*4)</f>
        <v>1.4347202295552367E-2</v>
      </c>
      <c r="N579" t="s">
        <v>4757</v>
      </c>
    </row>
    <row r="580" spans="1:23" x14ac:dyDescent="0.25">
      <c r="A580" s="356" t="s">
        <v>4777</v>
      </c>
      <c r="B580" s="355"/>
      <c r="C580" s="355"/>
      <c r="F580" s="224" t="s">
        <v>4555</v>
      </c>
      <c r="G580" s="400" t="s">
        <v>13</v>
      </c>
      <c r="I580">
        <f>625/4182</f>
        <v>0.14945002391200382</v>
      </c>
      <c r="J580">
        <f>25/4182</f>
        <v>5.9780009564801527E-3</v>
      </c>
      <c r="N580" t="s">
        <v>4774</v>
      </c>
    </row>
    <row r="581" spans="1:23" ht="30" x14ac:dyDescent="0.25">
      <c r="A581" s="223" t="s">
        <v>4775</v>
      </c>
      <c r="B581" s="354" t="s">
        <v>4778</v>
      </c>
      <c r="C581" s="223" t="s">
        <v>4514</v>
      </c>
      <c r="D581" s="223"/>
      <c r="E581" s="223"/>
      <c r="F581" s="349" t="s">
        <v>4458</v>
      </c>
      <c r="G581" s="401"/>
      <c r="H581" s="223"/>
      <c r="I581" s="223">
        <f>10*I583</f>
        <v>0.52969200000000005</v>
      </c>
      <c r="J581" s="223"/>
      <c r="K581" s="223"/>
      <c r="L581" s="223"/>
      <c r="M581" t="s">
        <v>4615</v>
      </c>
      <c r="N581" s="223" t="s">
        <v>4461</v>
      </c>
      <c r="O581" s="312"/>
      <c r="P581" s="223"/>
      <c r="Q581" s="223"/>
      <c r="R581" s="223"/>
      <c r="S581" s="223"/>
    </row>
    <row r="582" spans="1:23" x14ac:dyDescent="0.25">
      <c r="A582" s="361"/>
      <c r="B582" s="361"/>
      <c r="C582" s="361"/>
      <c r="F582" s="224" t="s">
        <v>4555</v>
      </c>
      <c r="G582" s="400"/>
      <c r="I582">
        <f>4772/100000</f>
        <v>4.7719999999999999E-2</v>
      </c>
      <c r="J582">
        <f>4772*0.11/100000</f>
        <v>5.2491999999999999E-3</v>
      </c>
      <c r="M582" t="s">
        <v>4615</v>
      </c>
      <c r="N582" s="224" t="s">
        <v>4776</v>
      </c>
    </row>
    <row r="583" spans="1:23" x14ac:dyDescent="0.25">
      <c r="A583" s="224"/>
      <c r="B583" s="305"/>
      <c r="C583" s="224"/>
      <c r="D583" s="333"/>
      <c r="E583" s="333"/>
      <c r="F583" s="224" t="s">
        <v>4555</v>
      </c>
      <c r="G583" s="389" t="s">
        <v>6334</v>
      </c>
      <c r="H583" s="333"/>
      <c r="I583" s="333">
        <f>+I582+J582</f>
        <v>5.2969200000000001E-2</v>
      </c>
      <c r="J583" s="333"/>
      <c r="K583" s="333"/>
      <c r="L583" s="333"/>
      <c r="M583" s="333" t="s">
        <v>4615</v>
      </c>
      <c r="N583" s="333" t="s">
        <v>4511</v>
      </c>
      <c r="O583" s="335"/>
      <c r="P583" s="333"/>
      <c r="Q583" s="333"/>
      <c r="R583" s="333"/>
      <c r="S583" s="333"/>
      <c r="T583" s="333"/>
      <c r="U583" s="333"/>
    </row>
    <row r="584" spans="1:23" x14ac:dyDescent="0.25">
      <c r="A584" s="361"/>
      <c r="B584" s="361"/>
      <c r="C584" s="361"/>
      <c r="F584" s="224" t="s">
        <v>4555</v>
      </c>
      <c r="G584" s="400"/>
      <c r="I584">
        <f>80/100000</f>
        <v>8.0000000000000004E-4</v>
      </c>
      <c r="M584" t="s">
        <v>4615</v>
      </c>
      <c r="N584" s="224" t="s">
        <v>4747</v>
      </c>
      <c r="O584" s="307" t="s">
        <v>4826</v>
      </c>
    </row>
    <row r="585" spans="1:23" x14ac:dyDescent="0.25">
      <c r="A585" s="361"/>
      <c r="B585" s="361"/>
      <c r="C585" s="361"/>
      <c r="F585" s="224" t="s">
        <v>4555</v>
      </c>
      <c r="G585" s="389" t="s">
        <v>6414</v>
      </c>
      <c r="I585">
        <f>14400/100000</f>
        <v>0.14399999999999999</v>
      </c>
      <c r="J585">
        <f>14400*0.12/100000</f>
        <v>1.728E-2</v>
      </c>
      <c r="M585" t="s">
        <v>4615</v>
      </c>
      <c r="N585" s="224" t="s">
        <v>4686</v>
      </c>
    </row>
    <row r="586" spans="1:23" x14ac:dyDescent="0.25">
      <c r="A586" s="361"/>
      <c r="B586" s="361"/>
      <c r="C586" s="361"/>
      <c r="F586" s="224" t="s">
        <v>4555</v>
      </c>
      <c r="G586" s="389" t="s">
        <v>6334</v>
      </c>
      <c r="I586">
        <f>+I585+J585</f>
        <v>0.16127999999999998</v>
      </c>
      <c r="M586" t="s">
        <v>4615</v>
      </c>
      <c r="N586" t="s">
        <v>4511</v>
      </c>
    </row>
    <row r="587" spans="1:23" x14ac:dyDescent="0.25">
      <c r="A587" s="224"/>
      <c r="B587" s="224"/>
      <c r="C587" s="224"/>
      <c r="D587" s="333"/>
      <c r="E587" s="333"/>
      <c r="F587" s="349" t="s">
        <v>4479</v>
      </c>
      <c r="G587" s="389" t="s">
        <v>6428</v>
      </c>
      <c r="H587" s="333"/>
      <c r="I587" s="333">
        <v>1.4E-3</v>
      </c>
      <c r="J587" s="333">
        <f>+I587</f>
        <v>1.4E-3</v>
      </c>
      <c r="K587" s="333"/>
      <c r="L587" s="333"/>
      <c r="M587" s="333" t="s">
        <v>4615</v>
      </c>
      <c r="N587" s="313" t="s">
        <v>4480</v>
      </c>
      <c r="O587" s="335"/>
      <c r="P587" s="333"/>
      <c r="Q587" s="333"/>
      <c r="R587" s="333"/>
      <c r="S587" s="333"/>
    </row>
    <row r="588" spans="1:23" ht="30" x14ac:dyDescent="0.25">
      <c r="A588" s="223" t="s">
        <v>4780</v>
      </c>
      <c r="B588" s="354" t="s">
        <v>4786</v>
      </c>
      <c r="C588" s="223" t="s">
        <v>4514</v>
      </c>
      <c r="D588" s="223"/>
      <c r="E588" s="223"/>
      <c r="F588" s="224" t="str">
        <f>+F581</f>
        <v>CA0002</v>
      </c>
      <c r="G588" s="400"/>
      <c r="H588" s="223"/>
      <c r="I588" s="223">
        <f>+I590*4</f>
        <v>9.9999999999999992E-2</v>
      </c>
      <c r="J588" s="223"/>
      <c r="K588" s="223"/>
      <c r="L588" s="223"/>
      <c r="M588" s="223" t="s">
        <v>4615</v>
      </c>
      <c r="N588" s="223" t="str">
        <f>+N581</f>
        <v>CUADRILLA ESCAVACION 2 Turno por dia</v>
      </c>
      <c r="O588" s="312"/>
      <c r="P588" s="223"/>
      <c r="Q588" s="223"/>
      <c r="R588" s="223"/>
      <c r="S588" s="223"/>
      <c r="W588" s="223"/>
    </row>
    <row r="589" spans="1:23" x14ac:dyDescent="0.25">
      <c r="F589" s="224" t="s">
        <v>4740</v>
      </c>
      <c r="G589" s="400"/>
      <c r="I589">
        <f>(1/50)</f>
        <v>0.02</v>
      </c>
      <c r="J589">
        <f>(I589/0.8)-I589</f>
        <v>4.9999999999999975E-3</v>
      </c>
      <c r="M589" t="s">
        <v>4615</v>
      </c>
      <c r="N589" s="224" t="s">
        <v>4685</v>
      </c>
    </row>
    <row r="590" spans="1:23" x14ac:dyDescent="0.25">
      <c r="F590" s="224" t="s">
        <v>4740</v>
      </c>
      <c r="G590" s="389" t="s">
        <v>6334</v>
      </c>
      <c r="I590">
        <f>+I589+J589</f>
        <v>2.4999999999999998E-2</v>
      </c>
      <c r="M590" t="s">
        <v>4615</v>
      </c>
      <c r="N590" t="s">
        <v>4511</v>
      </c>
      <c r="O590" s="307" t="s">
        <v>4734</v>
      </c>
      <c r="P590" t="s">
        <v>4735</v>
      </c>
      <c r="Q590" t="s">
        <v>4736</v>
      </c>
      <c r="R590" t="s">
        <v>4611</v>
      </c>
    </row>
    <row r="591" spans="1:23" x14ac:dyDescent="0.25">
      <c r="F591" s="224" t="s">
        <v>4740</v>
      </c>
      <c r="G591" s="389" t="s">
        <v>6414</v>
      </c>
      <c r="I591">
        <f>(V591/60/14)</f>
        <v>0.10080586080586081</v>
      </c>
      <c r="J591">
        <f>(I591/0.8)-I591</f>
        <v>2.5201465201465198E-2</v>
      </c>
      <c r="M591" t="s">
        <v>4615</v>
      </c>
      <c r="N591" t="s">
        <v>4686</v>
      </c>
      <c r="O591" s="307">
        <v>2</v>
      </c>
      <c r="P591">
        <f>60/50*14</f>
        <v>16.8</v>
      </c>
      <c r="Q591">
        <f>60/25*10</f>
        <v>24</v>
      </c>
      <c r="R591">
        <v>2</v>
      </c>
      <c r="S591">
        <f>+Q591</f>
        <v>24</v>
      </c>
      <c r="T591" s="307">
        <f>+S591+R591+Q591+P591+O591</f>
        <v>68.8</v>
      </c>
      <c r="U591" s="307">
        <f>+V591-T591</f>
        <v>15.876923076923077</v>
      </c>
      <c r="V591">
        <f>T591/(6.5/8)</f>
        <v>84.676923076923075</v>
      </c>
    </row>
    <row r="592" spans="1:23" x14ac:dyDescent="0.25">
      <c r="F592" s="224" t="s">
        <v>4740</v>
      </c>
      <c r="G592" s="389" t="s">
        <v>6334</v>
      </c>
      <c r="I592">
        <f>+I591+J591</f>
        <v>0.126007326007326</v>
      </c>
      <c r="M592" t="s">
        <v>4615</v>
      </c>
      <c r="N592" t="s">
        <v>4511</v>
      </c>
    </row>
    <row r="593" spans="1:28" x14ac:dyDescent="0.25">
      <c r="A593" s="333"/>
      <c r="B593" s="333"/>
      <c r="C593" s="333"/>
      <c r="D593" s="333"/>
      <c r="E593" s="333"/>
      <c r="F593" s="349" t="s">
        <v>4479</v>
      </c>
      <c r="G593" s="389" t="s">
        <v>6428</v>
      </c>
      <c r="H593" s="333"/>
      <c r="I593" s="376">
        <v>1.4E-3</v>
      </c>
      <c r="J593" s="376">
        <f>+I593</f>
        <v>1.4E-3</v>
      </c>
      <c r="K593" s="333"/>
      <c r="L593" s="333"/>
      <c r="M593" s="333" t="s">
        <v>4615</v>
      </c>
      <c r="N593" s="313" t="s">
        <v>4480</v>
      </c>
      <c r="O593" s="335"/>
      <c r="P593" s="333"/>
      <c r="Q593" s="333"/>
      <c r="R593" s="333"/>
      <c r="S593" s="333"/>
      <c r="Y593" s="333"/>
    </row>
    <row r="594" spans="1:28" x14ac:dyDescent="0.25">
      <c r="A594" s="223" t="s">
        <v>4781</v>
      </c>
      <c r="B594" s="223" t="s">
        <v>4782</v>
      </c>
      <c r="C594" s="223" t="s">
        <v>4514</v>
      </c>
      <c r="D594" s="223"/>
      <c r="E594" s="223"/>
      <c r="F594" s="224" t="s">
        <v>4458</v>
      </c>
      <c r="G594" s="400"/>
      <c r="H594" s="223"/>
      <c r="I594" s="223">
        <f>+I596*4</f>
        <v>0.14755663258794</v>
      </c>
      <c r="J594" s="223"/>
      <c r="K594" s="223"/>
      <c r="L594" s="223"/>
      <c r="M594" s="223" t="s">
        <v>4615</v>
      </c>
      <c r="N594" s="223" t="s">
        <v>4461</v>
      </c>
      <c r="O594" s="312"/>
      <c r="P594" s="223"/>
      <c r="Q594" s="223"/>
      <c r="R594" s="223"/>
      <c r="S594" s="223"/>
      <c r="T594" s="223"/>
      <c r="U594" s="223"/>
    </row>
    <row r="595" spans="1:28" x14ac:dyDescent="0.25">
      <c r="F595" s="313" t="s">
        <v>4793</v>
      </c>
      <c r="G595" s="400"/>
      <c r="I595">
        <f>0.017473811753835*2</f>
        <v>3.494762350767E-2</v>
      </c>
      <c r="J595">
        <v>1.9415346393149978E-3</v>
      </c>
      <c r="M595" s="313" t="s">
        <v>4615</v>
      </c>
      <c r="N595" s="313" t="s">
        <v>4783</v>
      </c>
      <c r="O595" s="337" t="s">
        <v>4794</v>
      </c>
    </row>
    <row r="596" spans="1:28" x14ac:dyDescent="0.25">
      <c r="F596" s="224" t="s">
        <v>4740</v>
      </c>
      <c r="G596" s="389" t="s">
        <v>6334</v>
      </c>
      <c r="I596">
        <f>+I595+J595</f>
        <v>3.6889158146984999E-2</v>
      </c>
      <c r="M596" s="224" t="s">
        <v>4615</v>
      </c>
      <c r="N596" t="s">
        <v>4511</v>
      </c>
      <c r="O596" s="307" t="s">
        <v>4795</v>
      </c>
    </row>
    <row r="597" spans="1:28" x14ac:dyDescent="0.25">
      <c r="F597" s="349" t="s">
        <v>4479</v>
      </c>
      <c r="G597" s="389" t="s">
        <v>6428</v>
      </c>
      <c r="I597">
        <v>1.4E-3</v>
      </c>
      <c r="J597">
        <f>+I597</f>
        <v>1.4E-3</v>
      </c>
      <c r="M597" t="s">
        <v>4615</v>
      </c>
      <c r="N597" s="294" t="s">
        <v>4480</v>
      </c>
    </row>
    <row r="598" spans="1:28" ht="30" x14ac:dyDescent="0.25">
      <c r="A598" s="223" t="s">
        <v>4784</v>
      </c>
      <c r="B598" s="354" t="s">
        <v>4787</v>
      </c>
      <c r="C598" s="223" t="s">
        <v>4514</v>
      </c>
      <c r="D598" s="223"/>
      <c r="E598" s="223"/>
      <c r="F598" s="224" t="str">
        <f>+F588</f>
        <v>CA0002</v>
      </c>
      <c r="G598" s="400"/>
      <c r="H598" s="223"/>
      <c r="I598" s="223">
        <f>+I600*4</f>
        <v>4.9999999999999996E-2</v>
      </c>
      <c r="J598" s="223"/>
      <c r="K598" s="223"/>
      <c r="L598" s="223"/>
      <c r="M598" s="223" t="s">
        <v>4615</v>
      </c>
      <c r="N598" s="223" t="str">
        <f>+N588</f>
        <v>CUADRILLA ESCAVACION 2 Turno por dia</v>
      </c>
      <c r="O598" s="312"/>
      <c r="P598" s="223"/>
      <c r="Q598" s="223"/>
      <c r="R598" s="223"/>
      <c r="S598" s="223"/>
      <c r="T598" s="333"/>
      <c r="U598" s="333"/>
    </row>
    <row r="599" spans="1:28" x14ac:dyDescent="0.25">
      <c r="F599" s="224" t="s">
        <v>4740</v>
      </c>
      <c r="G599" s="400"/>
      <c r="I599">
        <f>(1/100)</f>
        <v>0.01</v>
      </c>
      <c r="J599">
        <f>(I599/0.8)-I599</f>
        <v>2.4999999999999988E-3</v>
      </c>
      <c r="M599" t="s">
        <v>4615</v>
      </c>
      <c r="N599" s="224" t="s">
        <v>4685</v>
      </c>
    </row>
    <row r="600" spans="1:28" x14ac:dyDescent="0.25">
      <c r="A600" s="333"/>
      <c r="B600" s="333"/>
      <c r="C600" s="333"/>
      <c r="D600" s="333"/>
      <c r="E600" s="333"/>
      <c r="F600" s="224" t="s">
        <v>4740</v>
      </c>
      <c r="G600" s="389" t="s">
        <v>6334</v>
      </c>
      <c r="H600" s="333"/>
      <c r="I600" s="333">
        <f>+I599+J599</f>
        <v>1.2499999999999999E-2</v>
      </c>
      <c r="J600" s="333"/>
      <c r="K600" s="333"/>
      <c r="L600" s="333"/>
      <c r="M600" s="333" t="s">
        <v>4615</v>
      </c>
      <c r="N600" s="333" t="s">
        <v>4511</v>
      </c>
      <c r="O600" s="335" t="s">
        <v>4734</v>
      </c>
      <c r="P600" s="333" t="s">
        <v>4735</v>
      </c>
      <c r="Q600" s="333" t="s">
        <v>4736</v>
      </c>
      <c r="R600" s="333" t="s">
        <v>4611</v>
      </c>
      <c r="S600" s="333"/>
      <c r="T600" s="333"/>
      <c r="U600" s="333"/>
      <c r="V600" s="333"/>
      <c r="W600" s="333"/>
    </row>
    <row r="601" spans="1:28" x14ac:dyDescent="0.25">
      <c r="F601" s="224" t="s">
        <v>4740</v>
      </c>
      <c r="G601" s="389" t="s">
        <v>6414</v>
      </c>
      <c r="I601">
        <f>(V601/60/14)</f>
        <v>8.8498168498168495E-2</v>
      </c>
      <c r="J601">
        <f>(I601/0.8)-I601</f>
        <v>2.2124542124542124E-2</v>
      </c>
      <c r="M601" t="s">
        <v>4615</v>
      </c>
      <c r="N601" t="s">
        <v>4686</v>
      </c>
      <c r="O601" s="307">
        <v>2</v>
      </c>
      <c r="P601">
        <f>60/100*14</f>
        <v>8.4</v>
      </c>
      <c r="Q601">
        <f>60/25*10</f>
        <v>24</v>
      </c>
      <c r="R601">
        <v>2</v>
      </c>
      <c r="S601">
        <f>+Q601</f>
        <v>24</v>
      </c>
      <c r="T601" s="307">
        <f>+S601+R601+Q601+P601+O601</f>
        <v>60.4</v>
      </c>
      <c r="U601" s="307">
        <f>+V601-T601</f>
        <v>13.938461538461532</v>
      </c>
      <c r="V601">
        <f>T601/(6.5/8)</f>
        <v>74.33846153846153</v>
      </c>
    </row>
    <row r="602" spans="1:28" x14ac:dyDescent="0.25">
      <c r="F602" s="224" t="s">
        <v>4740</v>
      </c>
      <c r="G602" s="389" t="s">
        <v>6334</v>
      </c>
      <c r="I602">
        <f>+I601+J601</f>
        <v>0.11062271062271062</v>
      </c>
      <c r="M602" t="s">
        <v>4615</v>
      </c>
      <c r="N602" t="s">
        <v>4511</v>
      </c>
    </row>
    <row r="603" spans="1:28" ht="30" x14ac:dyDescent="0.25">
      <c r="A603" s="223" t="s">
        <v>4785</v>
      </c>
      <c r="B603" s="354" t="s">
        <v>4788</v>
      </c>
      <c r="C603" s="223" t="s">
        <v>4514</v>
      </c>
      <c r="D603" s="223"/>
      <c r="E603" s="223"/>
      <c r="F603" s="224" t="str">
        <f>+F594</f>
        <v>CA0002</v>
      </c>
      <c r="G603" s="400"/>
      <c r="H603" s="223"/>
      <c r="I603" s="223">
        <f>+I605*4</f>
        <v>4.9999999999999996E-2</v>
      </c>
      <c r="J603" s="223"/>
      <c r="K603" s="223"/>
      <c r="L603" s="223"/>
      <c r="M603" s="223" t="s">
        <v>4615</v>
      </c>
      <c r="N603" s="223" t="str">
        <f>+N594</f>
        <v>CUADRILLA ESCAVACION 2 Turno por dia</v>
      </c>
      <c r="O603" s="312"/>
      <c r="P603" s="223"/>
      <c r="Q603" s="223"/>
      <c r="R603" s="223"/>
      <c r="S603" s="223"/>
      <c r="Y603" s="223"/>
    </row>
    <row r="604" spans="1:28" x14ac:dyDescent="0.25">
      <c r="F604" s="224" t="s">
        <v>4740</v>
      </c>
      <c r="G604" s="400"/>
      <c r="I604">
        <f>(1/100)</f>
        <v>0.01</v>
      </c>
      <c r="J604">
        <f>(I604/0.8)-I604</f>
        <v>2.4999999999999988E-3</v>
      </c>
      <c r="M604" t="s">
        <v>4615</v>
      </c>
      <c r="N604" s="224" t="s">
        <v>4685</v>
      </c>
    </row>
    <row r="605" spans="1:28" x14ac:dyDescent="0.25">
      <c r="F605" s="224" t="s">
        <v>4740</v>
      </c>
      <c r="G605" s="389" t="s">
        <v>6334</v>
      </c>
      <c r="I605">
        <f>+I604+J604</f>
        <v>1.2499999999999999E-2</v>
      </c>
      <c r="M605" t="s">
        <v>4615</v>
      </c>
      <c r="N605" t="s">
        <v>4511</v>
      </c>
      <c r="O605" s="307" t="s">
        <v>4734</v>
      </c>
      <c r="P605" t="s">
        <v>4735</v>
      </c>
      <c r="Q605" t="s">
        <v>4736</v>
      </c>
      <c r="R605" t="s">
        <v>4611</v>
      </c>
    </row>
    <row r="606" spans="1:28" x14ac:dyDescent="0.25">
      <c r="F606" s="224" t="s">
        <v>4740</v>
      </c>
      <c r="G606" s="389" t="s">
        <v>6414</v>
      </c>
      <c r="I606">
        <f>(V606/60/14)</f>
        <v>8.8498168498168495E-2</v>
      </c>
      <c r="J606">
        <f>(I606/0.8)-I606</f>
        <v>2.2124542124542124E-2</v>
      </c>
      <c r="M606" t="s">
        <v>4615</v>
      </c>
      <c r="N606" t="s">
        <v>4686</v>
      </c>
      <c r="O606" s="307">
        <v>2</v>
      </c>
      <c r="P606">
        <f>60/100*14</f>
        <v>8.4</v>
      </c>
      <c r="Q606">
        <f>60/25*10</f>
        <v>24</v>
      </c>
      <c r="R606">
        <v>2</v>
      </c>
      <c r="S606">
        <f>+Q606</f>
        <v>24</v>
      </c>
      <c r="T606" s="307">
        <f>+S606+R606+Q606+P606+O606</f>
        <v>60.4</v>
      </c>
      <c r="U606" s="307">
        <f>+V606-T606</f>
        <v>13.938461538461532</v>
      </c>
      <c r="V606">
        <f>T606/(6.5/8)</f>
        <v>74.33846153846153</v>
      </c>
    </row>
    <row r="607" spans="1:28" x14ac:dyDescent="0.25">
      <c r="A607" s="333"/>
      <c r="B607" s="333"/>
      <c r="C607" s="333"/>
      <c r="D607" s="333"/>
      <c r="E607" s="333"/>
      <c r="F607" s="224" t="s">
        <v>4740</v>
      </c>
      <c r="G607" s="389" t="s">
        <v>6334</v>
      </c>
      <c r="H607" s="333"/>
      <c r="I607" s="333">
        <f>+I606+J606</f>
        <v>0.11062271062271062</v>
      </c>
      <c r="J607" s="333"/>
      <c r="K607" s="333"/>
      <c r="L607" s="333"/>
      <c r="M607" s="333" t="s">
        <v>4615</v>
      </c>
      <c r="N607" s="333" t="s">
        <v>4511</v>
      </c>
      <c r="O607" s="335"/>
      <c r="P607" s="333"/>
      <c r="Q607" s="333"/>
      <c r="R607" s="333"/>
      <c r="S607" s="333"/>
      <c r="T607" s="333"/>
      <c r="U607" s="333"/>
      <c r="V607" s="333"/>
      <c r="W607" s="333"/>
      <c r="X607" s="333"/>
    </row>
    <row r="608" spans="1:28" ht="60" x14ac:dyDescent="0.25">
      <c r="A608" s="223" t="s">
        <v>4796</v>
      </c>
      <c r="B608" s="354" t="s">
        <v>4805</v>
      </c>
      <c r="C608" s="223" t="s">
        <v>4514</v>
      </c>
      <c r="D608" s="223"/>
      <c r="E608" s="223"/>
      <c r="F608" s="224" t="str">
        <f>+'CP. Auxiliar'!A7</f>
        <v>CA0002</v>
      </c>
      <c r="G608" s="400"/>
      <c r="H608" s="223"/>
      <c r="I608" s="223">
        <f>+I609*10</f>
        <v>3.3984770341378888E-2</v>
      </c>
      <c r="J608" s="223"/>
      <c r="K608" s="223"/>
      <c r="L608" s="223"/>
      <c r="M608" s="223" t="s">
        <v>4615</v>
      </c>
      <c r="N608" s="223" t="str">
        <f>+N598</f>
        <v>CUADRILLA ESCAVACION 2 Turno por dia</v>
      </c>
      <c r="O608" s="312"/>
      <c r="P608" s="223"/>
      <c r="Q608" s="223" t="s">
        <v>4812</v>
      </c>
      <c r="R608" s="223"/>
      <c r="S608" s="312"/>
      <c r="T608" s="223">
        <f>+S609/R609/I609</f>
        <v>25317.597802197801</v>
      </c>
      <c r="U608" s="223"/>
      <c r="V608" s="223"/>
      <c r="W608" s="223"/>
      <c r="X608" s="366"/>
      <c r="Z608" s="369" t="s">
        <v>4817</v>
      </c>
      <c r="AB608" s="369" t="s">
        <v>4818</v>
      </c>
    </row>
    <row r="609" spans="1:35" x14ac:dyDescent="0.25">
      <c r="F609" s="224" t="s">
        <v>4858</v>
      </c>
      <c r="G609" s="400"/>
      <c r="I609" s="353">
        <f>(7*1*20*26)/R609</f>
        <v>3.3984770341378887E-3</v>
      </c>
      <c r="J609" s="353">
        <f>+I609*0.005</f>
        <v>1.6992385170689444E-5</v>
      </c>
      <c r="M609" s="224" t="s">
        <v>4615</v>
      </c>
      <c r="N609" s="294" t="s">
        <v>4801</v>
      </c>
      <c r="Q609" s="307">
        <v>25317.59</v>
      </c>
      <c r="R609">
        <f>+R610</f>
        <v>1071068</v>
      </c>
      <c r="S609" s="307">
        <f>+T610-S610</f>
        <v>92156056</v>
      </c>
      <c r="V609" s="367" t="s">
        <v>4814</v>
      </c>
      <c r="Z609" s="370">
        <f>+Q609</f>
        <v>25317.59</v>
      </c>
      <c r="AB609" s="370">
        <f>+Z609*0.921</f>
        <v>23317.500390000001</v>
      </c>
      <c r="AD609" t="s">
        <v>4849</v>
      </c>
      <c r="AE609" t="s">
        <v>4850</v>
      </c>
      <c r="AF609" t="s">
        <v>4851</v>
      </c>
      <c r="AG609" t="s">
        <v>4852</v>
      </c>
      <c r="AI609" s="371" t="s">
        <v>4853</v>
      </c>
    </row>
    <row r="610" spans="1:35" x14ac:dyDescent="0.25">
      <c r="A610" s="333"/>
      <c r="B610" s="333" t="s">
        <v>4800</v>
      </c>
      <c r="C610" s="333"/>
      <c r="D610" s="333"/>
      <c r="E610" s="333"/>
      <c r="F610" s="224" t="s">
        <v>4792</v>
      </c>
      <c r="G610" s="389" t="s">
        <v>6434</v>
      </c>
      <c r="H610" s="333"/>
      <c r="I610" s="379">
        <f>(7*5*20*26)/R610</f>
        <v>1.6992385170689444E-2</v>
      </c>
      <c r="J610" s="379">
        <f>+I610*0.005</f>
        <v>8.4961925853447215E-5</v>
      </c>
      <c r="K610" s="333"/>
      <c r="L610" s="333"/>
      <c r="M610" s="224" t="s">
        <v>4615</v>
      </c>
      <c r="N610" s="313" t="s">
        <v>4799</v>
      </c>
      <c r="O610" s="335" t="s">
        <v>4854</v>
      </c>
      <c r="P610" s="333"/>
      <c r="Q610" s="335">
        <v>77</v>
      </c>
      <c r="R610" s="333">
        <v>1071068</v>
      </c>
      <c r="S610" s="335">
        <f>+R610*Q610*I610</f>
        <v>1401400</v>
      </c>
      <c r="T610" s="335">
        <v>93557456</v>
      </c>
      <c r="U610" s="333"/>
      <c r="V610" s="367" t="s">
        <v>4813</v>
      </c>
      <c r="Z610" s="369"/>
      <c r="AB610" s="370"/>
      <c r="AD610">
        <v>80000</v>
      </c>
      <c r="AE610">
        <v>12</v>
      </c>
      <c r="AF610">
        <v>26</v>
      </c>
      <c r="AG610">
        <v>10</v>
      </c>
      <c r="AH610">
        <f>+AD610/AE610/AF610/AG610</f>
        <v>25.641025641025642</v>
      </c>
      <c r="AI610" s="372">
        <f>+AH610*3</f>
        <v>76.923076923076934</v>
      </c>
    </row>
    <row r="611" spans="1:35" x14ac:dyDescent="0.25">
      <c r="F611" s="224" t="str">
        <f>+F608</f>
        <v>CA0002</v>
      </c>
      <c r="G611" s="400"/>
      <c r="I611" s="353">
        <f>+I612*10</f>
        <v>2.9129803149753331E-2</v>
      </c>
      <c r="J611" s="353"/>
      <c r="M611" s="224" t="s">
        <v>4615</v>
      </c>
      <c r="N611" s="361" t="str">
        <f>+N608</f>
        <v>CUADRILLA ESCAVACION 2 Turno por dia</v>
      </c>
      <c r="Q611" s="307"/>
      <c r="S611" s="307"/>
      <c r="T611" s="307">
        <f>+S612/R612/I612</f>
        <v>5987.5192307692305</v>
      </c>
      <c r="Z611" s="369"/>
      <c r="AB611" s="370"/>
    </row>
    <row r="612" spans="1:35" x14ac:dyDescent="0.25">
      <c r="A612" s="333"/>
      <c r="B612" s="333"/>
      <c r="C612" s="333"/>
      <c r="D612" s="333"/>
      <c r="E612" s="333"/>
      <c r="F612" s="313" t="s">
        <v>4859</v>
      </c>
      <c r="G612" s="400"/>
      <c r="H612" s="333"/>
      <c r="I612" s="379">
        <f>(6*1*20*26)/R612</f>
        <v>2.9129803149753331E-3</v>
      </c>
      <c r="J612" s="379"/>
      <c r="K612" s="333"/>
      <c r="L612" s="333"/>
      <c r="M612" s="224" t="s">
        <v>4615</v>
      </c>
      <c r="N612" s="313" t="s">
        <v>4821</v>
      </c>
      <c r="O612" s="335"/>
      <c r="P612" s="333"/>
      <c r="Q612" s="335">
        <v>5987.52</v>
      </c>
      <c r="R612" s="333">
        <f>+R609</f>
        <v>1071068</v>
      </c>
      <c r="S612" s="335">
        <f>+T613-S613</f>
        <v>18681060</v>
      </c>
      <c r="T612" s="335"/>
      <c r="U612" s="333"/>
      <c r="V612" s="386" t="s">
        <v>4816</v>
      </c>
      <c r="W612" s="333"/>
      <c r="X612" s="333"/>
      <c r="Z612" s="370">
        <f>+Q612</f>
        <v>5987.52</v>
      </c>
      <c r="AB612" s="370">
        <f>+Z612*0.917</f>
        <v>5490.5558400000009</v>
      </c>
    </row>
    <row r="613" spans="1:35" x14ac:dyDescent="0.25">
      <c r="F613" s="313" t="s">
        <v>4792</v>
      </c>
      <c r="G613" s="400"/>
      <c r="I613" s="353">
        <f>(6*6*20*26)/R613</f>
        <v>1.7477881889851998E-2</v>
      </c>
      <c r="J613" s="353">
        <f>+I613*0.005</f>
        <v>8.7389409449259992E-5</v>
      </c>
      <c r="M613" s="224" t="s">
        <v>4615</v>
      </c>
      <c r="N613" s="294" t="s">
        <v>4822</v>
      </c>
      <c r="O613" s="307" t="s">
        <v>4854</v>
      </c>
      <c r="Q613" s="307">
        <v>77</v>
      </c>
      <c r="R613">
        <f>+R610</f>
        <v>1071068</v>
      </c>
      <c r="S613" s="307">
        <f>+R613*Q613*I613</f>
        <v>1441440</v>
      </c>
      <c r="T613" s="307">
        <v>20122500</v>
      </c>
      <c r="V613" s="367" t="s">
        <v>4815</v>
      </c>
      <c r="Z613" s="369"/>
      <c r="AB613" s="370"/>
    </row>
    <row r="614" spans="1:35" ht="60" x14ac:dyDescent="0.25">
      <c r="A614" s="223" t="s">
        <v>4807</v>
      </c>
      <c r="B614" s="354" t="s">
        <v>4806</v>
      </c>
      <c r="C614" s="223" t="s">
        <v>4514</v>
      </c>
      <c r="D614" s="223"/>
      <c r="E614" s="223"/>
      <c r="F614" s="224" t="str">
        <f>+F608</f>
        <v>CA0002</v>
      </c>
      <c r="G614" s="400"/>
      <c r="H614" s="223"/>
      <c r="I614" s="223">
        <f>10*20*26*2/583200</f>
        <v>1.7832647462277092E-2</v>
      </c>
      <c r="J614" s="223"/>
      <c r="K614" s="223"/>
      <c r="L614" s="223"/>
      <c r="M614" s="223" t="s">
        <v>4615</v>
      </c>
      <c r="N614" s="223" t="str">
        <f>+N603</f>
        <v>CUADRILLA ESCAVACION 2 Turno por dia</v>
      </c>
      <c r="O614" s="312"/>
      <c r="P614" s="223"/>
      <c r="Q614" s="223" t="s">
        <v>4812</v>
      </c>
      <c r="R614" s="223"/>
      <c r="S614" s="312"/>
      <c r="T614" s="223">
        <f>+S615/R615/I615</f>
        <v>27863.769230769227</v>
      </c>
      <c r="U614" s="223"/>
      <c r="V614" s="223"/>
      <c r="W614" s="223"/>
      <c r="X614" s="223"/>
      <c r="Z614" s="369"/>
      <c r="AB614" s="370"/>
    </row>
    <row r="615" spans="1:35" x14ac:dyDescent="0.25">
      <c r="F615" s="224" t="s">
        <v>4860</v>
      </c>
      <c r="G615" s="400"/>
      <c r="I615" s="353">
        <f>(2*1*20*26)/R615</f>
        <v>1.7832647462277093E-3</v>
      </c>
      <c r="J615" s="353">
        <f>+I615*0.005</f>
        <v>8.9163237311385461E-6</v>
      </c>
      <c r="M615" s="224" t="s">
        <v>4615</v>
      </c>
      <c r="N615" s="294" t="s">
        <v>4802</v>
      </c>
      <c r="Q615" s="307">
        <v>27863.77</v>
      </c>
      <c r="R615">
        <v>583200</v>
      </c>
      <c r="S615" s="307">
        <f>+T616-S616</f>
        <v>28978320</v>
      </c>
      <c r="V615" s="368" t="s">
        <v>4819</v>
      </c>
      <c r="X615" s="366"/>
      <c r="Z615" s="370">
        <f>+Q615</f>
        <v>27863.77</v>
      </c>
      <c r="AB615" s="370">
        <f>+Z615*0.92</f>
        <v>25634.668400000002</v>
      </c>
    </row>
    <row r="616" spans="1:35" x14ac:dyDescent="0.25">
      <c r="F616" s="224" t="s">
        <v>4792</v>
      </c>
      <c r="G616" s="400"/>
      <c r="I616" s="353">
        <f>(2*5*20*26)/R616</f>
        <v>8.9163237311385458E-3</v>
      </c>
      <c r="J616" s="353">
        <f>+I616*0.005</f>
        <v>4.4581618655692727E-5</v>
      </c>
      <c r="M616" s="224" t="s">
        <v>4615</v>
      </c>
      <c r="N616" s="294" t="s">
        <v>4803</v>
      </c>
      <c r="O616" s="307" t="s">
        <v>4854</v>
      </c>
      <c r="Q616" s="307">
        <v>77</v>
      </c>
      <c r="R616">
        <f>+R615</f>
        <v>583200</v>
      </c>
      <c r="S616" s="307">
        <f>+R616*Q616*I616</f>
        <v>400400</v>
      </c>
      <c r="T616" s="307">
        <v>29378720</v>
      </c>
      <c r="V616" s="368" t="s">
        <v>4820</v>
      </c>
    </row>
    <row r="617" spans="1:35" x14ac:dyDescent="0.25">
      <c r="A617" s="223" t="s">
        <v>4808</v>
      </c>
      <c r="B617" s="223" t="s">
        <v>4804</v>
      </c>
      <c r="C617" s="223" t="s">
        <v>4514</v>
      </c>
      <c r="D617" s="223"/>
      <c r="E617" s="223"/>
      <c r="F617" s="224" t="str">
        <f>+F614</f>
        <v>CA0002</v>
      </c>
      <c r="G617" s="400"/>
      <c r="H617" s="223"/>
      <c r="I617" s="223"/>
      <c r="J617" s="223"/>
      <c r="K617" s="223"/>
      <c r="L617" s="223"/>
      <c r="M617" s="223" t="s">
        <v>4615</v>
      </c>
      <c r="N617" s="223" t="str">
        <f>+N614</f>
        <v>CUADRILLA ESCAVACION 2 Turno por dia</v>
      </c>
      <c r="O617" s="312"/>
      <c r="P617" s="223"/>
      <c r="Q617" s="223"/>
      <c r="R617" s="223"/>
      <c r="S617" s="223"/>
      <c r="T617" s="223"/>
      <c r="U617" s="223"/>
      <c r="V617" s="223"/>
      <c r="W617" s="223"/>
      <c r="X617" s="223"/>
    </row>
    <row r="618" spans="1:35" x14ac:dyDescent="0.25">
      <c r="F618" s="224" t="s">
        <v>4740</v>
      </c>
      <c r="G618" s="400"/>
      <c r="I618">
        <f>1/90</f>
        <v>1.1111111111111112E-2</v>
      </c>
      <c r="J618">
        <f>(I618/0.9)-I618</f>
        <v>1.2345679012345668E-3</v>
      </c>
      <c r="M618" s="224" t="s">
        <v>4615</v>
      </c>
      <c r="N618" s="224" t="s">
        <v>4685</v>
      </c>
      <c r="O618" s="307" t="s">
        <v>4607</v>
      </c>
    </row>
    <row r="619" spans="1:35" x14ac:dyDescent="0.25">
      <c r="F619" s="224" t="s">
        <v>4740</v>
      </c>
      <c r="G619" s="389" t="s">
        <v>6334</v>
      </c>
      <c r="I619">
        <f>+I618+J618</f>
        <v>1.2345679012345678E-2</v>
      </c>
      <c r="M619" s="224" t="s">
        <v>4615</v>
      </c>
      <c r="N619" t="s">
        <v>4511</v>
      </c>
    </row>
    <row r="620" spans="1:35" x14ac:dyDescent="0.25">
      <c r="F620" s="224" t="s">
        <v>4740</v>
      </c>
      <c r="G620" s="389" t="s">
        <v>6414</v>
      </c>
      <c r="I620">
        <f>1/28</f>
        <v>3.5714285714285712E-2</v>
      </c>
      <c r="J620">
        <f>(I620/0.8)-I620</f>
        <v>8.9285714285714246E-3</v>
      </c>
      <c r="M620" s="224" t="s">
        <v>4615</v>
      </c>
      <c r="N620" t="s">
        <v>4686</v>
      </c>
    </row>
    <row r="621" spans="1:35" x14ac:dyDescent="0.25">
      <c r="F621" s="224" t="s">
        <v>4740</v>
      </c>
      <c r="G621" s="389" t="s">
        <v>6334</v>
      </c>
      <c r="I621">
        <f>+I620+J620</f>
        <v>4.4642857142857137E-2</v>
      </c>
      <c r="M621" s="224" t="s">
        <v>4615</v>
      </c>
      <c r="N621" t="s">
        <v>4511</v>
      </c>
    </row>
    <row r="622" spans="1:35" x14ac:dyDescent="0.25">
      <c r="F622" s="224" t="s">
        <v>4740</v>
      </c>
      <c r="G622" s="400"/>
      <c r="I622">
        <f>1/60</f>
        <v>1.6666666666666666E-2</v>
      </c>
      <c r="J622">
        <f>(I622/0.8)-I622</f>
        <v>4.1666666666666657E-3</v>
      </c>
      <c r="M622" s="224" t="s">
        <v>4615</v>
      </c>
      <c r="N622" s="224" t="s">
        <v>4685</v>
      </c>
      <c r="O622" s="307" t="s">
        <v>4809</v>
      </c>
    </row>
    <row r="623" spans="1:35" x14ac:dyDescent="0.25">
      <c r="F623" s="224" t="s">
        <v>4740</v>
      </c>
      <c r="G623" s="389" t="s">
        <v>6334</v>
      </c>
      <c r="I623">
        <f>+I622+J622</f>
        <v>2.0833333333333332E-2</v>
      </c>
      <c r="M623" s="224" t="s">
        <v>4615</v>
      </c>
      <c r="N623" t="s">
        <v>4511</v>
      </c>
    </row>
    <row r="624" spans="1:35" x14ac:dyDescent="0.25">
      <c r="F624" s="224" t="s">
        <v>4740</v>
      </c>
      <c r="G624" s="400"/>
      <c r="I624">
        <f>1/60</f>
        <v>1.6666666666666666E-2</v>
      </c>
      <c r="J624">
        <f>(I624/0.6)-I624</f>
        <v>1.1111111111111113E-2</v>
      </c>
      <c r="M624" s="224" t="s">
        <v>4615</v>
      </c>
      <c r="N624" t="s">
        <v>4810</v>
      </c>
    </row>
    <row r="625" spans="1:28" x14ac:dyDescent="0.25">
      <c r="F625" s="224" t="s">
        <v>4740</v>
      </c>
      <c r="G625" s="389" t="s">
        <v>6334</v>
      </c>
      <c r="I625">
        <f>+I624+J624</f>
        <v>2.777777777777778E-2</v>
      </c>
      <c r="M625" s="224" t="s">
        <v>4615</v>
      </c>
      <c r="N625" t="s">
        <v>4511</v>
      </c>
    </row>
    <row r="626" spans="1:28" x14ac:dyDescent="0.25">
      <c r="F626" s="224" t="s">
        <v>4740</v>
      </c>
      <c r="G626" s="400"/>
      <c r="I626">
        <f>1/60</f>
        <v>1.6666666666666666E-2</v>
      </c>
      <c r="J626">
        <f>(I626/0.65)-I626</f>
        <v>8.9743589743589737E-3</v>
      </c>
      <c r="M626" s="224" t="s">
        <v>4615</v>
      </c>
      <c r="N626" t="s">
        <v>4811</v>
      </c>
    </row>
    <row r="627" spans="1:28" x14ac:dyDescent="0.25">
      <c r="A627" s="333"/>
      <c r="B627" s="333"/>
      <c r="C627" s="333"/>
      <c r="D627" s="333"/>
      <c r="E627" s="333"/>
      <c r="F627" s="224" t="s">
        <v>4740</v>
      </c>
      <c r="G627" s="389" t="s">
        <v>6334</v>
      </c>
      <c r="H627" s="333"/>
      <c r="I627" s="333">
        <f>+I626+J626</f>
        <v>2.564102564102564E-2</v>
      </c>
      <c r="J627" s="333"/>
      <c r="K627" s="333"/>
      <c r="L627" s="333"/>
      <c r="M627" s="224" t="s">
        <v>4615</v>
      </c>
      <c r="N627" s="333" t="s">
        <v>4511</v>
      </c>
      <c r="O627" s="335"/>
      <c r="P627" s="333"/>
      <c r="Q627" s="333"/>
      <c r="R627" s="333"/>
      <c r="S627" s="333"/>
      <c r="T627" s="333"/>
      <c r="U627" s="333"/>
      <c r="V627" s="333"/>
      <c r="W627" s="333"/>
      <c r="X627" s="333"/>
      <c r="Y627" s="333"/>
    </row>
    <row r="628" spans="1:28" x14ac:dyDescent="0.25">
      <c r="F628" s="224" t="s">
        <v>4861</v>
      </c>
      <c r="G628" s="400"/>
      <c r="I628">
        <f>+I631</f>
        <v>1.0252596949007414E-2</v>
      </c>
      <c r="J628">
        <f>+J631</f>
        <v>1.0356158534351005E-4</v>
      </c>
      <c r="M628" s="224" t="s">
        <v>4615</v>
      </c>
      <c r="N628" s="294" t="str">
        <f>+N631</f>
        <v>Marine Equipement for Dragagem e Lanciamento Areia</v>
      </c>
      <c r="O628" s="307" t="s">
        <v>4835</v>
      </c>
    </row>
    <row r="629" spans="1:28" x14ac:dyDescent="0.25">
      <c r="F629" s="224" t="s">
        <v>4792</v>
      </c>
      <c r="G629" s="400"/>
      <c r="I629">
        <f>+I632</f>
        <v>4.1010387796029654E-2</v>
      </c>
      <c r="M629" s="224" t="s">
        <v>4615</v>
      </c>
      <c r="N629" s="294" t="str">
        <f>+N632</f>
        <v>Driver Marine Equipement for Dragagem  e lanciamento Areia</v>
      </c>
    </row>
    <row r="630" spans="1:28" ht="30" x14ac:dyDescent="0.25">
      <c r="A630" s="223" t="s">
        <v>4823</v>
      </c>
      <c r="B630" s="343" t="s">
        <v>4848</v>
      </c>
      <c r="C630" s="223" t="s">
        <v>4514</v>
      </c>
      <c r="D630" s="223"/>
      <c r="E630" s="223"/>
      <c r="F630" s="224" t="str">
        <f>+F617</f>
        <v>CA0002</v>
      </c>
      <c r="G630" s="400"/>
      <c r="H630" s="223"/>
      <c r="I630" s="223"/>
      <c r="J630" s="223"/>
      <c r="K630" s="223"/>
      <c r="L630" s="223"/>
      <c r="M630" s="223" t="s">
        <v>4615</v>
      </c>
      <c r="N630" s="223" t="str">
        <f>+N617</f>
        <v>CUADRILLA ESCAVACION 2 Turno por dia</v>
      </c>
      <c r="O630" s="312"/>
      <c r="P630" s="223"/>
      <c r="Q630" s="223"/>
      <c r="R630" s="223"/>
      <c r="S630" s="223"/>
      <c r="T630" s="223">
        <f>+S631/R631/I631</f>
        <v>5216.5</v>
      </c>
      <c r="U630" s="223"/>
      <c r="V630" s="223"/>
      <c r="W630" s="223"/>
      <c r="X630" s="223"/>
      <c r="Y630" s="223"/>
      <c r="Z630" s="369" t="s">
        <v>4817</v>
      </c>
      <c r="AB630" s="369" t="s">
        <v>4818</v>
      </c>
    </row>
    <row r="631" spans="1:28" x14ac:dyDescent="0.25">
      <c r="A631" s="333"/>
      <c r="B631" s="333"/>
      <c r="C631" s="333"/>
      <c r="D631" s="333"/>
      <c r="E631" s="333"/>
      <c r="F631" s="224" t="s">
        <v>4861</v>
      </c>
      <c r="G631" s="400"/>
      <c r="H631" s="333"/>
      <c r="I631" s="333">
        <f>(3.5*26*20)/(154222+23294)</f>
        <v>1.0252596949007414E-2</v>
      </c>
      <c r="J631" s="333">
        <f>(I631/0.99)-I631</f>
        <v>1.0356158534351005E-4</v>
      </c>
      <c r="K631" s="333"/>
      <c r="L631" s="333"/>
      <c r="M631" s="224" t="s">
        <v>4615</v>
      </c>
      <c r="N631" s="313" t="s">
        <v>4833</v>
      </c>
      <c r="O631" s="335" t="s">
        <v>4835</v>
      </c>
      <c r="P631" s="333"/>
      <c r="Q631" s="335">
        <v>5216.51</v>
      </c>
      <c r="R631" s="333">
        <f>154222+23294</f>
        <v>177516</v>
      </c>
      <c r="S631" s="335">
        <f>+T632-S632</f>
        <v>9494030</v>
      </c>
      <c r="T631" s="335"/>
      <c r="U631" s="333"/>
      <c r="V631" s="386" t="s">
        <v>4829</v>
      </c>
      <c r="W631" s="333"/>
      <c r="X631" s="333"/>
      <c r="Y631" s="333"/>
      <c r="Z631" s="370">
        <f>+Q631</f>
        <v>5216.51</v>
      </c>
      <c r="AB631" s="370">
        <f>+Z631*0.921</f>
        <v>4804.40571</v>
      </c>
    </row>
    <row r="632" spans="1:28" x14ac:dyDescent="0.25">
      <c r="F632" s="224" t="s">
        <v>4792</v>
      </c>
      <c r="G632" s="400"/>
      <c r="I632">
        <f>(3.5*4*26*20)/(154222+23294)</f>
        <v>4.1010387796029654E-2</v>
      </c>
      <c r="M632" s="224" t="s">
        <v>4615</v>
      </c>
      <c r="N632" s="294" t="s">
        <v>4834</v>
      </c>
      <c r="Q632" s="307">
        <v>77</v>
      </c>
      <c r="R632">
        <f>+R631</f>
        <v>177516</v>
      </c>
      <c r="S632" s="307">
        <f>+R632*Q632*I632</f>
        <v>560560</v>
      </c>
      <c r="T632" s="307">
        <v>10054590</v>
      </c>
      <c r="V632" s="367" t="s">
        <v>4830</v>
      </c>
    </row>
    <row r="633" spans="1:28" x14ac:dyDescent="0.25">
      <c r="A633" s="223" t="s">
        <v>4827</v>
      </c>
      <c r="B633" s="223" t="s">
        <v>4828</v>
      </c>
      <c r="C633" s="223" t="s">
        <v>4514</v>
      </c>
      <c r="D633" s="223"/>
      <c r="E633" s="223"/>
      <c r="F633" s="224" t="str">
        <f>+F630</f>
        <v>CA0002</v>
      </c>
      <c r="G633" s="389" t="s">
        <v>6334</v>
      </c>
      <c r="H633" s="223"/>
      <c r="I633" s="223">
        <f>+I636/8*10</f>
        <v>4.4254386533698176E-2</v>
      </c>
      <c r="J633" s="223"/>
      <c r="K633" s="223"/>
      <c r="L633" s="223"/>
      <c r="M633" s="223" t="s">
        <v>4615</v>
      </c>
      <c r="N633" s="223" t="str">
        <f>+N621</f>
        <v>OPERADOR DE EQUIP. PESADO 2 turno por dia</v>
      </c>
      <c r="O633" s="312"/>
      <c r="P633" s="223"/>
      <c r="Q633" s="223"/>
      <c r="R633" s="223"/>
      <c r="S633" s="223"/>
      <c r="T633" s="223"/>
      <c r="U633" s="223"/>
      <c r="V633" s="223"/>
      <c r="W633" s="223"/>
      <c r="X633" s="223"/>
      <c r="Y633" s="223"/>
      <c r="Z633" s="369" t="s">
        <v>4817</v>
      </c>
      <c r="AB633" s="369" t="s">
        <v>4818</v>
      </c>
    </row>
    <row r="634" spans="1:28" x14ac:dyDescent="0.25">
      <c r="F634" s="224" t="s">
        <v>4861</v>
      </c>
      <c r="G634" s="400"/>
      <c r="I634">
        <f>((1.5*26*20)/(154222))*1.08</f>
        <v>5.4622557093021752E-3</v>
      </c>
      <c r="J634" s="353">
        <f>(I634/0.99)-I634</f>
        <v>5.5174300093961681E-5</v>
      </c>
      <c r="M634" s="224" t="s">
        <v>4615</v>
      </c>
      <c r="N634" s="294" t="s">
        <v>4833</v>
      </c>
      <c r="O634" s="307" t="s">
        <v>4836</v>
      </c>
      <c r="Q634" s="307">
        <f>+Q631</f>
        <v>5216.51</v>
      </c>
      <c r="R634">
        <f>154222</f>
        <v>154222</v>
      </c>
      <c r="S634" s="307">
        <f>+T635-S635</f>
        <v>4068870</v>
      </c>
      <c r="T634" s="307"/>
      <c r="V634" s="367" t="s">
        <v>4831</v>
      </c>
      <c r="Z634" s="370">
        <f>+Q634</f>
        <v>5216.51</v>
      </c>
      <c r="AB634" s="370">
        <f>+Z634*0.921</f>
        <v>4804.40571</v>
      </c>
    </row>
    <row r="635" spans="1:28" x14ac:dyDescent="0.25">
      <c r="F635" s="224" t="s">
        <v>4792</v>
      </c>
      <c r="G635" s="400"/>
      <c r="I635">
        <f>(1.5*4*26*20)/(154222)</f>
        <v>2.0230576701119166E-2</v>
      </c>
      <c r="M635" s="224" t="s">
        <v>4615</v>
      </c>
      <c r="N635" s="294" t="s">
        <v>4834</v>
      </c>
      <c r="Q635" s="307">
        <v>77</v>
      </c>
      <c r="R635">
        <f>+R634</f>
        <v>154222</v>
      </c>
      <c r="S635" s="307">
        <f>+R635*Q635*I635</f>
        <v>240240</v>
      </c>
      <c r="T635" s="307">
        <v>4309110</v>
      </c>
      <c r="V635" s="367" t="s">
        <v>4832</v>
      </c>
    </row>
    <row r="636" spans="1:28" x14ac:dyDescent="0.25">
      <c r="A636" s="333"/>
      <c r="B636" s="333"/>
      <c r="C636" s="333"/>
      <c r="D636" s="333"/>
      <c r="E636" s="333"/>
      <c r="F636" s="224" t="s">
        <v>4824</v>
      </c>
      <c r="G636" s="400"/>
      <c r="H636" s="333"/>
      <c r="I636" s="333">
        <f>(1.5*7*26*20)/(154222)</f>
        <v>3.5403509226958542E-2</v>
      </c>
      <c r="J636" s="333"/>
      <c r="K636" s="333"/>
      <c r="L636" s="333"/>
      <c r="M636" s="224" t="s">
        <v>4615</v>
      </c>
      <c r="N636" s="333" t="s">
        <v>4825</v>
      </c>
      <c r="O636" s="335"/>
      <c r="P636" s="333"/>
      <c r="Q636" s="335">
        <v>135</v>
      </c>
      <c r="R636" s="333">
        <f>+R635</f>
        <v>154222</v>
      </c>
      <c r="S636" s="335">
        <f>+R636*Q636*I636</f>
        <v>737100</v>
      </c>
      <c r="T636" s="333"/>
      <c r="U636" s="333"/>
      <c r="V636" s="333"/>
      <c r="W636" s="333"/>
      <c r="X636" s="333"/>
      <c r="Y636" s="333"/>
      <c r="Z636" s="333"/>
      <c r="AA636" s="333"/>
    </row>
    <row r="637" spans="1:28" ht="30" x14ac:dyDescent="0.25">
      <c r="A637" s="223" t="s">
        <v>4837</v>
      </c>
      <c r="B637" s="343" t="s">
        <v>4838</v>
      </c>
      <c r="C637" s="223" t="s">
        <v>4514</v>
      </c>
      <c r="D637" s="223"/>
      <c r="E637" s="223"/>
      <c r="F637" s="301" t="str">
        <f>+F633</f>
        <v>CA0002</v>
      </c>
      <c r="G637" s="389" t="s">
        <v>6334</v>
      </c>
      <c r="H637" s="223"/>
      <c r="I637" s="223">
        <f>5*I642</f>
        <v>7.0289463726536508E-2</v>
      </c>
      <c r="J637" s="223"/>
      <c r="K637" s="223"/>
      <c r="L637" s="223"/>
      <c r="M637" s="223" t="s">
        <v>4615</v>
      </c>
      <c r="N637" s="223" t="str">
        <f>+N633</f>
        <v>OPERADOR DE EQUIP. PESADO 2 turno por dia</v>
      </c>
      <c r="O637" s="312"/>
      <c r="P637" s="223"/>
      <c r="Q637" s="223"/>
      <c r="R637" s="223"/>
      <c r="S637" s="223"/>
      <c r="T637" s="223"/>
      <c r="U637" s="223"/>
      <c r="V637" s="223"/>
      <c r="W637" s="223"/>
      <c r="X637" s="223"/>
      <c r="Y637" s="223"/>
      <c r="Z637" s="223"/>
      <c r="AA637" s="223"/>
    </row>
    <row r="638" spans="1:28" x14ac:dyDescent="0.25">
      <c r="F638" s="224" t="s">
        <v>4740</v>
      </c>
      <c r="G638" s="389" t="s">
        <v>6414</v>
      </c>
      <c r="I638">
        <v>1.1000000000000001</v>
      </c>
      <c r="M638" s="224" t="s">
        <v>4514</v>
      </c>
      <c r="N638" s="224" t="s">
        <v>4839</v>
      </c>
    </row>
    <row r="639" spans="1:28" x14ac:dyDescent="0.25">
      <c r="F639" s="224" t="s">
        <v>4740</v>
      </c>
      <c r="G639" s="400"/>
      <c r="I639">
        <f>1000/112317.5</f>
        <v>8.9033320720279564E-3</v>
      </c>
      <c r="J639">
        <f>500/112317.5</f>
        <v>4.4516660360139782E-3</v>
      </c>
      <c r="M639" s="224" t="s">
        <v>4615</v>
      </c>
      <c r="N639" s="224" t="s">
        <v>4841</v>
      </c>
    </row>
    <row r="640" spans="1:28" x14ac:dyDescent="0.25">
      <c r="F640" s="224" t="s">
        <v>4740</v>
      </c>
      <c r="G640" s="389" t="s">
        <v>6334</v>
      </c>
      <c r="I640">
        <f>+I639+J639</f>
        <v>1.3354998108041935E-2</v>
      </c>
      <c r="M640" s="224" t="s">
        <v>4615</v>
      </c>
      <c r="N640" t="s">
        <v>4511</v>
      </c>
    </row>
    <row r="641" spans="1:30" x14ac:dyDescent="0.25">
      <c r="F641" s="224" t="s">
        <v>4740</v>
      </c>
      <c r="G641" s="400"/>
      <c r="I641">
        <f>1500/112317.5</f>
        <v>1.3354998108041935E-2</v>
      </c>
      <c r="J641">
        <f>(I641/0.95)-I641</f>
        <v>7.0289463726536626E-4</v>
      </c>
      <c r="M641" s="224" t="s">
        <v>4615</v>
      </c>
      <c r="N641" s="224" t="s">
        <v>4840</v>
      </c>
    </row>
    <row r="642" spans="1:30" x14ac:dyDescent="0.25">
      <c r="F642" s="224" t="s">
        <v>4740</v>
      </c>
      <c r="G642" s="389" t="s">
        <v>6334</v>
      </c>
      <c r="I642">
        <f>+I641+J641</f>
        <v>1.4057892745307301E-2</v>
      </c>
      <c r="M642" s="224" t="s">
        <v>4615</v>
      </c>
      <c r="N642" t="str">
        <f>+N640</f>
        <v>OPERADOR DE EQUIP. PESADO 2 turno por dia</v>
      </c>
    </row>
    <row r="643" spans="1:30" x14ac:dyDescent="0.25">
      <c r="A643" s="223" t="s">
        <v>4842</v>
      </c>
      <c r="B643" s="223" t="s">
        <v>4847</v>
      </c>
      <c r="C643" s="223" t="s">
        <v>4514</v>
      </c>
      <c r="D643" s="223"/>
      <c r="E643" s="223"/>
      <c r="F643" s="301" t="str">
        <f>+F637</f>
        <v>CA0002</v>
      </c>
      <c r="G643" s="389" t="s">
        <v>6334</v>
      </c>
      <c r="H643" s="223"/>
      <c r="I643" s="223">
        <f>6*6*20*26/112317.5</f>
        <v>0.16667037638836335</v>
      </c>
      <c r="J643" s="223"/>
      <c r="K643" s="223"/>
      <c r="L643" s="223"/>
      <c r="M643" s="223" t="s">
        <v>4615</v>
      </c>
      <c r="N643" s="223" t="str">
        <f>+N637</f>
        <v>OPERADOR DE EQUIP. PESADO 2 turno por dia</v>
      </c>
      <c r="O643" s="312"/>
      <c r="P643" s="223"/>
      <c r="Q643" s="223"/>
      <c r="R643" s="223"/>
      <c r="S643" s="223"/>
      <c r="T643" s="223">
        <f>+S644/R644/I644</f>
        <v>4357.75</v>
      </c>
      <c r="U643" s="223"/>
      <c r="V643" s="223"/>
      <c r="W643" s="223"/>
      <c r="Z643" s="369" t="s">
        <v>4817</v>
      </c>
      <c r="AB643" s="369" t="s">
        <v>4818</v>
      </c>
    </row>
    <row r="644" spans="1:30" x14ac:dyDescent="0.25">
      <c r="F644" s="224" t="s">
        <v>4862</v>
      </c>
      <c r="G644" s="400"/>
      <c r="I644">
        <f>(6*1*20*26)/112317.5</f>
        <v>2.7778396064727224E-2</v>
      </c>
      <c r="J644">
        <f>(I644/0.98)-I644</f>
        <v>5.6690604213728915E-4</v>
      </c>
      <c r="M644" s="224" t="s">
        <v>4615</v>
      </c>
      <c r="N644" s="294" t="s">
        <v>4843</v>
      </c>
      <c r="Q644" s="307">
        <v>4357.75</v>
      </c>
      <c r="R644">
        <v>112317.5</v>
      </c>
      <c r="S644" s="307">
        <f>+T645-S645</f>
        <v>13596180</v>
      </c>
      <c r="T644" s="307"/>
      <c r="V644" s="367" t="s">
        <v>4845</v>
      </c>
      <c r="Z644" s="370">
        <f>+Q644</f>
        <v>4357.75</v>
      </c>
      <c r="AB644" s="370">
        <f>+Z644*0.921</f>
        <v>4013.4877500000002</v>
      </c>
      <c r="AD644" s="307"/>
    </row>
    <row r="645" spans="1:30" x14ac:dyDescent="0.25">
      <c r="F645" s="224" t="s">
        <v>4792</v>
      </c>
      <c r="G645" s="400"/>
      <c r="I645">
        <f>(6*4*20*26)/112317.5</f>
        <v>0.1111135842589089</v>
      </c>
      <c r="M645" s="224" t="s">
        <v>4615</v>
      </c>
      <c r="N645" s="294" t="s">
        <v>4844</v>
      </c>
      <c r="Q645" s="307">
        <v>77</v>
      </c>
      <c r="R645">
        <f>+R644</f>
        <v>112317.5</v>
      </c>
      <c r="S645" s="307">
        <f>+R645*Q645*I645</f>
        <v>960960</v>
      </c>
      <c r="T645" s="307">
        <v>14557140</v>
      </c>
      <c r="V645" s="367" t="s">
        <v>4846</v>
      </c>
    </row>
    <row r="646" spans="1:30" x14ac:dyDescent="0.25">
      <c r="F646" s="224" t="s">
        <v>4740</v>
      </c>
      <c r="G646" s="400"/>
      <c r="I646">
        <f>S646/R646/Q646</f>
        <v>3.7987550173985946E-2</v>
      </c>
      <c r="M646" s="224" t="s">
        <v>4615</v>
      </c>
      <c r="N646" t="s">
        <v>4825</v>
      </c>
      <c r="Q646" s="307">
        <v>135</v>
      </c>
      <c r="R646">
        <f>+R645</f>
        <v>112317.5</v>
      </c>
      <c r="S646" s="307">
        <v>576000</v>
      </c>
    </row>
    <row r="647" spans="1:30" x14ac:dyDescent="0.25">
      <c r="A647" s="223"/>
      <c r="B647" s="223"/>
      <c r="C647" s="223"/>
      <c r="D647" s="223"/>
      <c r="E647" s="223"/>
      <c r="F647" s="223"/>
      <c r="G647" s="401"/>
      <c r="H647" s="223"/>
      <c r="I647" s="223"/>
      <c r="J647" s="223"/>
      <c r="K647" s="223"/>
      <c r="L647" s="223"/>
      <c r="M647" s="223"/>
      <c r="N647" s="223"/>
      <c r="O647" s="312"/>
      <c r="P647" s="223"/>
      <c r="Q647" s="223"/>
      <c r="R647" s="223"/>
      <c r="S647" s="223"/>
      <c r="T647" s="223"/>
      <c r="U647" s="223"/>
      <c r="V647" s="223"/>
      <c r="W647" s="223"/>
      <c r="X647" s="223"/>
      <c r="Y647" s="223"/>
      <c r="Z647" s="223"/>
      <c r="AA647" s="223"/>
      <c r="AB647" s="223"/>
    </row>
    <row r="648" spans="1:30" x14ac:dyDescent="0.25">
      <c r="H648" t="s">
        <v>4875</v>
      </c>
      <c r="I648">
        <v>3</v>
      </c>
    </row>
    <row r="649" spans="1:30" x14ac:dyDescent="0.25">
      <c r="H649" t="s">
        <v>4876</v>
      </c>
      <c r="I649">
        <v>26</v>
      </c>
    </row>
    <row r="650" spans="1:30" x14ac:dyDescent="0.25">
      <c r="A650" s="373" t="s">
        <v>4863</v>
      </c>
      <c r="H650" t="s">
        <v>4852</v>
      </c>
      <c r="I650">
        <v>10</v>
      </c>
      <c r="K650" s="373"/>
    </row>
    <row r="652" spans="1:30" x14ac:dyDescent="0.25">
      <c r="A652" s="223" t="s">
        <v>4864</v>
      </c>
      <c r="B652" s="223" t="s">
        <v>4865</v>
      </c>
      <c r="C652" s="223" t="s">
        <v>3372</v>
      </c>
      <c r="D652" s="223"/>
      <c r="E652" s="223"/>
      <c r="F652" s="301" t="s">
        <v>4451</v>
      </c>
      <c r="G652" s="401"/>
      <c r="H652" s="223"/>
      <c r="I652" s="312">
        <f>+I648*I649*I650*40</f>
        <v>31200</v>
      </c>
      <c r="J652" s="223"/>
      <c r="K652" s="223"/>
      <c r="L652" s="223"/>
      <c r="M652" s="223" t="s">
        <v>4615</v>
      </c>
      <c r="N652" s="223" t="s">
        <v>4911</v>
      </c>
      <c r="O652" s="312"/>
      <c r="P652" s="223"/>
      <c r="Q652" s="223"/>
      <c r="R652" s="223"/>
      <c r="S652" s="223"/>
      <c r="T652" s="223"/>
      <c r="U652" s="223"/>
      <c r="V652" s="223"/>
      <c r="W652" s="223"/>
      <c r="X652" s="223"/>
      <c r="Y652" s="223"/>
      <c r="Z652" s="223"/>
      <c r="AA652" s="223"/>
      <c r="AB652" s="223"/>
    </row>
    <row r="653" spans="1:30" x14ac:dyDescent="0.25">
      <c r="F653">
        <v>2</v>
      </c>
      <c r="H653">
        <v>0.5</v>
      </c>
      <c r="I653">
        <f>($I$648*$I$649*$I$650)*H653*F653</f>
        <v>780</v>
      </c>
      <c r="J653">
        <f>(I653/H653)-I653</f>
        <v>780</v>
      </c>
      <c r="M653" t="s">
        <v>4615</v>
      </c>
      <c r="N653" t="s">
        <v>4867</v>
      </c>
    </row>
    <row r="654" spans="1:30" x14ac:dyDescent="0.25">
      <c r="F654">
        <v>4</v>
      </c>
      <c r="H654">
        <v>0.6</v>
      </c>
      <c r="I654">
        <f t="shared" ref="I654:I662" si="6">($I$648*$I$649*$I$650)*H654*F654</f>
        <v>1872</v>
      </c>
      <c r="J654">
        <f t="shared" ref="J654:J662" si="7">(I654/H654)-I654</f>
        <v>1248</v>
      </c>
      <c r="M654" t="s">
        <v>4615</v>
      </c>
      <c r="N654" t="s">
        <v>4866</v>
      </c>
    </row>
    <row r="655" spans="1:30" x14ac:dyDescent="0.25">
      <c r="F655">
        <v>4</v>
      </c>
      <c r="H655">
        <v>0.6</v>
      </c>
      <c r="I655">
        <f t="shared" si="6"/>
        <v>1872</v>
      </c>
      <c r="J655">
        <f t="shared" si="7"/>
        <v>1248</v>
      </c>
      <c r="M655" t="s">
        <v>4615</v>
      </c>
      <c r="N655" t="s">
        <v>4868</v>
      </c>
    </row>
    <row r="656" spans="1:30" x14ac:dyDescent="0.25">
      <c r="F656">
        <v>1</v>
      </c>
      <c r="H656">
        <v>0.5</v>
      </c>
      <c r="I656">
        <f t="shared" si="6"/>
        <v>390</v>
      </c>
      <c r="J656">
        <f t="shared" si="7"/>
        <v>390</v>
      </c>
      <c r="M656" t="s">
        <v>4615</v>
      </c>
      <c r="N656" t="s">
        <v>4869</v>
      </c>
    </row>
    <row r="657" spans="6:15" x14ac:dyDescent="0.25">
      <c r="F657">
        <v>1</v>
      </c>
      <c r="H657">
        <v>0.5</v>
      </c>
      <c r="I657">
        <f t="shared" si="6"/>
        <v>390</v>
      </c>
      <c r="J657">
        <f t="shared" si="7"/>
        <v>390</v>
      </c>
      <c r="M657" t="s">
        <v>4615</v>
      </c>
      <c r="N657" t="s">
        <v>4870</v>
      </c>
    </row>
    <row r="658" spans="6:15" x14ac:dyDescent="0.25">
      <c r="F658">
        <v>15</v>
      </c>
      <c r="H658">
        <v>0.7</v>
      </c>
      <c r="I658">
        <f t="shared" si="6"/>
        <v>8190</v>
      </c>
      <c r="J658">
        <f t="shared" si="7"/>
        <v>3510</v>
      </c>
      <c r="M658" t="s">
        <v>4615</v>
      </c>
      <c r="N658" t="s">
        <v>4686</v>
      </c>
    </row>
    <row r="659" spans="6:15" x14ac:dyDescent="0.25">
      <c r="F659">
        <v>2</v>
      </c>
      <c r="H659">
        <v>0.6</v>
      </c>
      <c r="I659">
        <f t="shared" si="6"/>
        <v>936</v>
      </c>
      <c r="J659">
        <f t="shared" si="7"/>
        <v>624</v>
      </c>
      <c r="M659" t="s">
        <v>4615</v>
      </c>
      <c r="N659" t="s">
        <v>4871</v>
      </c>
    </row>
    <row r="660" spans="6:15" x14ac:dyDescent="0.25">
      <c r="F660">
        <v>2</v>
      </c>
      <c r="H660">
        <v>0.6</v>
      </c>
      <c r="I660">
        <f t="shared" si="6"/>
        <v>936</v>
      </c>
      <c r="J660">
        <f t="shared" si="7"/>
        <v>624</v>
      </c>
      <c r="M660" t="s">
        <v>4615</v>
      </c>
      <c r="N660" t="s">
        <v>4872</v>
      </c>
    </row>
    <row r="661" spans="6:15" x14ac:dyDescent="0.25">
      <c r="F661">
        <v>4</v>
      </c>
      <c r="H661">
        <v>0.5</v>
      </c>
      <c r="I661">
        <f t="shared" si="6"/>
        <v>1560</v>
      </c>
      <c r="J661">
        <f t="shared" si="7"/>
        <v>1560</v>
      </c>
      <c r="M661" t="s">
        <v>4615</v>
      </c>
      <c r="N661" t="s">
        <v>4873</v>
      </c>
    </row>
    <row r="662" spans="6:15" x14ac:dyDescent="0.25">
      <c r="F662">
        <v>4</v>
      </c>
      <c r="H662">
        <v>0.8</v>
      </c>
      <c r="I662">
        <f t="shared" si="6"/>
        <v>2496</v>
      </c>
      <c r="J662">
        <f t="shared" si="7"/>
        <v>624</v>
      </c>
      <c r="M662" t="s">
        <v>4615</v>
      </c>
      <c r="N662" t="s">
        <v>4874</v>
      </c>
    </row>
    <row r="663" spans="6:15" x14ac:dyDescent="0.25">
      <c r="G663" s="389" t="s">
        <v>245</v>
      </c>
      <c r="I663">
        <f>SUM(I653:J662)</f>
        <v>30420</v>
      </c>
      <c r="M663" t="s">
        <v>4615</v>
      </c>
      <c r="N663" t="s">
        <v>934</v>
      </c>
    </row>
    <row r="664" spans="6:15" x14ac:dyDescent="0.25">
      <c r="I664">
        <v>100</v>
      </c>
      <c r="M664" t="s">
        <v>4514</v>
      </c>
      <c r="N664" t="s">
        <v>4891</v>
      </c>
    </row>
    <row r="665" spans="6:15" x14ac:dyDescent="0.25">
      <c r="I665">
        <v>800</v>
      </c>
      <c r="M665" t="s">
        <v>4514</v>
      </c>
      <c r="N665" t="s">
        <v>4892</v>
      </c>
    </row>
    <row r="666" spans="6:15" x14ac:dyDescent="0.25">
      <c r="I666">
        <f>+I665*50</f>
        <v>40000</v>
      </c>
      <c r="M666" t="s">
        <v>1341</v>
      </c>
      <c r="N666" t="s">
        <v>4893</v>
      </c>
    </row>
    <row r="667" spans="6:15" x14ac:dyDescent="0.25">
      <c r="I667">
        <f>(+I665*4)*0.15/5</f>
        <v>96</v>
      </c>
      <c r="M667" t="s">
        <v>4514</v>
      </c>
      <c r="N667" t="s">
        <v>4894</v>
      </c>
    </row>
    <row r="668" spans="6:15" x14ac:dyDescent="0.25">
      <c r="I668">
        <v>1</v>
      </c>
      <c r="M668" t="s">
        <v>4790</v>
      </c>
      <c r="N668" t="s">
        <v>4902</v>
      </c>
      <c r="O668" s="307">
        <f>120000*3</f>
        <v>360000</v>
      </c>
    </row>
    <row r="672" spans="6:15" x14ac:dyDescent="0.25">
      <c r="H672" t="s">
        <v>4875</v>
      </c>
      <c r="I672">
        <v>6</v>
      </c>
    </row>
    <row r="673" spans="1:26" x14ac:dyDescent="0.25">
      <c r="H673" t="s">
        <v>4876</v>
      </c>
      <c r="I673">
        <v>26</v>
      </c>
    </row>
    <row r="674" spans="1:26" x14ac:dyDescent="0.25">
      <c r="A674" s="373" t="s">
        <v>4863</v>
      </c>
      <c r="H674" t="s">
        <v>4852</v>
      </c>
      <c r="I674">
        <v>10</v>
      </c>
      <c r="K674" s="373"/>
    </row>
    <row r="676" spans="1:26" x14ac:dyDescent="0.25">
      <c r="A676" s="223" t="s">
        <v>4895</v>
      </c>
      <c r="B676" s="223" t="s">
        <v>4900</v>
      </c>
      <c r="C676" s="223" t="s">
        <v>3372</v>
      </c>
      <c r="D676" s="223"/>
      <c r="E676" s="223"/>
      <c r="F676" s="301" t="str">
        <f>+F652</f>
        <v>CA0001</v>
      </c>
      <c r="G676" s="401"/>
      <c r="H676" s="223"/>
      <c r="I676" s="312">
        <f>+I672*I673*I674*50</f>
        <v>78000</v>
      </c>
      <c r="J676" s="223"/>
      <c r="K676" s="223"/>
      <c r="L676" s="223"/>
      <c r="M676" s="223" t="s">
        <v>4615</v>
      </c>
      <c r="N676" s="223" t="str">
        <f>+N652</f>
        <v xml:space="preserve">CUADRILLA ESCAVACION </v>
      </c>
      <c r="O676" s="312"/>
      <c r="P676" s="223"/>
      <c r="Q676" s="223"/>
      <c r="R676" s="223"/>
      <c r="S676" s="223"/>
      <c r="T676" s="223"/>
      <c r="U676" s="223"/>
      <c r="V676" s="223"/>
      <c r="W676" s="223"/>
      <c r="X676" s="223"/>
      <c r="Y676" s="223"/>
      <c r="Z676" s="223"/>
    </row>
    <row r="677" spans="1:26" x14ac:dyDescent="0.25">
      <c r="F677">
        <v>3</v>
      </c>
      <c r="H677">
        <v>0.5</v>
      </c>
      <c r="I677">
        <f>($I$672*$I$673*$I$674)*H677*F677</f>
        <v>2340</v>
      </c>
      <c r="J677">
        <f>(I677/H677)-I677</f>
        <v>2340</v>
      </c>
      <c r="M677" t="s">
        <v>4615</v>
      </c>
      <c r="N677" t="s">
        <v>4867</v>
      </c>
    </row>
    <row r="678" spans="1:26" x14ac:dyDescent="0.25">
      <c r="F678">
        <v>4</v>
      </c>
      <c r="H678">
        <v>0.5</v>
      </c>
      <c r="I678">
        <f t="shared" ref="I678:I686" si="8">($I$672*$I$673*$I$674)*H678*F678</f>
        <v>3120</v>
      </c>
      <c r="J678">
        <f t="shared" ref="J678:J686" si="9">(I678/H678)-I678</f>
        <v>3120</v>
      </c>
      <c r="M678" t="s">
        <v>4615</v>
      </c>
      <c r="N678" t="s">
        <v>4866</v>
      </c>
    </row>
    <row r="679" spans="1:26" x14ac:dyDescent="0.25">
      <c r="F679">
        <v>4</v>
      </c>
      <c r="H679">
        <v>0.5</v>
      </c>
      <c r="I679">
        <f t="shared" si="8"/>
        <v>3120</v>
      </c>
      <c r="J679">
        <f t="shared" si="9"/>
        <v>3120</v>
      </c>
      <c r="M679" t="s">
        <v>4615</v>
      </c>
      <c r="N679" t="s">
        <v>4868</v>
      </c>
    </row>
    <row r="680" spans="1:26" x14ac:dyDescent="0.25">
      <c r="F680">
        <v>1</v>
      </c>
      <c r="H680">
        <v>0.5</v>
      </c>
      <c r="I680">
        <f t="shared" si="8"/>
        <v>780</v>
      </c>
      <c r="J680">
        <f t="shared" si="9"/>
        <v>780</v>
      </c>
      <c r="M680" t="s">
        <v>4615</v>
      </c>
      <c r="N680" t="s">
        <v>4869</v>
      </c>
    </row>
    <row r="681" spans="1:26" x14ac:dyDescent="0.25">
      <c r="F681">
        <v>1</v>
      </c>
      <c r="H681">
        <v>0.5</v>
      </c>
      <c r="I681">
        <f t="shared" si="8"/>
        <v>780</v>
      </c>
      <c r="J681">
        <f t="shared" si="9"/>
        <v>780</v>
      </c>
      <c r="M681" t="s">
        <v>4615</v>
      </c>
      <c r="N681" t="s">
        <v>4870</v>
      </c>
    </row>
    <row r="682" spans="1:26" x14ac:dyDescent="0.25">
      <c r="F682">
        <v>15</v>
      </c>
      <c r="H682">
        <v>0.5</v>
      </c>
      <c r="I682">
        <f t="shared" si="8"/>
        <v>11700</v>
      </c>
      <c r="J682">
        <f t="shared" si="9"/>
        <v>11700</v>
      </c>
      <c r="M682" t="s">
        <v>4615</v>
      </c>
      <c r="N682" t="s">
        <v>4686</v>
      </c>
    </row>
    <row r="683" spans="1:26" x14ac:dyDescent="0.25">
      <c r="F683">
        <v>2</v>
      </c>
      <c r="H683">
        <v>0.5</v>
      </c>
      <c r="I683">
        <f t="shared" si="8"/>
        <v>1560</v>
      </c>
      <c r="J683">
        <f t="shared" si="9"/>
        <v>1560</v>
      </c>
      <c r="M683" t="s">
        <v>4615</v>
      </c>
      <c r="N683" t="s">
        <v>4871</v>
      </c>
    </row>
    <row r="684" spans="1:26" x14ac:dyDescent="0.25">
      <c r="F684">
        <v>3</v>
      </c>
      <c r="H684">
        <v>0.5</v>
      </c>
      <c r="I684">
        <f t="shared" si="8"/>
        <v>2340</v>
      </c>
      <c r="J684">
        <f t="shared" si="9"/>
        <v>2340</v>
      </c>
      <c r="M684" t="s">
        <v>4615</v>
      </c>
      <c r="N684" t="s">
        <v>4872</v>
      </c>
    </row>
    <row r="685" spans="1:26" x14ac:dyDescent="0.25">
      <c r="F685">
        <v>4</v>
      </c>
      <c r="H685">
        <v>0.5</v>
      </c>
      <c r="I685">
        <f t="shared" si="8"/>
        <v>3120</v>
      </c>
      <c r="J685">
        <f t="shared" si="9"/>
        <v>3120</v>
      </c>
      <c r="M685" t="s">
        <v>4615</v>
      </c>
      <c r="N685" t="s">
        <v>4873</v>
      </c>
    </row>
    <row r="686" spans="1:26" x14ac:dyDescent="0.25">
      <c r="F686">
        <v>4</v>
      </c>
      <c r="H686">
        <v>0.5</v>
      </c>
      <c r="I686">
        <f t="shared" si="8"/>
        <v>3120</v>
      </c>
      <c r="J686">
        <f t="shared" si="9"/>
        <v>3120</v>
      </c>
      <c r="M686" t="s">
        <v>4615</v>
      </c>
      <c r="N686" t="s">
        <v>4874</v>
      </c>
    </row>
    <row r="687" spans="1:26" x14ac:dyDescent="0.25">
      <c r="G687" s="389" t="s">
        <v>245</v>
      </c>
      <c r="I687">
        <f>SUM(I677:J686)</f>
        <v>63960</v>
      </c>
      <c r="M687" t="s">
        <v>4615</v>
      </c>
      <c r="N687" t="s">
        <v>934</v>
      </c>
    </row>
    <row r="688" spans="1:26" x14ac:dyDescent="0.25">
      <c r="I688">
        <v>18000</v>
      </c>
      <c r="M688" t="s">
        <v>4514</v>
      </c>
      <c r="N688" t="s">
        <v>4909</v>
      </c>
    </row>
    <row r="689" spans="9:15" x14ac:dyDescent="0.25">
      <c r="I689">
        <v>9000</v>
      </c>
      <c r="M689" t="s">
        <v>4514</v>
      </c>
      <c r="N689" t="s">
        <v>4910</v>
      </c>
    </row>
    <row r="690" spans="9:15" x14ac:dyDescent="0.25">
      <c r="I690">
        <v>1850</v>
      </c>
      <c r="M690" t="s">
        <v>4579</v>
      </c>
      <c r="N690" t="s">
        <v>4877</v>
      </c>
      <c r="O690" s="307">
        <f>259*3</f>
        <v>777</v>
      </c>
    </row>
    <row r="691" spans="9:15" x14ac:dyDescent="0.25">
      <c r="I691">
        <v>320</v>
      </c>
      <c r="M691" t="s">
        <v>4579</v>
      </c>
      <c r="N691" t="s">
        <v>4878</v>
      </c>
      <c r="O691" s="307">
        <f>263*3</f>
        <v>789</v>
      </c>
    </row>
    <row r="692" spans="9:15" x14ac:dyDescent="0.25">
      <c r="I692">
        <v>880</v>
      </c>
      <c r="M692" t="s">
        <v>4579</v>
      </c>
      <c r="N692" t="s">
        <v>4879</v>
      </c>
      <c r="O692" s="307">
        <f>300*3</f>
        <v>900</v>
      </c>
    </row>
    <row r="693" spans="9:15" x14ac:dyDescent="0.25">
      <c r="I693">
        <v>192</v>
      </c>
      <c r="M693" t="s">
        <v>4579</v>
      </c>
      <c r="N693" t="s">
        <v>4880</v>
      </c>
      <c r="O693" s="307">
        <f>443*3</f>
        <v>1329</v>
      </c>
    </row>
    <row r="694" spans="9:15" x14ac:dyDescent="0.25">
      <c r="I694">
        <v>384</v>
      </c>
      <c r="M694" t="s">
        <v>4579</v>
      </c>
      <c r="N694" t="s">
        <v>4881</v>
      </c>
      <c r="O694" s="307">
        <f>1972*3</f>
        <v>5916</v>
      </c>
    </row>
    <row r="695" spans="9:15" x14ac:dyDescent="0.25">
      <c r="I695">
        <v>544</v>
      </c>
      <c r="M695" t="s">
        <v>4579</v>
      </c>
      <c r="N695" t="s">
        <v>4882</v>
      </c>
      <c r="O695" s="307">
        <f>334*3</f>
        <v>1002</v>
      </c>
    </row>
    <row r="696" spans="9:15" x14ac:dyDescent="0.25">
      <c r="I696">
        <v>900</v>
      </c>
      <c r="M696" t="s">
        <v>4579</v>
      </c>
      <c r="N696" t="s">
        <v>4883</v>
      </c>
      <c r="O696" s="307">
        <f>203*3</f>
        <v>609</v>
      </c>
    </row>
    <row r="697" spans="9:15" x14ac:dyDescent="0.25">
      <c r="I697">
        <v>288</v>
      </c>
      <c r="M697" t="s">
        <v>4579</v>
      </c>
      <c r="N697" t="s">
        <v>4884</v>
      </c>
      <c r="O697" s="307">
        <f>143*3</f>
        <v>429</v>
      </c>
    </row>
    <row r="698" spans="9:15" x14ac:dyDescent="0.25">
      <c r="I698">
        <v>450</v>
      </c>
      <c r="M698" t="s">
        <v>4579</v>
      </c>
      <c r="N698" t="s">
        <v>4885</v>
      </c>
      <c r="O698" s="307">
        <f>274*3</f>
        <v>822</v>
      </c>
    </row>
    <row r="699" spans="9:15" x14ac:dyDescent="0.25">
      <c r="I699">
        <v>75</v>
      </c>
      <c r="M699" t="s">
        <v>4579</v>
      </c>
      <c r="N699" t="s">
        <v>4886</v>
      </c>
      <c r="O699" s="307">
        <f>225*3</f>
        <v>675</v>
      </c>
    </row>
    <row r="700" spans="9:15" x14ac:dyDescent="0.25">
      <c r="I700">
        <v>216</v>
      </c>
      <c r="M700" t="s">
        <v>4579</v>
      </c>
      <c r="N700" t="s">
        <v>4887</v>
      </c>
      <c r="O700" s="307">
        <f>377*3</f>
        <v>1131</v>
      </c>
    </row>
    <row r="701" spans="9:15" x14ac:dyDescent="0.25">
      <c r="I701">
        <v>90</v>
      </c>
      <c r="M701" t="s">
        <v>4579</v>
      </c>
      <c r="N701" t="s">
        <v>4888</v>
      </c>
      <c r="O701" s="307">
        <f>488*3</f>
        <v>1464</v>
      </c>
    </row>
    <row r="702" spans="9:15" x14ac:dyDescent="0.25">
      <c r="I702">
        <v>540</v>
      </c>
      <c r="M702" t="s">
        <v>4579</v>
      </c>
      <c r="N702" t="s">
        <v>4889</v>
      </c>
      <c r="O702" s="307">
        <f>200*3</f>
        <v>600</v>
      </c>
    </row>
    <row r="703" spans="9:15" x14ac:dyDescent="0.25">
      <c r="I703">
        <v>2</v>
      </c>
      <c r="M703" t="s">
        <v>4632</v>
      </c>
      <c r="N703" t="s">
        <v>4890</v>
      </c>
      <c r="O703" s="307">
        <f>35000*3</f>
        <v>105000</v>
      </c>
    </row>
    <row r="704" spans="9:15" x14ac:dyDescent="0.25">
      <c r="I704">
        <v>1</v>
      </c>
      <c r="M704" t="s">
        <v>4790</v>
      </c>
      <c r="N704" t="s">
        <v>4901</v>
      </c>
      <c r="O704" s="307">
        <f>387000*3</f>
        <v>1161000</v>
      </c>
    </row>
    <row r="705" spans="1:19" x14ac:dyDescent="0.25">
      <c r="I705">
        <v>1</v>
      </c>
      <c r="M705" t="s">
        <v>4632</v>
      </c>
      <c r="N705" t="s">
        <v>4897</v>
      </c>
      <c r="O705" s="307">
        <f>(300000*2)*3</f>
        <v>1800000</v>
      </c>
    </row>
    <row r="706" spans="1:19" x14ac:dyDescent="0.25">
      <c r="I706">
        <v>1</v>
      </c>
      <c r="M706" t="s">
        <v>4632</v>
      </c>
      <c r="N706" t="s">
        <v>4898</v>
      </c>
      <c r="O706" s="307">
        <f>310000*3</f>
        <v>930000</v>
      </c>
    </row>
    <row r="707" spans="1:19" x14ac:dyDescent="0.25">
      <c r="I707">
        <v>1</v>
      </c>
      <c r="M707" t="s">
        <v>4632</v>
      </c>
      <c r="N707" t="s">
        <v>4906</v>
      </c>
      <c r="O707" s="307">
        <f>600*44*2*3</f>
        <v>158400</v>
      </c>
    </row>
    <row r="708" spans="1:19" x14ac:dyDescent="0.25">
      <c r="I708">
        <v>670</v>
      </c>
      <c r="M708" t="s">
        <v>4514</v>
      </c>
      <c r="N708" t="s">
        <v>4891</v>
      </c>
    </row>
    <row r="709" spans="1:19" x14ac:dyDescent="0.25">
      <c r="I709">
        <v>1400</v>
      </c>
      <c r="M709" t="s">
        <v>4514</v>
      </c>
      <c r="N709" t="s">
        <v>4892</v>
      </c>
    </row>
    <row r="710" spans="1:19" x14ac:dyDescent="0.25">
      <c r="I710">
        <f>+I709*50</f>
        <v>70000</v>
      </c>
      <c r="M710" t="s">
        <v>1341</v>
      </c>
      <c r="N710" t="s">
        <v>4893</v>
      </c>
    </row>
    <row r="711" spans="1:19" x14ac:dyDescent="0.25">
      <c r="I711">
        <f>(+I709*4)*0.15/5</f>
        <v>168</v>
      </c>
      <c r="M711" t="s">
        <v>4514</v>
      </c>
      <c r="N711" t="s">
        <v>4894</v>
      </c>
    </row>
    <row r="712" spans="1:19" x14ac:dyDescent="0.25">
      <c r="A712" s="223" t="s">
        <v>4896</v>
      </c>
      <c r="B712" s="223" t="s">
        <v>4899</v>
      </c>
      <c r="C712" s="223"/>
      <c r="D712" s="223"/>
      <c r="E712" s="223"/>
      <c r="F712" s="223"/>
      <c r="G712" s="401"/>
      <c r="H712" s="223"/>
      <c r="I712" s="223">
        <v>1</v>
      </c>
      <c r="J712" s="223"/>
      <c r="K712" s="223"/>
      <c r="L712" s="223"/>
      <c r="M712" s="223" t="s">
        <v>4790</v>
      </c>
      <c r="N712" s="223" t="s">
        <v>4903</v>
      </c>
      <c r="O712" s="312">
        <v>11101860</v>
      </c>
      <c r="P712" s="223"/>
      <c r="Q712" s="223"/>
      <c r="R712" s="223"/>
      <c r="S712" s="223"/>
    </row>
    <row r="713" spans="1:19" x14ac:dyDescent="0.25">
      <c r="I713" s="224">
        <v>1</v>
      </c>
      <c r="M713" s="224" t="s">
        <v>4790</v>
      </c>
      <c r="N713" s="224" t="s">
        <v>4904</v>
      </c>
      <c r="O713" s="307">
        <v>19445800</v>
      </c>
    </row>
    <row r="714" spans="1:19" x14ac:dyDescent="0.25">
      <c r="I714" s="224">
        <v>44</v>
      </c>
      <c r="M714" s="224" t="s">
        <v>4789</v>
      </c>
      <c r="N714" s="224" t="s">
        <v>4905</v>
      </c>
      <c r="O714" s="307">
        <f>20000*3</f>
        <v>60000</v>
      </c>
    </row>
    <row r="715" spans="1:19" x14ac:dyDescent="0.25">
      <c r="I715" s="224">
        <v>878</v>
      </c>
      <c r="J715" s="374">
        <f>(I715/0.6)-I715</f>
        <v>585.33333333333348</v>
      </c>
      <c r="M715" s="224" t="s">
        <v>4615</v>
      </c>
      <c r="N715" s="224" t="s">
        <v>4907</v>
      </c>
    </row>
    <row r="716" spans="1:19" x14ac:dyDescent="0.25">
      <c r="I716" s="224">
        <f>190*4</f>
        <v>760</v>
      </c>
      <c r="J716" s="374">
        <f>(I716/0.65)-I716</f>
        <v>409.23076923076928</v>
      </c>
      <c r="M716" s="224" t="s">
        <v>4615</v>
      </c>
      <c r="N716" s="224" t="s">
        <v>4686</v>
      </c>
    </row>
    <row r="717" spans="1:19" x14ac:dyDescent="0.25">
      <c r="I717" s="224">
        <f>190*40</f>
        <v>7600</v>
      </c>
      <c r="J717" s="374">
        <f>(I717/0.63)-I717</f>
        <v>4463.4920634920636</v>
      </c>
      <c r="M717" s="224" t="s">
        <v>4615</v>
      </c>
      <c r="N717" s="224" t="s">
        <v>4872</v>
      </c>
    </row>
    <row r="718" spans="1:19" x14ac:dyDescent="0.25">
      <c r="G718" s="389" t="s">
        <v>245</v>
      </c>
      <c r="I718" s="374">
        <f>SUM(I715:J717)</f>
        <v>14696.056166056165</v>
      </c>
      <c r="M718" t="s">
        <v>4615</v>
      </c>
      <c r="N718" t="s">
        <v>934</v>
      </c>
    </row>
    <row r="719" spans="1:19" x14ac:dyDescent="0.25">
      <c r="I719" s="224">
        <f>I717/1.5*18</f>
        <v>91200</v>
      </c>
      <c r="M719" s="224" t="s">
        <v>4514</v>
      </c>
      <c r="N719" s="224" t="s">
        <v>4908</v>
      </c>
    </row>
    <row r="720" spans="1:19" x14ac:dyDescent="0.25">
      <c r="I720" s="224"/>
      <c r="M720" s="224"/>
      <c r="N720" s="224"/>
    </row>
    <row r="721" spans="9:14" x14ac:dyDescent="0.25">
      <c r="I721" s="224"/>
      <c r="M721" s="224"/>
      <c r="N721" s="224"/>
    </row>
    <row r="722" spans="9:14" x14ac:dyDescent="0.25">
      <c r="I722" s="224"/>
      <c r="M722" s="224"/>
      <c r="N722" s="224"/>
    </row>
    <row r="1048576" spans="7:7" x14ac:dyDescent="0.25">
      <c r="G1048576" s="389"/>
    </row>
  </sheetData>
  <autoFilter ref="A1:N781"/>
  <conditionalFormatting sqref="F181:G183 F198:G200 F215:G217 F232:G234 F249:G251 F266:G268 F311:G311 F318:G318 F323:G323 F328:G328 F335:G335 F341:G341 F352:G352 F363:G363 F370:G370 F426:G426 F447:G447 F432:G433 F451:G452 F456:G457 F461:G464 F468:G471 F476:G479 F511:G512 F524:G524 F534:G534 F547:G547 F557:G557 F569:G574 F576:G576 F582:G582 F588:G589 F594:G595 F652:G652 F676:G676 F273:G274 F598:G599 F224:G225 F241:G242 F258:G259 F481:G484 F377:G377 F389:G393 F639:G639 F4:G53 F56:G66 F92:G100 F102:G105 F107:G110 F173:G179 F190:G196 F207:G213 F227:G230 F226 F244:G247 F243 F261:G264 F260 F283:G285 F282 F291:G292 F290 F287:G289 F286 F294:G295 F293 F297:G299 F296 F301:G301 F300 F303:G304 F302 F386:G386 F385 F387:F388 F397:G401 F394:F396 F405:G405 F404 F403:G403 F402 F407:G409 F406 F443:G443 F445:G445 F444 F487:G490 F498:G498 F497 F500:G501 F499 F634:G636 F633 F628:G632 F627 F626:G626 F625 F503:G503 F502 F505:G506 F504 F508:G508 F507 F509 F514:G514 F513 F516:G516 F515 F518:G518 F517 F520:G520 F519 F521 F526:G526 F525 F528:G528 F527 F530:G530 F529 F531 F536:G536 F535 F538:G540 F537 F542:G542 F541 F544:G544 F543 F549:G552 F548 F554:G554 F553 F559:G562 F558 F564:G564 F563 F624:G624 F623 F622:G622 F621 F620:G620 F619 F608:G618 F607 F606:G606 F605 F603:G604 F602 F601:G601 F600 F596 F592 F591:G591 F590 F586 F584:G585 F583 F578:G580 F577 F567:F568 F276:G281 F275 F379:G384 F378 F411:G416 F410 F435:G440 F434 F441:F442 F449:G449 F448 F454:G454 F453 F459:G459 F458 F466:G466 F465 F473:G473 F472 F475 F485:F486 F492:G496 F491 F68:G78 F80:G90 F112:G122 F124:G134 F136:G166 F637:F638 F641:G641 F640 F644:G646 F642:F643">
    <cfRule type="containsText" dxfId="127" priority="297" operator="containsText" text="CA">
      <formula>NOT(ISERROR(SEARCH("CA",F4)))</formula>
    </cfRule>
  </conditionalFormatting>
  <conditionalFormatting sqref="G180">
    <cfRule type="containsText" dxfId="126" priority="119" operator="containsText" text="CA">
      <formula>NOT(ISERROR(SEARCH("CA",G180)))</formula>
    </cfRule>
  </conditionalFormatting>
  <conditionalFormatting sqref="G197">
    <cfRule type="containsText" dxfId="125" priority="118" operator="containsText" text="CA">
      <formula>NOT(ISERROR(SEARCH("CA",G197)))</formula>
    </cfRule>
  </conditionalFormatting>
  <conditionalFormatting sqref="G214">
    <cfRule type="containsText" dxfId="124" priority="117" operator="containsText" text="CA">
      <formula>NOT(ISERROR(SEARCH("CA",G214)))</formula>
    </cfRule>
  </conditionalFormatting>
  <conditionalFormatting sqref="G231">
    <cfRule type="containsText" dxfId="123" priority="116" operator="containsText" text="CA">
      <formula>NOT(ISERROR(SEARCH("CA",G231)))</formula>
    </cfRule>
  </conditionalFormatting>
  <conditionalFormatting sqref="G1048576">
    <cfRule type="containsText" dxfId="122" priority="115" operator="containsText" text="CA">
      <formula>NOT(ISERROR(SEARCH("CA",G1048576)))</formula>
    </cfRule>
  </conditionalFormatting>
  <conditionalFormatting sqref="G248">
    <cfRule type="containsText" dxfId="121" priority="114" operator="containsText" text="CA">
      <formula>NOT(ISERROR(SEARCH("CA",G248)))</formula>
    </cfRule>
  </conditionalFormatting>
  <conditionalFormatting sqref="G265">
    <cfRule type="containsText" dxfId="120" priority="113" operator="containsText" text="CA">
      <formula>NOT(ISERROR(SEARCH("CA",G265)))</formula>
    </cfRule>
  </conditionalFormatting>
  <conditionalFormatting sqref="G309">
    <cfRule type="containsText" dxfId="119" priority="112" operator="containsText" text="CA">
      <formula>NOT(ISERROR(SEARCH("CA",G309)))</formula>
    </cfRule>
  </conditionalFormatting>
  <conditionalFormatting sqref="G316">
    <cfRule type="containsText" dxfId="118" priority="111" operator="containsText" text="CA">
      <formula>NOT(ISERROR(SEARCH("CA",G316)))</formula>
    </cfRule>
  </conditionalFormatting>
  <conditionalFormatting sqref="G333">
    <cfRule type="containsText" dxfId="117" priority="110" operator="containsText" text="CA">
      <formula>NOT(ISERROR(SEARCH("CA",G333)))</formula>
    </cfRule>
  </conditionalFormatting>
  <conditionalFormatting sqref="G340">
    <cfRule type="containsText" dxfId="116" priority="109" operator="containsText" text="CA">
      <formula>NOT(ISERROR(SEARCH("CA",G340)))</formula>
    </cfRule>
  </conditionalFormatting>
  <conditionalFormatting sqref="G350">
    <cfRule type="containsText" dxfId="115" priority="108" operator="containsText" text="CA">
      <formula>NOT(ISERROR(SEARCH("CA",G350)))</formula>
    </cfRule>
  </conditionalFormatting>
  <conditionalFormatting sqref="G361">
    <cfRule type="containsText" dxfId="114" priority="107" operator="containsText" text="CA">
      <formula>NOT(ISERROR(SEARCH("CA",G361)))</formula>
    </cfRule>
  </conditionalFormatting>
  <conditionalFormatting sqref="G368">
    <cfRule type="containsText" dxfId="113" priority="106" operator="containsText" text="CA">
      <formula>NOT(ISERROR(SEARCH("CA",G368)))</formula>
    </cfRule>
  </conditionalFormatting>
  <conditionalFormatting sqref="G376">
    <cfRule type="containsText" dxfId="112" priority="105" operator="containsText" text="CA">
      <formula>NOT(ISERROR(SEARCH("CA",G376)))</formula>
    </cfRule>
  </conditionalFormatting>
  <conditionalFormatting sqref="G419">
    <cfRule type="containsText" dxfId="111" priority="104" operator="containsText" text="CA">
      <formula>NOT(ISERROR(SEARCH("CA",G419)))</formula>
    </cfRule>
  </conditionalFormatting>
  <conditionalFormatting sqref="G170">
    <cfRule type="containsText" dxfId="110" priority="103" operator="containsText" text="CA">
      <formula>NOT(ISERROR(SEARCH("CA",G170)))</formula>
    </cfRule>
  </conditionalFormatting>
  <conditionalFormatting sqref="G172">
    <cfRule type="containsText" dxfId="109" priority="102" operator="containsText" text="CA">
      <formula>NOT(ISERROR(SEARCH("CA",G172)))</formula>
    </cfRule>
  </conditionalFormatting>
  <conditionalFormatting sqref="G187">
    <cfRule type="containsText" dxfId="108" priority="101" operator="containsText" text="CA">
      <formula>NOT(ISERROR(SEARCH("CA",G187)))</formula>
    </cfRule>
  </conditionalFormatting>
  <conditionalFormatting sqref="G189">
    <cfRule type="containsText" dxfId="107" priority="100" operator="containsText" text="CA">
      <formula>NOT(ISERROR(SEARCH("CA",G189)))</formula>
    </cfRule>
  </conditionalFormatting>
  <conditionalFormatting sqref="G204">
    <cfRule type="containsText" dxfId="106" priority="99" operator="containsText" text="CA">
      <formula>NOT(ISERROR(SEARCH("CA",G204)))</formula>
    </cfRule>
  </conditionalFormatting>
  <conditionalFormatting sqref="G206">
    <cfRule type="containsText" dxfId="105" priority="98" operator="containsText" text="CA">
      <formula>NOT(ISERROR(SEARCH("CA",G206)))</formula>
    </cfRule>
  </conditionalFormatting>
  <conditionalFormatting sqref="G221">
    <cfRule type="containsText" dxfId="104" priority="97" operator="containsText" text="CA">
      <formula>NOT(ISERROR(SEARCH("CA",G221)))</formula>
    </cfRule>
  </conditionalFormatting>
  <conditionalFormatting sqref="G223">
    <cfRule type="containsText" dxfId="102" priority="96" operator="containsText" text="CA">
      <formula>NOT(ISERROR(SEARCH("CA",G223)))</formula>
    </cfRule>
  </conditionalFormatting>
  <conditionalFormatting sqref="G226">
    <cfRule type="containsText" dxfId="101" priority="95" operator="containsText" text="CA">
      <formula>NOT(ISERROR(SEARCH("CA",G226)))</formula>
    </cfRule>
  </conditionalFormatting>
  <conditionalFormatting sqref="G238">
    <cfRule type="containsText" dxfId="100" priority="94" operator="containsText" text="CA">
      <formula>NOT(ISERROR(SEARCH("CA",G238)))</formula>
    </cfRule>
  </conditionalFormatting>
  <conditionalFormatting sqref="G240">
    <cfRule type="containsText" dxfId="99" priority="93" operator="containsText" text="CA">
      <formula>NOT(ISERROR(SEARCH("CA",G240)))</formula>
    </cfRule>
  </conditionalFormatting>
  <conditionalFormatting sqref="G243">
    <cfRule type="containsText" dxfId="98" priority="92" operator="containsText" text="CA">
      <formula>NOT(ISERROR(SEARCH("CA",G243)))</formula>
    </cfRule>
  </conditionalFormatting>
  <conditionalFormatting sqref="G255">
    <cfRule type="containsText" dxfId="97" priority="91" operator="containsText" text="CA">
      <formula>NOT(ISERROR(SEARCH("CA",G255)))</formula>
    </cfRule>
  </conditionalFormatting>
  <conditionalFormatting sqref="G257">
    <cfRule type="containsText" dxfId="96" priority="90" operator="containsText" text="CA">
      <formula>NOT(ISERROR(SEARCH("CA",G257)))</formula>
    </cfRule>
  </conditionalFormatting>
  <conditionalFormatting sqref="G260">
    <cfRule type="containsText" dxfId="95" priority="89" operator="containsText" text="CA">
      <formula>NOT(ISERROR(SEARCH("CA",G260)))</formula>
    </cfRule>
  </conditionalFormatting>
  <conditionalFormatting sqref="G282">
    <cfRule type="containsText" dxfId="94" priority="88" operator="containsText" text="CA">
      <formula>NOT(ISERROR(SEARCH("CA",G282)))</formula>
    </cfRule>
  </conditionalFormatting>
  <conditionalFormatting sqref="G290">
    <cfRule type="containsText" dxfId="93" priority="87" operator="containsText" text="CA">
      <formula>NOT(ISERROR(SEARCH("CA",G290)))</formula>
    </cfRule>
  </conditionalFormatting>
  <conditionalFormatting sqref="G286">
    <cfRule type="containsText" dxfId="92" priority="86" operator="containsText" text="CA">
      <formula>NOT(ISERROR(SEARCH("CA",G286)))</formula>
    </cfRule>
  </conditionalFormatting>
  <conditionalFormatting sqref="G293">
    <cfRule type="containsText" dxfId="91" priority="85" operator="containsText" text="CA">
      <formula>NOT(ISERROR(SEARCH("CA",G293)))</formula>
    </cfRule>
  </conditionalFormatting>
  <conditionalFormatting sqref="G296">
    <cfRule type="containsText" dxfId="90" priority="84" operator="containsText" text="CA">
      <formula>NOT(ISERROR(SEARCH("CA",G296)))</formula>
    </cfRule>
  </conditionalFormatting>
  <conditionalFormatting sqref="G300">
    <cfRule type="containsText" dxfId="89" priority="83" operator="containsText" text="CA">
      <formula>NOT(ISERROR(SEARCH("CA",G300)))</formula>
    </cfRule>
  </conditionalFormatting>
  <conditionalFormatting sqref="G302">
    <cfRule type="containsText" dxfId="88" priority="82" operator="containsText" text="CA">
      <formula>NOT(ISERROR(SEARCH("CA",G302)))</formula>
    </cfRule>
  </conditionalFormatting>
  <conditionalFormatting sqref="G306">
    <cfRule type="containsText" dxfId="87" priority="81" operator="containsText" text="CA">
      <formula>NOT(ISERROR(SEARCH("CA",G306)))</formula>
    </cfRule>
  </conditionalFormatting>
  <conditionalFormatting sqref="G308">
    <cfRule type="containsText" dxfId="86" priority="80" operator="containsText" text="CA">
      <formula>NOT(ISERROR(SEARCH("CA",G308)))</formula>
    </cfRule>
  </conditionalFormatting>
  <conditionalFormatting sqref="G315">
    <cfRule type="containsText" dxfId="85" priority="79" operator="containsText" text="CA">
      <formula>NOT(ISERROR(SEARCH("CA",G315)))</formula>
    </cfRule>
  </conditionalFormatting>
  <conditionalFormatting sqref="G313">
    <cfRule type="containsText" dxfId="84" priority="78" operator="containsText" text="CA">
      <formula>NOT(ISERROR(SEARCH("CA",G313)))</formula>
    </cfRule>
  </conditionalFormatting>
  <conditionalFormatting sqref="G320">
    <cfRule type="containsText" dxfId="83" priority="77" operator="containsText" text="CA">
      <formula>NOT(ISERROR(SEARCH("CA",G320)))</formula>
    </cfRule>
  </conditionalFormatting>
  <conditionalFormatting sqref="G322">
    <cfRule type="containsText" dxfId="82" priority="76" operator="containsText" text="CA">
      <formula>NOT(ISERROR(SEARCH("CA",G322)))</formula>
    </cfRule>
  </conditionalFormatting>
  <conditionalFormatting sqref="G325">
    <cfRule type="containsText" dxfId="81" priority="75" operator="containsText" text="CA">
      <formula>NOT(ISERROR(SEARCH("CA",G325)))</formula>
    </cfRule>
  </conditionalFormatting>
  <conditionalFormatting sqref="G327">
    <cfRule type="containsText" dxfId="80" priority="74" operator="containsText" text="CA">
      <formula>NOT(ISERROR(SEARCH("CA",G327)))</formula>
    </cfRule>
  </conditionalFormatting>
  <conditionalFormatting sqref="G330">
    <cfRule type="containsText" dxfId="79" priority="73" operator="containsText" text="CA">
      <formula>NOT(ISERROR(SEARCH("CA",G330)))</formula>
    </cfRule>
  </conditionalFormatting>
  <conditionalFormatting sqref="G332">
    <cfRule type="containsText" dxfId="78" priority="72" operator="containsText" text="CA">
      <formula>NOT(ISERROR(SEARCH("CA",G332)))</formula>
    </cfRule>
  </conditionalFormatting>
  <conditionalFormatting sqref="G339">
    <cfRule type="containsText" dxfId="77" priority="71" operator="containsText" text="CA">
      <formula>NOT(ISERROR(SEARCH("CA",G339)))</formula>
    </cfRule>
  </conditionalFormatting>
  <conditionalFormatting sqref="G337">
    <cfRule type="containsText" dxfId="76" priority="70" operator="containsText" text="CA">
      <formula>NOT(ISERROR(SEARCH("CA",G337)))</formula>
    </cfRule>
  </conditionalFormatting>
  <conditionalFormatting sqref="G343">
    <cfRule type="containsText" dxfId="75" priority="69" operator="containsText" text="CA">
      <formula>NOT(ISERROR(SEARCH("CA",G343)))</formula>
    </cfRule>
  </conditionalFormatting>
  <conditionalFormatting sqref="G345">
    <cfRule type="containsText" dxfId="74" priority="68" operator="containsText" text="CA">
      <formula>NOT(ISERROR(SEARCH("CA",G345)))</formula>
    </cfRule>
  </conditionalFormatting>
  <conditionalFormatting sqref="G349">
    <cfRule type="containsText" dxfId="73" priority="67" operator="containsText" text="CA">
      <formula>NOT(ISERROR(SEARCH("CA",G349)))</formula>
    </cfRule>
  </conditionalFormatting>
  <conditionalFormatting sqref="G354">
    <cfRule type="containsText" dxfId="72" priority="66" operator="containsText" text="CA">
      <formula>NOT(ISERROR(SEARCH("CA",G354)))</formula>
    </cfRule>
  </conditionalFormatting>
  <conditionalFormatting sqref="G356">
    <cfRule type="containsText" dxfId="71" priority="65" operator="containsText" text="CA">
      <formula>NOT(ISERROR(SEARCH("CA",G356)))</formula>
    </cfRule>
  </conditionalFormatting>
  <conditionalFormatting sqref="G360">
    <cfRule type="containsText" dxfId="70" priority="64" operator="containsText" text="CA">
      <formula>NOT(ISERROR(SEARCH("CA",G360)))</formula>
    </cfRule>
  </conditionalFormatting>
  <conditionalFormatting sqref="G367">
    <cfRule type="containsText" dxfId="69" priority="63" operator="containsText" text="CA">
      <formula>NOT(ISERROR(SEARCH("CA",G367)))</formula>
    </cfRule>
  </conditionalFormatting>
  <conditionalFormatting sqref="G365">
    <cfRule type="containsText" dxfId="68" priority="62" operator="containsText" text="CA">
      <formula>NOT(ISERROR(SEARCH("CA",G365)))</formula>
    </cfRule>
  </conditionalFormatting>
  <conditionalFormatting sqref="G375">
    <cfRule type="containsText" dxfId="67" priority="61" operator="containsText" text="CA">
      <formula>NOT(ISERROR(SEARCH("CA",G375)))</formula>
    </cfRule>
  </conditionalFormatting>
  <conditionalFormatting sqref="G372">
    <cfRule type="containsText" dxfId="66" priority="60" operator="containsText" text="CA">
      <formula>NOT(ISERROR(SEARCH("CA",G372)))</formula>
    </cfRule>
  </conditionalFormatting>
  <conditionalFormatting sqref="G385">
    <cfRule type="containsText" dxfId="65" priority="59" operator="containsText" text="CA">
      <formula>NOT(ISERROR(SEARCH("CA",G385)))</formula>
    </cfRule>
  </conditionalFormatting>
  <conditionalFormatting sqref="G388">
    <cfRule type="containsText" dxfId="64" priority="58" operator="containsText" text="CA">
      <formula>NOT(ISERROR(SEARCH("CA",G388)))</formula>
    </cfRule>
  </conditionalFormatting>
  <conditionalFormatting sqref="G394">
    <cfRule type="containsText" dxfId="63" priority="57" operator="containsText" text="CA">
      <formula>NOT(ISERROR(SEARCH("CA",G394)))</formula>
    </cfRule>
  </conditionalFormatting>
  <conditionalFormatting sqref="G396">
    <cfRule type="containsText" dxfId="62" priority="56" operator="containsText" text="CA">
      <formula>NOT(ISERROR(SEARCH("CA",G396)))</formula>
    </cfRule>
  </conditionalFormatting>
  <conditionalFormatting sqref="G404">
    <cfRule type="containsText" dxfId="61" priority="55" operator="containsText" text="CA">
      <formula>NOT(ISERROR(SEARCH("CA",G404)))</formula>
    </cfRule>
  </conditionalFormatting>
  <conditionalFormatting sqref="G402">
    <cfRule type="containsText" dxfId="60" priority="54" operator="containsText" text="CA">
      <formula>NOT(ISERROR(SEARCH("CA",G402)))</formula>
    </cfRule>
  </conditionalFormatting>
  <conditionalFormatting sqref="G420">
    <cfRule type="containsText" dxfId="59" priority="53" operator="containsText" text="CA">
      <formula>NOT(ISERROR(SEARCH("CA",G420)))</formula>
    </cfRule>
  </conditionalFormatting>
  <conditionalFormatting sqref="G406">
    <cfRule type="containsText" dxfId="58" priority="52" operator="containsText" text="CA">
      <formula>NOT(ISERROR(SEARCH("CA",G406)))</formula>
    </cfRule>
  </conditionalFormatting>
  <conditionalFormatting sqref="G422">
    <cfRule type="containsText" dxfId="57" priority="51" operator="containsText" text="CA">
      <formula>NOT(ISERROR(SEARCH("CA",G422)))</formula>
    </cfRule>
  </conditionalFormatting>
  <conditionalFormatting sqref="G442">
    <cfRule type="containsText" dxfId="56" priority="50" operator="containsText" text="CA">
      <formula>NOT(ISERROR(SEARCH("CA",G442)))</formula>
    </cfRule>
  </conditionalFormatting>
  <conditionalFormatting sqref="G444">
    <cfRule type="containsText" dxfId="55" priority="49" operator="containsText" text="CA">
      <formula>NOT(ISERROR(SEARCH("CA",G444)))</formula>
    </cfRule>
  </conditionalFormatting>
  <conditionalFormatting sqref="G485">
    <cfRule type="containsText" dxfId="54" priority="48" operator="containsText" text="CA">
      <formula>NOT(ISERROR(SEARCH("CA",G485)))</formula>
    </cfRule>
  </conditionalFormatting>
  <conditionalFormatting sqref="G497">
    <cfRule type="containsText" dxfId="53" priority="47" operator="containsText" text="CA">
      <formula>NOT(ISERROR(SEARCH("CA",G497)))</formula>
    </cfRule>
  </conditionalFormatting>
  <conditionalFormatting sqref="G499">
    <cfRule type="containsText" dxfId="52" priority="46" operator="containsText" text="CA">
      <formula>NOT(ISERROR(SEARCH("CA",G499)))</formula>
    </cfRule>
  </conditionalFormatting>
  <conditionalFormatting sqref="G633">
    <cfRule type="containsText" dxfId="51" priority="45" operator="containsText" text="CA">
      <formula>NOT(ISERROR(SEARCH("CA",G633)))</formula>
    </cfRule>
  </conditionalFormatting>
  <conditionalFormatting sqref="G627">
    <cfRule type="containsText" dxfId="50" priority="44" operator="containsText" text="CA">
      <formula>NOT(ISERROR(SEARCH("CA",G627)))</formula>
    </cfRule>
  </conditionalFormatting>
  <conditionalFormatting sqref="G625">
    <cfRule type="containsText" dxfId="49" priority="43" operator="containsText" text="CA">
      <formula>NOT(ISERROR(SEARCH("CA",G625)))</formula>
    </cfRule>
  </conditionalFormatting>
  <conditionalFormatting sqref="G502">
    <cfRule type="containsText" dxfId="48" priority="42" operator="containsText" text="CA">
      <formula>NOT(ISERROR(SEARCH("CA",G502)))</formula>
    </cfRule>
  </conditionalFormatting>
  <conditionalFormatting sqref="G504">
    <cfRule type="containsText" dxfId="47" priority="41" operator="containsText" text="CA">
      <formula>NOT(ISERROR(SEARCH("CA",G504)))</formula>
    </cfRule>
  </conditionalFormatting>
  <conditionalFormatting sqref="G507">
    <cfRule type="containsText" dxfId="46" priority="40" operator="containsText" text="CA">
      <formula>NOT(ISERROR(SEARCH("CA",G507)))</formula>
    </cfRule>
  </conditionalFormatting>
  <conditionalFormatting sqref="G509">
    <cfRule type="containsText" dxfId="45" priority="39" operator="containsText" text="CA">
      <formula>NOT(ISERROR(SEARCH("CA",G509)))</formula>
    </cfRule>
  </conditionalFormatting>
  <conditionalFormatting sqref="G513">
    <cfRule type="containsText" dxfId="44" priority="38" operator="containsText" text="CA">
      <formula>NOT(ISERROR(SEARCH("CA",G513)))</formula>
    </cfRule>
  </conditionalFormatting>
  <conditionalFormatting sqref="G515">
    <cfRule type="containsText" dxfId="43" priority="37" operator="containsText" text="CA">
      <formula>NOT(ISERROR(SEARCH("CA",G515)))</formula>
    </cfRule>
  </conditionalFormatting>
  <conditionalFormatting sqref="G517">
    <cfRule type="containsText" dxfId="42" priority="36" operator="containsText" text="CA">
      <formula>NOT(ISERROR(SEARCH("CA",G517)))</formula>
    </cfRule>
  </conditionalFormatting>
  <conditionalFormatting sqref="G519">
    <cfRule type="containsText" dxfId="41" priority="35" operator="containsText" text="CA">
      <formula>NOT(ISERROR(SEARCH("CA",G519)))</formula>
    </cfRule>
  </conditionalFormatting>
  <conditionalFormatting sqref="G521">
    <cfRule type="containsText" dxfId="40" priority="34" operator="containsText" text="CA">
      <formula>NOT(ISERROR(SEARCH("CA",G521)))</formula>
    </cfRule>
  </conditionalFormatting>
  <conditionalFormatting sqref="G525">
    <cfRule type="containsText" dxfId="39" priority="33" operator="containsText" text="CA">
      <formula>NOT(ISERROR(SEARCH("CA",G525)))</formula>
    </cfRule>
  </conditionalFormatting>
  <conditionalFormatting sqref="G527">
    <cfRule type="containsText" dxfId="38" priority="32" operator="containsText" text="CA">
      <formula>NOT(ISERROR(SEARCH("CA",G527)))</formula>
    </cfRule>
  </conditionalFormatting>
  <conditionalFormatting sqref="G529">
    <cfRule type="containsText" dxfId="37" priority="31" operator="containsText" text="CA">
      <formula>NOT(ISERROR(SEARCH("CA",G529)))</formula>
    </cfRule>
  </conditionalFormatting>
  <conditionalFormatting sqref="G531">
    <cfRule type="containsText" dxfId="36" priority="30" operator="containsText" text="CA">
      <formula>NOT(ISERROR(SEARCH("CA",G531)))</formula>
    </cfRule>
  </conditionalFormatting>
  <conditionalFormatting sqref="G535">
    <cfRule type="containsText" dxfId="35" priority="29" operator="containsText" text="CA">
      <formula>NOT(ISERROR(SEARCH("CA",G535)))</formula>
    </cfRule>
  </conditionalFormatting>
  <conditionalFormatting sqref="G537">
    <cfRule type="containsText" dxfId="34" priority="28" operator="containsText" text="CA">
      <formula>NOT(ISERROR(SEARCH("CA",G537)))</formula>
    </cfRule>
  </conditionalFormatting>
  <conditionalFormatting sqref="G541">
    <cfRule type="containsText" dxfId="33" priority="27" operator="containsText" text="CA">
      <formula>NOT(ISERROR(SEARCH("CA",G541)))</formula>
    </cfRule>
  </conditionalFormatting>
  <conditionalFormatting sqref="G543">
    <cfRule type="containsText" dxfId="32" priority="26" operator="containsText" text="CA">
      <formula>NOT(ISERROR(SEARCH("CA",G543)))</formula>
    </cfRule>
  </conditionalFormatting>
  <conditionalFormatting sqref="G548">
    <cfRule type="containsText" dxfId="31" priority="25" operator="containsText" text="CA">
      <formula>NOT(ISERROR(SEARCH("CA",G548)))</formula>
    </cfRule>
  </conditionalFormatting>
  <conditionalFormatting sqref="G553">
    <cfRule type="containsText" dxfId="30" priority="24" operator="containsText" text="CA">
      <formula>NOT(ISERROR(SEARCH("CA",G553)))</formula>
    </cfRule>
  </conditionalFormatting>
  <conditionalFormatting sqref="G558">
    <cfRule type="containsText" dxfId="29" priority="23" operator="containsText" text="CA">
      <formula>NOT(ISERROR(SEARCH("CA",G558)))</formula>
    </cfRule>
  </conditionalFormatting>
  <conditionalFormatting sqref="G563">
    <cfRule type="containsText" dxfId="28" priority="22" operator="containsText" text="CA">
      <formula>NOT(ISERROR(SEARCH("CA",G563)))</formula>
    </cfRule>
  </conditionalFormatting>
  <conditionalFormatting sqref="G623">
    <cfRule type="containsText" dxfId="27" priority="21" operator="containsText" text="CA">
      <formula>NOT(ISERROR(SEARCH("CA",G623)))</formula>
    </cfRule>
  </conditionalFormatting>
  <conditionalFormatting sqref="G621">
    <cfRule type="containsText" dxfId="26" priority="20" operator="containsText" text="CA">
      <formula>NOT(ISERROR(SEARCH("CA",G621)))</formula>
    </cfRule>
  </conditionalFormatting>
  <conditionalFormatting sqref="G619">
    <cfRule type="containsText" dxfId="25" priority="19" operator="containsText" text="CA">
      <formula>NOT(ISERROR(SEARCH("CA",G619)))</formula>
    </cfRule>
  </conditionalFormatting>
  <conditionalFormatting sqref="G607">
    <cfRule type="containsText" dxfId="24" priority="18" operator="containsText" text="CA">
      <formula>NOT(ISERROR(SEARCH("CA",G607)))</formula>
    </cfRule>
  </conditionalFormatting>
  <conditionalFormatting sqref="G605">
    <cfRule type="containsText" dxfId="23" priority="17" operator="containsText" text="CA">
      <formula>NOT(ISERROR(SEARCH("CA",G605)))</formula>
    </cfRule>
  </conditionalFormatting>
  <conditionalFormatting sqref="G602">
    <cfRule type="containsText" dxfId="22" priority="16" operator="containsText" text="CA">
      <formula>NOT(ISERROR(SEARCH("CA",G602)))</formula>
    </cfRule>
  </conditionalFormatting>
  <conditionalFormatting sqref="G600">
    <cfRule type="containsText" dxfId="21" priority="15" operator="containsText" text="CA">
      <formula>NOT(ISERROR(SEARCH("CA",G600)))</formula>
    </cfRule>
  </conditionalFormatting>
  <conditionalFormatting sqref="G596">
    <cfRule type="containsText" dxfId="20" priority="14" operator="containsText" text="CA">
      <formula>NOT(ISERROR(SEARCH("CA",G596)))</formula>
    </cfRule>
  </conditionalFormatting>
  <conditionalFormatting sqref="G592">
    <cfRule type="containsText" dxfId="19" priority="13" operator="containsText" text="CA">
      <formula>NOT(ISERROR(SEARCH("CA",G592)))</formula>
    </cfRule>
  </conditionalFormatting>
  <conditionalFormatting sqref="G590">
    <cfRule type="containsText" dxfId="18" priority="12" operator="containsText" text="CA">
      <formula>NOT(ISERROR(SEARCH("CA",G590)))</formula>
    </cfRule>
  </conditionalFormatting>
  <conditionalFormatting sqref="G586">
    <cfRule type="containsText" dxfId="17" priority="11" operator="containsText" text="CA">
      <formula>NOT(ISERROR(SEARCH("CA",G586)))</formula>
    </cfRule>
  </conditionalFormatting>
  <conditionalFormatting sqref="G583">
    <cfRule type="containsText" dxfId="16" priority="10" operator="containsText" text="CA">
      <formula>NOT(ISERROR(SEARCH("CA",G583)))</formula>
    </cfRule>
  </conditionalFormatting>
  <conditionalFormatting sqref="G577">
    <cfRule type="containsText" dxfId="15" priority="9" operator="containsText" text="CA">
      <formula>NOT(ISERROR(SEARCH("CA",G577)))</formula>
    </cfRule>
  </conditionalFormatting>
  <conditionalFormatting sqref="G568">
    <cfRule type="containsText" dxfId="14" priority="8" operator="containsText" text="CA">
      <formula>NOT(ISERROR(SEARCH("CA",G568)))</formula>
    </cfRule>
  </conditionalFormatting>
  <conditionalFormatting sqref="G637">
    <cfRule type="containsText" dxfId="13" priority="7" operator="containsText" text="CA">
      <formula>NOT(ISERROR(SEARCH("CA",G637)))</formula>
    </cfRule>
  </conditionalFormatting>
  <conditionalFormatting sqref="G640">
    <cfRule type="containsText" dxfId="11" priority="6" operator="containsText" text="CA">
      <formula>NOT(ISERROR(SEARCH("CA",G640)))</formula>
    </cfRule>
  </conditionalFormatting>
  <conditionalFormatting sqref="G642">
    <cfRule type="containsText" dxfId="9" priority="5" operator="containsText" text="CA">
      <formula>NOT(ISERROR(SEARCH("CA",G642)))</formula>
    </cfRule>
  </conditionalFormatting>
  <conditionalFormatting sqref="G663">
    <cfRule type="containsText" dxfId="7" priority="4" operator="containsText" text="CA">
      <formula>NOT(ISERROR(SEARCH("CA",G663)))</formula>
    </cfRule>
  </conditionalFormatting>
  <conditionalFormatting sqref="G687">
    <cfRule type="containsText" dxfId="5" priority="3" operator="containsText" text="CA">
      <formula>NOT(ISERROR(SEARCH("CA",G687)))</formula>
    </cfRule>
  </conditionalFormatting>
  <conditionalFormatting sqref="G718">
    <cfRule type="containsText" dxfId="3" priority="2" operator="containsText" text="CA">
      <formula>NOT(ISERROR(SEARCH("CA",G718)))</formula>
    </cfRule>
  </conditionalFormatting>
  <conditionalFormatting sqref="G643">
    <cfRule type="containsText" dxfId="1" priority="1" operator="containsText" text="CA">
      <formula>NOT(ISERROR(SEARCH("CA",G643)))</formula>
    </cfRule>
  </conditionalFormatting>
  <printOptions gridLines="1"/>
  <pageMargins left="0.11811023622047245" right="0.11811023622047245" top="0.78740157480314965" bottom="0.78740157480314965" header="0.31496062992125984" footer="0.31496062992125984"/>
  <pageSetup paperSize="8"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907"/>
  <sheetViews>
    <sheetView topLeftCell="C1" zoomScale="85" zoomScaleNormal="85" workbookViewId="0">
      <pane ySplit="8" topLeftCell="A16" activePane="bottomLeft" state="frozen"/>
      <selection pane="bottomLeft" activeCell="C30" sqref="C30"/>
    </sheetView>
  </sheetViews>
  <sheetFormatPr defaultColWidth="9.140625" defaultRowHeight="12.75" x14ac:dyDescent="0.2"/>
  <cols>
    <col min="1" max="1" width="9.28515625" style="113" bestFit="1" customWidth="1"/>
    <col min="2" max="2" width="9.28515625" style="113" customWidth="1"/>
    <col min="3" max="3" width="64.85546875" style="115" customWidth="1"/>
    <col min="4" max="4" width="13.7109375" style="117" bestFit="1" customWidth="1"/>
    <col min="5" max="5" width="12.7109375" style="116" bestFit="1" customWidth="1"/>
    <col min="6" max="7" width="17.28515625" style="116" customWidth="1"/>
    <col min="8" max="8" width="17.85546875" style="199" customWidth="1"/>
    <col min="9" max="9" width="20" style="199" customWidth="1"/>
    <col min="10" max="10" width="37" style="115" bestFit="1" customWidth="1"/>
    <col min="11" max="11" width="23.7109375" style="115" customWidth="1"/>
    <col min="12" max="12" width="22.85546875" style="114" bestFit="1" customWidth="1"/>
    <col min="13" max="16384" width="9.140625" style="112"/>
  </cols>
  <sheetData>
    <row r="1" spans="1:12" ht="15" customHeight="1" x14ac:dyDescent="0.2">
      <c r="A1" s="112" t="s">
        <v>4420</v>
      </c>
      <c r="B1" s="113" t="s">
        <v>4423</v>
      </c>
      <c r="D1" s="112"/>
      <c r="H1" s="117"/>
      <c r="I1" s="117"/>
    </row>
    <row r="2" spans="1:12" ht="15" customHeight="1" thickBot="1" x14ac:dyDescent="0.25">
      <c r="A2" s="387" t="s">
        <v>4396</v>
      </c>
      <c r="B2" s="387"/>
      <c r="C2" s="387"/>
      <c r="D2" s="112"/>
      <c r="H2" s="222"/>
      <c r="I2" s="222"/>
    </row>
    <row r="3" spans="1:12" ht="15.75" x14ac:dyDescent="0.25">
      <c r="A3" s="227" t="s">
        <v>4397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9"/>
    </row>
    <row r="4" spans="1:12" ht="15.75" x14ac:dyDescent="0.25">
      <c r="A4" s="230" t="s">
        <v>4398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2"/>
    </row>
    <row r="5" spans="1:12" ht="15" customHeight="1" x14ac:dyDescent="0.2">
      <c r="A5" s="233" t="s">
        <v>4399</v>
      </c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5"/>
    </row>
    <row r="6" spans="1:12" ht="15" customHeight="1" x14ac:dyDescent="0.2">
      <c r="A6" s="233"/>
      <c r="B6" s="234"/>
      <c r="C6" s="234"/>
      <c r="D6" s="234"/>
      <c r="E6" s="234"/>
      <c r="F6" s="234"/>
      <c r="G6" s="234"/>
      <c r="H6" s="234"/>
      <c r="I6" s="234"/>
      <c r="J6" s="234"/>
      <c r="K6" s="234"/>
      <c r="L6" s="235"/>
    </row>
    <row r="7" spans="1:12" ht="13.5" thickBot="1" x14ac:dyDescent="0.25">
      <c r="A7" s="256"/>
      <c r="B7" s="257"/>
      <c r="C7" s="258"/>
      <c r="D7" s="259"/>
      <c r="E7" s="260"/>
      <c r="F7" s="260"/>
      <c r="G7" s="261"/>
      <c r="H7" s="255"/>
      <c r="I7" s="255"/>
      <c r="J7" s="258"/>
      <c r="K7" s="258"/>
      <c r="L7" s="262"/>
    </row>
    <row r="8" spans="1:12" ht="45.75" thickBot="1" x14ac:dyDescent="0.25">
      <c r="A8" s="250" t="s">
        <v>1349</v>
      </c>
      <c r="B8" s="251" t="s">
        <v>4419</v>
      </c>
      <c r="C8" s="252" t="s">
        <v>4426</v>
      </c>
      <c r="D8" s="252" t="s">
        <v>1350</v>
      </c>
      <c r="E8" s="253" t="s">
        <v>1351</v>
      </c>
      <c r="F8" s="7" t="s">
        <v>1352</v>
      </c>
      <c r="G8" s="7"/>
      <c r="H8" s="7" t="s">
        <v>4421</v>
      </c>
      <c r="I8" s="254" t="s">
        <v>1353</v>
      </c>
      <c r="J8" s="254" t="s">
        <v>1349</v>
      </c>
      <c r="K8" s="254" t="s">
        <v>4422</v>
      </c>
      <c r="L8" s="254" t="s">
        <v>4424</v>
      </c>
    </row>
    <row r="9" spans="1:12" ht="15.75" thickBot="1" x14ac:dyDescent="0.25">
      <c r="A9" s="118"/>
      <c r="B9" s="236"/>
      <c r="C9" s="150" t="s">
        <v>1355</v>
      </c>
      <c r="D9" s="121"/>
      <c r="E9" s="122"/>
      <c r="F9" s="122"/>
      <c r="G9" s="263"/>
      <c r="H9" s="263"/>
      <c r="I9" s="264"/>
      <c r="J9" s="265"/>
      <c r="K9" s="265"/>
      <c r="L9" s="265"/>
    </row>
    <row r="10" spans="1:12" ht="13.5" thickBot="1" x14ac:dyDescent="0.25">
      <c r="A10" s="118">
        <v>1</v>
      </c>
      <c r="B10" s="236"/>
      <c r="C10" s="150" t="str">
        <f>K10</f>
        <v>SERVIÇOS PRELIMINARES</v>
      </c>
      <c r="D10" s="121"/>
      <c r="E10" s="122"/>
      <c r="F10" s="122"/>
      <c r="G10" s="122"/>
      <c r="H10" s="123"/>
      <c r="I10" s="124"/>
      <c r="J10" s="120" t="s">
        <v>1355</v>
      </c>
      <c r="K10" s="120" t="s">
        <v>1356</v>
      </c>
      <c r="L10" s="119">
        <v>21</v>
      </c>
    </row>
    <row r="11" spans="1:12" x14ac:dyDescent="0.2">
      <c r="A11" s="126" t="s">
        <v>1358</v>
      </c>
      <c r="B11" s="237"/>
      <c r="C11" s="128" t="s">
        <v>1360</v>
      </c>
      <c r="D11" s="129" t="s">
        <v>1361</v>
      </c>
      <c r="E11" s="130">
        <v>400</v>
      </c>
      <c r="F11" s="130"/>
      <c r="G11" s="130"/>
      <c r="H11" s="131">
        <v>12.03</v>
      </c>
      <c r="I11" s="132">
        <f>E11*H11</f>
        <v>4812</v>
      </c>
      <c r="J11" s="128" t="s">
        <v>1355</v>
      </c>
      <c r="K11" s="128" t="s">
        <v>1356</v>
      </c>
      <c r="L11" s="127" t="s">
        <v>1359</v>
      </c>
    </row>
    <row r="12" spans="1:12" x14ac:dyDescent="0.2">
      <c r="A12" s="133" t="s">
        <v>1363</v>
      </c>
      <c r="B12" s="238"/>
      <c r="C12" s="135" t="s">
        <v>1365</v>
      </c>
      <c r="D12" s="129" t="s">
        <v>1361</v>
      </c>
      <c r="E12" s="136">
        <v>200</v>
      </c>
      <c r="F12" s="136"/>
      <c r="G12" s="136"/>
      <c r="H12" s="137">
        <v>43.91</v>
      </c>
      <c r="I12" s="138">
        <f t="shared" ref="I12:I39" si="0">E12*H12</f>
        <v>8782</v>
      </c>
      <c r="J12" s="135" t="s">
        <v>1355</v>
      </c>
      <c r="K12" s="135" t="s">
        <v>1356</v>
      </c>
      <c r="L12" s="134" t="s">
        <v>1364</v>
      </c>
    </row>
    <row r="13" spans="1:12" x14ac:dyDescent="0.2">
      <c r="A13" s="133" t="s">
        <v>1367</v>
      </c>
      <c r="B13" s="238"/>
      <c r="C13" s="135" t="s">
        <v>1369</v>
      </c>
      <c r="D13" s="129" t="s">
        <v>1361</v>
      </c>
      <c r="E13" s="136">
        <v>18670.46</v>
      </c>
      <c r="F13" s="136"/>
      <c r="G13" s="136"/>
      <c r="H13" s="137">
        <v>17.64</v>
      </c>
      <c r="I13" s="138">
        <f t="shared" si="0"/>
        <v>329346.91440000001</v>
      </c>
      <c r="J13" s="135" t="s">
        <v>1355</v>
      </c>
      <c r="K13" s="135" t="s">
        <v>1356</v>
      </c>
      <c r="L13" s="134" t="s">
        <v>1368</v>
      </c>
    </row>
    <row r="14" spans="1:12" x14ac:dyDescent="0.2">
      <c r="A14" s="133" t="s">
        <v>1371</v>
      </c>
      <c r="B14" s="238"/>
      <c r="C14" s="135" t="s">
        <v>1373</v>
      </c>
      <c r="D14" s="139" t="s">
        <v>1374</v>
      </c>
      <c r="E14" s="136">
        <v>39039.410000000003</v>
      </c>
      <c r="F14" s="136"/>
      <c r="G14" s="136"/>
      <c r="H14" s="137">
        <v>294.37</v>
      </c>
      <c r="I14" s="138">
        <f t="shared" si="0"/>
        <v>11492031.121700002</v>
      </c>
      <c r="J14" s="135" t="s">
        <v>1355</v>
      </c>
      <c r="K14" s="135" t="s">
        <v>1356</v>
      </c>
      <c r="L14" s="134" t="s">
        <v>1372</v>
      </c>
    </row>
    <row r="15" spans="1:12" ht="14.25" customHeight="1" x14ac:dyDescent="0.2">
      <c r="A15" s="133" t="s">
        <v>1376</v>
      </c>
      <c r="B15" s="238"/>
      <c r="C15" s="135" t="s">
        <v>1378</v>
      </c>
      <c r="D15" s="139" t="s">
        <v>1374</v>
      </c>
      <c r="E15" s="136">
        <v>63709.51</v>
      </c>
      <c r="F15" s="136"/>
      <c r="G15" s="136"/>
      <c r="H15" s="137">
        <v>154.29</v>
      </c>
      <c r="I15" s="138">
        <f>(E15*H15)-0.008</f>
        <v>9829740.2899000011</v>
      </c>
      <c r="J15" s="135" t="s">
        <v>1355</v>
      </c>
      <c r="K15" s="135" t="s">
        <v>1356</v>
      </c>
      <c r="L15" s="134" t="s">
        <v>1377</v>
      </c>
    </row>
    <row r="16" spans="1:12" ht="14.25" customHeight="1" x14ac:dyDescent="0.2">
      <c r="A16" s="133" t="s">
        <v>1380</v>
      </c>
      <c r="B16" s="238"/>
      <c r="C16" s="135" t="s">
        <v>1382</v>
      </c>
      <c r="D16" s="139" t="s">
        <v>1383</v>
      </c>
      <c r="E16" s="136">
        <v>66412.679999999993</v>
      </c>
      <c r="F16" s="136"/>
      <c r="G16" s="136"/>
      <c r="H16" s="137">
        <v>35.6</v>
      </c>
      <c r="I16" s="138">
        <f t="shared" si="0"/>
        <v>2364291.4079999998</v>
      </c>
      <c r="J16" s="135" t="s">
        <v>1355</v>
      </c>
      <c r="K16" s="135" t="s">
        <v>1356</v>
      </c>
      <c r="L16" s="134" t="s">
        <v>1381</v>
      </c>
    </row>
    <row r="17" spans="1:12" x14ac:dyDescent="0.2">
      <c r="A17" s="133" t="s">
        <v>1385</v>
      </c>
      <c r="B17" s="238"/>
      <c r="C17" s="135" t="s">
        <v>1387</v>
      </c>
      <c r="D17" s="139" t="s">
        <v>1383</v>
      </c>
      <c r="E17" s="136">
        <v>34516.269999999997</v>
      </c>
      <c r="F17" s="136"/>
      <c r="G17" s="136"/>
      <c r="H17" s="137">
        <v>13.19</v>
      </c>
      <c r="I17" s="138">
        <f t="shared" si="0"/>
        <v>455269.60129999992</v>
      </c>
      <c r="J17" s="135" t="s">
        <v>1355</v>
      </c>
      <c r="K17" s="135" t="s">
        <v>1356</v>
      </c>
      <c r="L17" s="134" t="s">
        <v>1386</v>
      </c>
    </row>
    <row r="18" spans="1:12" x14ac:dyDescent="0.2">
      <c r="A18" s="133" t="s">
        <v>1389</v>
      </c>
      <c r="B18" s="238"/>
      <c r="C18" s="135" t="s">
        <v>1391</v>
      </c>
      <c r="D18" s="139" t="s">
        <v>1374</v>
      </c>
      <c r="E18" s="136">
        <v>41618.81</v>
      </c>
      <c r="F18" s="136"/>
      <c r="G18" s="136"/>
      <c r="H18" s="137">
        <v>18.52</v>
      </c>
      <c r="I18" s="138">
        <f t="shared" si="0"/>
        <v>770780.36119999993</v>
      </c>
      <c r="J18" s="135" t="s">
        <v>1355</v>
      </c>
      <c r="K18" s="135" t="s">
        <v>1356</v>
      </c>
      <c r="L18" s="134" t="s">
        <v>1390</v>
      </c>
    </row>
    <row r="19" spans="1:12" x14ac:dyDescent="0.2">
      <c r="A19" s="133" t="s">
        <v>1393</v>
      </c>
      <c r="B19" s="238"/>
      <c r="C19" s="135" t="s">
        <v>1395</v>
      </c>
      <c r="D19" s="129" t="s">
        <v>1361</v>
      </c>
      <c r="E19" s="136">
        <v>100</v>
      </c>
      <c r="F19" s="136"/>
      <c r="G19" s="136"/>
      <c r="H19" s="137">
        <v>125.96</v>
      </c>
      <c r="I19" s="138">
        <f t="shared" si="0"/>
        <v>12596</v>
      </c>
      <c r="J19" s="135" t="s">
        <v>1355</v>
      </c>
      <c r="K19" s="135" t="s">
        <v>1356</v>
      </c>
      <c r="L19" s="134" t="s">
        <v>1394</v>
      </c>
    </row>
    <row r="20" spans="1:12" x14ac:dyDescent="0.2">
      <c r="A20" s="133" t="s">
        <v>1397</v>
      </c>
      <c r="B20" s="238"/>
      <c r="C20" s="135" t="s">
        <v>1399</v>
      </c>
      <c r="D20" s="139" t="s">
        <v>1400</v>
      </c>
      <c r="E20" s="136">
        <v>7813575.7999999998</v>
      </c>
      <c r="F20" s="136"/>
      <c r="G20" s="136"/>
      <c r="H20" s="137">
        <v>1.24</v>
      </c>
      <c r="I20" s="138">
        <f t="shared" si="0"/>
        <v>9688833.9920000006</v>
      </c>
      <c r="J20" s="135" t="s">
        <v>1355</v>
      </c>
      <c r="K20" s="135" t="s">
        <v>1356</v>
      </c>
      <c r="L20" s="134" t="s">
        <v>1398</v>
      </c>
    </row>
    <row r="21" spans="1:12" x14ac:dyDescent="0.2">
      <c r="A21" s="133" t="s">
        <v>1402</v>
      </c>
      <c r="B21" s="238"/>
      <c r="C21" s="135" t="s">
        <v>1404</v>
      </c>
      <c r="D21" s="139" t="s">
        <v>1374</v>
      </c>
      <c r="E21" s="136">
        <v>101234.38</v>
      </c>
      <c r="F21" s="136"/>
      <c r="G21" s="136"/>
      <c r="H21" s="137">
        <v>50.86</v>
      </c>
      <c r="I21" s="138">
        <f t="shared" si="0"/>
        <v>5148780.5668000001</v>
      </c>
      <c r="J21" s="135" t="s">
        <v>1355</v>
      </c>
      <c r="K21" s="135" t="s">
        <v>1356</v>
      </c>
      <c r="L21" s="134" t="s">
        <v>1403</v>
      </c>
    </row>
    <row r="22" spans="1:12" x14ac:dyDescent="0.2">
      <c r="A22" s="133" t="s">
        <v>1406</v>
      </c>
      <c r="B22" s="238"/>
      <c r="C22" s="135" t="s">
        <v>1408</v>
      </c>
      <c r="D22" s="139" t="s">
        <v>1409</v>
      </c>
      <c r="E22" s="136">
        <v>151405.85</v>
      </c>
      <c r="F22" s="136"/>
      <c r="G22" s="136"/>
      <c r="H22" s="137">
        <v>94.5</v>
      </c>
      <c r="I22" s="138">
        <f t="shared" si="0"/>
        <v>14307852.825000001</v>
      </c>
      <c r="J22" s="135" t="s">
        <v>1355</v>
      </c>
      <c r="K22" s="135" t="s">
        <v>1356</v>
      </c>
      <c r="L22" s="134" t="s">
        <v>1407</v>
      </c>
    </row>
    <row r="23" spans="1:12" x14ac:dyDescent="0.2">
      <c r="A23" s="133" t="s">
        <v>1411</v>
      </c>
      <c r="B23" s="238"/>
      <c r="C23" s="135" t="s">
        <v>1413</v>
      </c>
      <c r="D23" s="139" t="s">
        <v>1409</v>
      </c>
      <c r="E23" s="136">
        <v>151401.71</v>
      </c>
      <c r="F23" s="136"/>
      <c r="G23" s="136"/>
      <c r="H23" s="137">
        <v>67.5</v>
      </c>
      <c r="I23" s="138">
        <f t="shared" si="0"/>
        <v>10219615.424999999</v>
      </c>
      <c r="J23" s="135" t="s">
        <v>1355</v>
      </c>
      <c r="K23" s="135" t="s">
        <v>1356</v>
      </c>
      <c r="L23" s="134" t="s">
        <v>1412</v>
      </c>
    </row>
    <row r="24" spans="1:12" ht="13.5" thickBot="1" x14ac:dyDescent="0.25">
      <c r="A24" s="140" t="s">
        <v>1415</v>
      </c>
      <c r="B24" s="239"/>
      <c r="C24" s="142" t="s">
        <v>1417</v>
      </c>
      <c r="D24" s="143" t="s">
        <v>1418</v>
      </c>
      <c r="E24" s="144">
        <v>506171.91</v>
      </c>
      <c r="F24" s="144"/>
      <c r="G24" s="144"/>
      <c r="H24" s="145">
        <v>1.71</v>
      </c>
      <c r="I24" s="146">
        <f t="shared" si="0"/>
        <v>865553.96609999996</v>
      </c>
      <c r="J24" s="142" t="s">
        <v>1355</v>
      </c>
      <c r="K24" s="142" t="s">
        <v>1356</v>
      </c>
      <c r="L24" s="141" t="s">
        <v>1416</v>
      </c>
    </row>
    <row r="25" spans="1:12" ht="13.5" thickBot="1" x14ac:dyDescent="0.25">
      <c r="A25" s="147">
        <v>2</v>
      </c>
      <c r="B25" s="240"/>
      <c r="C25" s="150" t="str">
        <f>K25</f>
        <v>TERRAPLENAGEM</v>
      </c>
      <c r="D25" s="150"/>
      <c r="E25" s="151"/>
      <c r="F25" s="151"/>
      <c r="G25" s="151"/>
      <c r="H25" s="152"/>
      <c r="I25" s="153"/>
      <c r="J25" s="149" t="s">
        <v>1355</v>
      </c>
      <c r="K25" s="149" t="s">
        <v>1420</v>
      </c>
      <c r="L25" s="148">
        <v>22</v>
      </c>
    </row>
    <row r="26" spans="1:12" x14ac:dyDescent="0.2">
      <c r="A26" s="154" t="s">
        <v>1422</v>
      </c>
      <c r="B26" s="241"/>
      <c r="C26" s="128" t="s">
        <v>1424</v>
      </c>
      <c r="D26" s="139" t="s">
        <v>1383</v>
      </c>
      <c r="E26" s="155">
        <v>181263</v>
      </c>
      <c r="F26" s="155"/>
      <c r="G26" s="155"/>
      <c r="H26" s="156">
        <v>0.28000000000000003</v>
      </c>
      <c r="I26" s="157">
        <f t="shared" si="0"/>
        <v>50753.640000000007</v>
      </c>
      <c r="J26" s="128" t="s">
        <v>1355</v>
      </c>
      <c r="K26" s="128" t="s">
        <v>1420</v>
      </c>
      <c r="L26" s="127" t="s">
        <v>1423</v>
      </c>
    </row>
    <row r="27" spans="1:12" x14ac:dyDescent="0.2">
      <c r="A27" s="158" t="s">
        <v>1426</v>
      </c>
      <c r="B27" s="311" t="s">
        <v>4456</v>
      </c>
      <c r="C27" s="135" t="s">
        <v>1428</v>
      </c>
      <c r="D27" s="139" t="s">
        <v>1374</v>
      </c>
      <c r="E27" s="159">
        <v>49049.95</v>
      </c>
      <c r="F27" s="159"/>
      <c r="G27" s="136"/>
      <c r="H27" s="160">
        <v>4.9000000000000004</v>
      </c>
      <c r="I27" s="161">
        <f t="shared" si="0"/>
        <v>240344.755</v>
      </c>
      <c r="J27" s="135" t="s">
        <v>1355</v>
      </c>
      <c r="K27" s="135" t="s">
        <v>1420</v>
      </c>
      <c r="L27" s="134" t="s">
        <v>1427</v>
      </c>
    </row>
    <row r="28" spans="1:12" x14ac:dyDescent="0.2">
      <c r="A28" s="158" t="s">
        <v>1430</v>
      </c>
      <c r="B28" s="242"/>
      <c r="C28" s="135" t="s">
        <v>1432</v>
      </c>
      <c r="D28" s="139" t="s">
        <v>1374</v>
      </c>
      <c r="E28" s="159">
        <v>691.55</v>
      </c>
      <c r="F28" s="159"/>
      <c r="G28" s="136"/>
      <c r="H28" s="160">
        <v>5.44</v>
      </c>
      <c r="I28" s="161">
        <f t="shared" si="0"/>
        <v>3762.0320000000002</v>
      </c>
      <c r="J28" s="135" t="s">
        <v>1355</v>
      </c>
      <c r="K28" s="135" t="s">
        <v>1420</v>
      </c>
      <c r="L28" s="134" t="s">
        <v>1431</v>
      </c>
    </row>
    <row r="29" spans="1:12" x14ac:dyDescent="0.2">
      <c r="A29" s="158" t="s">
        <v>1434</v>
      </c>
      <c r="B29" s="242"/>
      <c r="C29" s="135" t="s">
        <v>1436</v>
      </c>
      <c r="D29" s="139" t="s">
        <v>1374</v>
      </c>
      <c r="E29" s="159">
        <v>36252.6</v>
      </c>
      <c r="F29" s="159"/>
      <c r="G29" s="136"/>
      <c r="H29" s="160">
        <v>2.2599999999999998</v>
      </c>
      <c r="I29" s="161">
        <f t="shared" si="0"/>
        <v>81930.875999999989</v>
      </c>
      <c r="J29" s="135" t="s">
        <v>1355</v>
      </c>
      <c r="K29" s="135" t="s">
        <v>1420</v>
      </c>
      <c r="L29" s="134" t="s">
        <v>1435</v>
      </c>
    </row>
    <row r="30" spans="1:12" x14ac:dyDescent="0.2">
      <c r="A30" s="158" t="s">
        <v>1438</v>
      </c>
      <c r="B30" s="242"/>
      <c r="C30" s="135" t="s">
        <v>1440</v>
      </c>
      <c r="D30" s="143" t="s">
        <v>1418</v>
      </c>
      <c r="E30" s="159">
        <v>729.26</v>
      </c>
      <c r="F30" s="159"/>
      <c r="G30" s="136"/>
      <c r="H30" s="160">
        <v>3.74</v>
      </c>
      <c r="I30" s="161">
        <f t="shared" si="0"/>
        <v>2727.4324000000001</v>
      </c>
      <c r="J30" s="135" t="s">
        <v>1355</v>
      </c>
      <c r="K30" s="135" t="s">
        <v>1420</v>
      </c>
      <c r="L30" s="134" t="s">
        <v>1439</v>
      </c>
    </row>
    <row r="31" spans="1:12" x14ac:dyDescent="0.2">
      <c r="A31" s="158" t="s">
        <v>1442</v>
      </c>
      <c r="B31" s="242"/>
      <c r="C31" s="135" t="s">
        <v>1444</v>
      </c>
      <c r="D31" s="143" t="s">
        <v>1418</v>
      </c>
      <c r="E31" s="159">
        <v>2187.7600000000002</v>
      </c>
      <c r="F31" s="159"/>
      <c r="G31" s="136"/>
      <c r="H31" s="160">
        <v>2.2000000000000002</v>
      </c>
      <c r="I31" s="161">
        <f t="shared" si="0"/>
        <v>4813.072000000001</v>
      </c>
      <c r="J31" s="135" t="s">
        <v>1355</v>
      </c>
      <c r="K31" s="135" t="s">
        <v>1420</v>
      </c>
      <c r="L31" s="134" t="s">
        <v>1443</v>
      </c>
    </row>
    <row r="32" spans="1:12" x14ac:dyDescent="0.2">
      <c r="A32" s="158" t="s">
        <v>1446</v>
      </c>
      <c r="B32" s="242"/>
      <c r="C32" s="135" t="s">
        <v>1448</v>
      </c>
      <c r="D32" s="143" t="s">
        <v>1418</v>
      </c>
      <c r="E32" s="159">
        <v>3000.93</v>
      </c>
      <c r="F32" s="159"/>
      <c r="G32" s="136"/>
      <c r="H32" s="160">
        <v>1.71</v>
      </c>
      <c r="I32" s="161">
        <f t="shared" si="0"/>
        <v>5131.5902999999998</v>
      </c>
      <c r="J32" s="135" t="s">
        <v>1355</v>
      </c>
      <c r="K32" s="135" t="s">
        <v>1420</v>
      </c>
      <c r="L32" s="134" t="s">
        <v>1447</v>
      </c>
    </row>
    <row r="33" spans="1:12" x14ac:dyDescent="0.2">
      <c r="A33" s="158" t="s">
        <v>1450</v>
      </c>
      <c r="B33" s="311" t="s">
        <v>4457</v>
      </c>
      <c r="C33" s="135" t="s">
        <v>1452</v>
      </c>
      <c r="D33" s="143" t="s">
        <v>1418</v>
      </c>
      <c r="E33" s="159">
        <v>247956.53</v>
      </c>
      <c r="F33" s="159"/>
      <c r="G33" s="136"/>
      <c r="H33" s="160">
        <v>1.43</v>
      </c>
      <c r="I33" s="161">
        <f t="shared" si="0"/>
        <v>354577.83789999998</v>
      </c>
      <c r="J33" s="135" t="s">
        <v>1355</v>
      </c>
      <c r="K33" s="135" t="s">
        <v>1420</v>
      </c>
      <c r="L33" s="134" t="s">
        <v>1451</v>
      </c>
    </row>
    <row r="34" spans="1:12" x14ac:dyDescent="0.2">
      <c r="A34" s="158" t="s">
        <v>1454</v>
      </c>
      <c r="B34" s="242"/>
      <c r="C34" s="135" t="s">
        <v>1456</v>
      </c>
      <c r="D34" s="143" t="s">
        <v>1418</v>
      </c>
      <c r="E34" s="159">
        <v>63019.43</v>
      </c>
      <c r="F34" s="159"/>
      <c r="G34" s="159"/>
      <c r="H34" s="160">
        <v>1.26</v>
      </c>
      <c r="I34" s="161">
        <f t="shared" si="0"/>
        <v>79404.481799999994</v>
      </c>
      <c r="J34" s="135" t="s">
        <v>1355</v>
      </c>
      <c r="K34" s="135" t="s">
        <v>1420</v>
      </c>
      <c r="L34" s="134" t="s">
        <v>1455</v>
      </c>
    </row>
    <row r="35" spans="1:12" x14ac:dyDescent="0.2">
      <c r="A35" s="158" t="s">
        <v>1458</v>
      </c>
      <c r="B35" s="242"/>
      <c r="C35" s="135" t="s">
        <v>1460</v>
      </c>
      <c r="D35" s="143" t="s">
        <v>1418</v>
      </c>
      <c r="E35" s="159">
        <v>35550.75</v>
      </c>
      <c r="F35" s="159"/>
      <c r="G35" s="159"/>
      <c r="H35" s="160">
        <v>1.93</v>
      </c>
      <c r="I35" s="161">
        <f t="shared" si="0"/>
        <v>68612.947499999995</v>
      </c>
      <c r="J35" s="135" t="s">
        <v>1355</v>
      </c>
      <c r="K35" s="135" t="s">
        <v>1420</v>
      </c>
      <c r="L35" s="134" t="s">
        <v>1459</v>
      </c>
    </row>
    <row r="36" spans="1:12" x14ac:dyDescent="0.2">
      <c r="A36" s="158" t="s">
        <v>1462</v>
      </c>
      <c r="B36" s="242"/>
      <c r="C36" s="135" t="s">
        <v>1464</v>
      </c>
      <c r="D36" s="143" t="s">
        <v>1418</v>
      </c>
      <c r="E36" s="159">
        <v>205980.75</v>
      </c>
      <c r="F36" s="159"/>
      <c r="G36" s="159"/>
      <c r="H36" s="160">
        <v>1.44</v>
      </c>
      <c r="I36" s="161">
        <f t="shared" si="0"/>
        <v>296612.27999999997</v>
      </c>
      <c r="J36" s="135" t="s">
        <v>1355</v>
      </c>
      <c r="K36" s="135" t="s">
        <v>1420</v>
      </c>
      <c r="L36" s="134" t="s">
        <v>1463</v>
      </c>
    </row>
    <row r="37" spans="1:12" x14ac:dyDescent="0.2">
      <c r="A37" s="158" t="s">
        <v>1466</v>
      </c>
      <c r="B37" s="242"/>
      <c r="C37" s="135" t="s">
        <v>1468</v>
      </c>
      <c r="D37" s="143" t="s">
        <v>1418</v>
      </c>
      <c r="E37" s="159">
        <v>17088.75</v>
      </c>
      <c r="F37" s="159"/>
      <c r="G37" s="159"/>
      <c r="H37" s="160">
        <v>1.3</v>
      </c>
      <c r="I37" s="161">
        <f t="shared" si="0"/>
        <v>22215.375</v>
      </c>
      <c r="J37" s="135" t="s">
        <v>1355</v>
      </c>
      <c r="K37" s="135" t="s">
        <v>1420</v>
      </c>
      <c r="L37" s="134" t="s">
        <v>1467</v>
      </c>
    </row>
    <row r="38" spans="1:12" x14ac:dyDescent="0.2">
      <c r="A38" s="158" t="s">
        <v>1470</v>
      </c>
      <c r="B38" s="242"/>
      <c r="C38" s="135" t="s">
        <v>1472</v>
      </c>
      <c r="D38" s="143" t="s">
        <v>1418</v>
      </c>
      <c r="E38" s="159">
        <v>87885</v>
      </c>
      <c r="F38" s="159"/>
      <c r="G38" s="159"/>
      <c r="H38" s="160">
        <v>1.1200000000000001</v>
      </c>
      <c r="I38" s="161">
        <f t="shared" si="0"/>
        <v>98431.200000000012</v>
      </c>
      <c r="J38" s="135" t="s">
        <v>1355</v>
      </c>
      <c r="K38" s="135" t="s">
        <v>1420</v>
      </c>
      <c r="L38" s="134" t="s">
        <v>1471</v>
      </c>
    </row>
    <row r="39" spans="1:12" ht="13.5" thickBot="1" x14ac:dyDescent="0.25">
      <c r="A39" s="162" t="s">
        <v>1474</v>
      </c>
      <c r="B39" s="243"/>
      <c r="C39" s="142" t="s">
        <v>1476</v>
      </c>
      <c r="D39" s="139" t="s">
        <v>1374</v>
      </c>
      <c r="E39" s="163">
        <v>30672</v>
      </c>
      <c r="F39" s="163"/>
      <c r="G39" s="163"/>
      <c r="H39" s="164">
        <v>3.01</v>
      </c>
      <c r="I39" s="165">
        <f t="shared" si="0"/>
        <v>92322.719999999987</v>
      </c>
      <c r="J39" s="142" t="s">
        <v>1355</v>
      </c>
      <c r="K39" s="142" t="s">
        <v>1420</v>
      </c>
      <c r="L39" s="141" t="s">
        <v>1475</v>
      </c>
    </row>
    <row r="40" spans="1:12" ht="13.5" thickBot="1" x14ac:dyDescent="0.25">
      <c r="A40" s="147">
        <v>3</v>
      </c>
      <c r="B40" s="240"/>
      <c r="C40" s="150" t="str">
        <f>K40</f>
        <v xml:space="preserve"> PAVIMENTAÇÃO  </v>
      </c>
      <c r="D40" s="150"/>
      <c r="E40" s="151"/>
      <c r="F40" s="151"/>
      <c r="G40" s="151"/>
      <c r="H40" s="152"/>
      <c r="I40" s="153"/>
      <c r="J40" s="149" t="s">
        <v>1355</v>
      </c>
      <c r="K40" s="149" t="s">
        <v>1478</v>
      </c>
      <c r="L40" s="148">
        <v>23</v>
      </c>
    </row>
    <row r="41" spans="1:12" x14ac:dyDescent="0.2">
      <c r="A41" s="154" t="s">
        <v>1480</v>
      </c>
      <c r="B41" s="241"/>
      <c r="C41" s="128" t="s">
        <v>1482</v>
      </c>
      <c r="D41" s="139" t="s">
        <v>1374</v>
      </c>
      <c r="E41" s="155">
        <v>39829.93</v>
      </c>
      <c r="F41" s="155"/>
      <c r="G41" s="155"/>
      <c r="H41" s="131">
        <v>2.21</v>
      </c>
      <c r="I41" s="157">
        <f>E41*H41</f>
        <v>88024.145300000004</v>
      </c>
      <c r="J41" s="128" t="s">
        <v>1355</v>
      </c>
      <c r="K41" s="128" t="s">
        <v>1478</v>
      </c>
      <c r="L41" s="127" t="s">
        <v>1481</v>
      </c>
    </row>
    <row r="42" spans="1:12" x14ac:dyDescent="0.2">
      <c r="A42" s="158" t="s">
        <v>1484</v>
      </c>
      <c r="B42" s="242"/>
      <c r="C42" s="135" t="s">
        <v>1485</v>
      </c>
      <c r="D42" s="139" t="s">
        <v>1383</v>
      </c>
      <c r="E42" s="159">
        <v>106846.37</v>
      </c>
      <c r="F42" s="159"/>
      <c r="G42" s="159"/>
      <c r="H42" s="137">
        <v>1.1399999999999999</v>
      </c>
      <c r="I42" s="161">
        <f t="shared" ref="I42:I87" si="1">E42*H42</f>
        <v>121804.86179999998</v>
      </c>
      <c r="J42" s="135" t="s">
        <v>1355</v>
      </c>
      <c r="K42" s="135" t="s">
        <v>1478</v>
      </c>
      <c r="L42" s="134" t="s">
        <v>1481</v>
      </c>
    </row>
    <row r="43" spans="1:12" x14ac:dyDescent="0.2">
      <c r="A43" s="158" t="s">
        <v>1487</v>
      </c>
      <c r="B43" s="242"/>
      <c r="C43" s="135" t="s">
        <v>1489</v>
      </c>
      <c r="D43" s="139" t="s">
        <v>1374</v>
      </c>
      <c r="E43" s="159">
        <v>21323.73</v>
      </c>
      <c r="F43" s="159"/>
      <c r="G43" s="159"/>
      <c r="H43" s="137">
        <v>168.38</v>
      </c>
      <c r="I43" s="161">
        <f t="shared" si="1"/>
        <v>3590489.6573999999</v>
      </c>
      <c r="J43" s="135" t="s">
        <v>1355</v>
      </c>
      <c r="K43" s="135" t="s">
        <v>1478</v>
      </c>
      <c r="L43" s="134" t="s">
        <v>1488</v>
      </c>
    </row>
    <row r="44" spans="1:12" x14ac:dyDescent="0.2">
      <c r="A44" s="158" t="s">
        <v>1491</v>
      </c>
      <c r="B44" s="242"/>
      <c r="C44" s="135" t="s">
        <v>1493</v>
      </c>
      <c r="D44" s="139" t="s">
        <v>1374</v>
      </c>
      <c r="E44" s="159">
        <v>48590.87</v>
      </c>
      <c r="F44" s="159"/>
      <c r="G44" s="159"/>
      <c r="H44" s="137">
        <v>168.04</v>
      </c>
      <c r="I44" s="161">
        <f t="shared" si="1"/>
        <v>8165209.7948000003</v>
      </c>
      <c r="J44" s="135" t="s">
        <v>1355</v>
      </c>
      <c r="K44" s="135" t="s">
        <v>1478</v>
      </c>
      <c r="L44" s="134" t="s">
        <v>1492</v>
      </c>
    </row>
    <row r="45" spans="1:12" x14ac:dyDescent="0.2">
      <c r="A45" s="158" t="s">
        <v>1495</v>
      </c>
      <c r="B45" s="242"/>
      <c r="C45" s="135" t="s">
        <v>1497</v>
      </c>
      <c r="D45" s="139" t="s">
        <v>1374</v>
      </c>
      <c r="E45" s="159">
        <v>23047.05</v>
      </c>
      <c r="F45" s="159"/>
      <c r="G45" s="159"/>
      <c r="H45" s="137">
        <v>208.16</v>
      </c>
      <c r="I45" s="161">
        <f t="shared" si="1"/>
        <v>4797473.9279999994</v>
      </c>
      <c r="J45" s="135" t="s">
        <v>1355</v>
      </c>
      <c r="K45" s="135" t="s">
        <v>1478</v>
      </c>
      <c r="L45" s="134" t="s">
        <v>1496</v>
      </c>
    </row>
    <row r="46" spans="1:12" x14ac:dyDescent="0.2">
      <c r="A46" s="158" t="s">
        <v>1499</v>
      </c>
      <c r="B46" s="242"/>
      <c r="C46" s="135" t="s">
        <v>1501</v>
      </c>
      <c r="D46" s="139" t="s">
        <v>1383</v>
      </c>
      <c r="E46" s="159">
        <v>127597.58</v>
      </c>
      <c r="F46" s="159"/>
      <c r="G46" s="159"/>
      <c r="H46" s="137">
        <v>3.42</v>
      </c>
      <c r="I46" s="161">
        <f t="shared" si="1"/>
        <v>436383.72359999997</v>
      </c>
      <c r="J46" s="135" t="s">
        <v>1355</v>
      </c>
      <c r="K46" s="135" t="s">
        <v>1478</v>
      </c>
      <c r="L46" s="134" t="s">
        <v>1500</v>
      </c>
    </row>
    <row r="47" spans="1:12" x14ac:dyDescent="0.2">
      <c r="A47" s="158" t="s">
        <v>1503</v>
      </c>
      <c r="B47" s="242"/>
      <c r="C47" s="135" t="s">
        <v>1505</v>
      </c>
      <c r="D47" s="139" t="s">
        <v>1383</v>
      </c>
      <c r="E47" s="159">
        <v>320347.81</v>
      </c>
      <c r="F47" s="159"/>
      <c r="G47" s="159"/>
      <c r="H47" s="137">
        <v>1.32</v>
      </c>
      <c r="I47" s="161">
        <f t="shared" si="1"/>
        <v>422859.10920000001</v>
      </c>
      <c r="J47" s="135" t="s">
        <v>1355</v>
      </c>
      <c r="K47" s="135" t="s">
        <v>1478</v>
      </c>
      <c r="L47" s="134" t="s">
        <v>1504</v>
      </c>
    </row>
    <row r="48" spans="1:12" x14ac:dyDescent="0.2">
      <c r="A48" s="158" t="s">
        <v>1507</v>
      </c>
      <c r="B48" s="242"/>
      <c r="C48" s="135" t="s">
        <v>1509</v>
      </c>
      <c r="D48" s="139" t="s">
        <v>1383</v>
      </c>
      <c r="E48" s="159">
        <v>92170.2</v>
      </c>
      <c r="F48" s="159"/>
      <c r="G48" s="159"/>
      <c r="H48" s="137">
        <v>1.71</v>
      </c>
      <c r="I48" s="161">
        <f t="shared" si="1"/>
        <v>157611.04199999999</v>
      </c>
      <c r="J48" s="135" t="s">
        <v>1355</v>
      </c>
      <c r="K48" s="135" t="s">
        <v>1478</v>
      </c>
      <c r="L48" s="134" t="s">
        <v>1508</v>
      </c>
    </row>
    <row r="49" spans="1:12" x14ac:dyDescent="0.2">
      <c r="A49" s="158" t="s">
        <v>1511</v>
      </c>
      <c r="B49" s="242"/>
      <c r="C49" s="135" t="s">
        <v>1513</v>
      </c>
      <c r="D49" s="139" t="s">
        <v>1374</v>
      </c>
      <c r="E49" s="159">
        <v>10071.280000000001</v>
      </c>
      <c r="F49" s="159"/>
      <c r="G49" s="159"/>
      <c r="H49" s="137">
        <v>488.89</v>
      </c>
      <c r="I49" s="161">
        <f t="shared" si="1"/>
        <v>4923748.0792000005</v>
      </c>
      <c r="J49" s="135" t="s">
        <v>1355</v>
      </c>
      <c r="K49" s="135" t="s">
        <v>1478</v>
      </c>
      <c r="L49" s="134" t="s">
        <v>1512</v>
      </c>
    </row>
    <row r="50" spans="1:12" x14ac:dyDescent="0.2">
      <c r="A50" s="158" t="s">
        <v>1515</v>
      </c>
      <c r="B50" s="242"/>
      <c r="C50" s="135" t="s">
        <v>1517</v>
      </c>
      <c r="D50" s="139" t="s">
        <v>1374</v>
      </c>
      <c r="E50" s="159">
        <v>7254.62</v>
      </c>
      <c r="F50" s="159"/>
      <c r="G50" s="159"/>
      <c r="H50" s="137">
        <v>526.62</v>
      </c>
      <c r="I50" s="161">
        <f t="shared" si="1"/>
        <v>3820427.9844</v>
      </c>
      <c r="J50" s="135" t="s">
        <v>1355</v>
      </c>
      <c r="K50" s="135" t="s">
        <v>1478</v>
      </c>
      <c r="L50" s="134" t="s">
        <v>1516</v>
      </c>
    </row>
    <row r="51" spans="1:12" x14ac:dyDescent="0.2">
      <c r="A51" s="158" t="s">
        <v>1519</v>
      </c>
      <c r="B51" s="242"/>
      <c r="C51" s="135" t="s">
        <v>1521</v>
      </c>
      <c r="D51" s="139" t="s">
        <v>1374</v>
      </c>
      <c r="E51" s="159">
        <v>4343.57</v>
      </c>
      <c r="F51" s="159"/>
      <c r="G51" s="159"/>
      <c r="H51" s="137">
        <v>637.36</v>
      </c>
      <c r="I51" s="161">
        <f t="shared" si="1"/>
        <v>2768417.7752</v>
      </c>
      <c r="J51" s="135" t="s">
        <v>1355</v>
      </c>
      <c r="K51" s="135" t="s">
        <v>1478</v>
      </c>
      <c r="L51" s="134" t="s">
        <v>1520</v>
      </c>
    </row>
    <row r="52" spans="1:12" ht="13.5" thickBot="1" x14ac:dyDescent="0.25">
      <c r="A52" s="162" t="s">
        <v>1523</v>
      </c>
      <c r="B52" s="243"/>
      <c r="C52" s="142" t="s">
        <v>1525</v>
      </c>
      <c r="D52" s="139" t="s">
        <v>1374</v>
      </c>
      <c r="E52" s="163">
        <v>4776.51</v>
      </c>
      <c r="F52" s="163"/>
      <c r="G52" s="163"/>
      <c r="H52" s="145">
        <v>139.28</v>
      </c>
      <c r="I52" s="165">
        <f t="shared" si="1"/>
        <v>665272.31280000007</v>
      </c>
      <c r="J52" s="142" t="s">
        <v>1355</v>
      </c>
      <c r="K52" s="142" t="s">
        <v>1478</v>
      </c>
      <c r="L52" s="141" t="s">
        <v>1524</v>
      </c>
    </row>
    <row r="53" spans="1:12" ht="13.5" thickBot="1" x14ac:dyDescent="0.25">
      <c r="A53" s="147">
        <v>4</v>
      </c>
      <c r="B53" s="240"/>
      <c r="C53" s="150" t="str">
        <f>K53</f>
        <v>OBRAS DE ARTE CORRENTE E DRENAGEM</v>
      </c>
      <c r="D53" s="150" t="s">
        <v>1528</v>
      </c>
      <c r="E53" s="151"/>
      <c r="F53" s="151"/>
      <c r="G53" s="151"/>
      <c r="H53" s="152"/>
      <c r="I53" s="153"/>
      <c r="J53" s="149" t="s">
        <v>1355</v>
      </c>
      <c r="K53" s="149" t="s">
        <v>1527</v>
      </c>
      <c r="L53" s="148">
        <v>24</v>
      </c>
    </row>
    <row r="54" spans="1:12" x14ac:dyDescent="0.2">
      <c r="A54" s="154" t="s">
        <v>1530</v>
      </c>
      <c r="B54" s="241"/>
      <c r="C54" s="128" t="s">
        <v>1482</v>
      </c>
      <c r="D54" s="139" t="s">
        <v>1374</v>
      </c>
      <c r="E54" s="155">
        <v>25813.9</v>
      </c>
      <c r="F54" s="155"/>
      <c r="G54" s="155"/>
      <c r="H54" s="156">
        <v>2.21</v>
      </c>
      <c r="I54" s="157">
        <f>E54*H54</f>
        <v>57048.719000000005</v>
      </c>
      <c r="J54" s="128" t="s">
        <v>1355</v>
      </c>
      <c r="K54" s="128" t="s">
        <v>1527</v>
      </c>
      <c r="L54" s="127" t="s">
        <v>1481</v>
      </c>
    </row>
    <row r="55" spans="1:12" x14ac:dyDescent="0.2">
      <c r="A55" s="158" t="s">
        <v>1532</v>
      </c>
      <c r="B55" s="242"/>
      <c r="C55" s="135" t="s">
        <v>1448</v>
      </c>
      <c r="D55" s="143" t="s">
        <v>1418</v>
      </c>
      <c r="E55" s="159">
        <v>129069.46</v>
      </c>
      <c r="F55" s="159"/>
      <c r="G55" s="159"/>
      <c r="H55" s="160">
        <v>1.71</v>
      </c>
      <c r="I55" s="161">
        <f t="shared" si="1"/>
        <v>220708.77660000001</v>
      </c>
      <c r="J55" s="135" t="s">
        <v>1355</v>
      </c>
      <c r="K55" s="135" t="s">
        <v>1527</v>
      </c>
      <c r="L55" s="134" t="s">
        <v>1447</v>
      </c>
    </row>
    <row r="56" spans="1:12" x14ac:dyDescent="0.2">
      <c r="A56" s="158" t="s">
        <v>1534</v>
      </c>
      <c r="B56" s="242"/>
      <c r="C56" s="135" t="s">
        <v>1536</v>
      </c>
      <c r="D56" s="139" t="s">
        <v>1374</v>
      </c>
      <c r="E56" s="159">
        <v>15021.05</v>
      </c>
      <c r="F56" s="159"/>
      <c r="G56" s="159"/>
      <c r="H56" s="160">
        <v>10.92</v>
      </c>
      <c r="I56" s="161">
        <f t="shared" si="1"/>
        <v>164029.86599999998</v>
      </c>
      <c r="J56" s="135" t="s">
        <v>1355</v>
      </c>
      <c r="K56" s="135" t="s">
        <v>1527</v>
      </c>
      <c r="L56" s="134" t="s">
        <v>1535</v>
      </c>
    </row>
    <row r="57" spans="1:12" x14ac:dyDescent="0.2">
      <c r="A57" s="158" t="s">
        <v>1538</v>
      </c>
      <c r="B57" s="242"/>
      <c r="C57" s="135" t="s">
        <v>1540</v>
      </c>
      <c r="D57" s="139" t="s">
        <v>1374</v>
      </c>
      <c r="E57" s="159">
        <v>121417.43</v>
      </c>
      <c r="F57" s="159"/>
      <c r="G57" s="159"/>
      <c r="H57" s="160">
        <v>62.83</v>
      </c>
      <c r="I57" s="161">
        <f t="shared" si="1"/>
        <v>7628657.1268999996</v>
      </c>
      <c r="J57" s="135" t="s">
        <v>1355</v>
      </c>
      <c r="K57" s="135" t="s">
        <v>1527</v>
      </c>
      <c r="L57" s="134" t="s">
        <v>1539</v>
      </c>
    </row>
    <row r="58" spans="1:12" x14ac:dyDescent="0.2">
      <c r="A58" s="158" t="s">
        <v>1542</v>
      </c>
      <c r="B58" s="242"/>
      <c r="C58" s="135" t="s">
        <v>1544</v>
      </c>
      <c r="D58" s="139" t="s">
        <v>1383</v>
      </c>
      <c r="E58" s="159">
        <v>23510.93</v>
      </c>
      <c r="F58" s="159"/>
      <c r="G58" s="159"/>
      <c r="H58" s="160">
        <v>96</v>
      </c>
      <c r="I58" s="161">
        <f t="shared" si="1"/>
        <v>2257049.2800000003</v>
      </c>
      <c r="J58" s="135" t="s">
        <v>1355</v>
      </c>
      <c r="K58" s="135" t="s">
        <v>1527</v>
      </c>
      <c r="L58" s="134" t="s">
        <v>1543</v>
      </c>
    </row>
    <row r="59" spans="1:12" x14ac:dyDescent="0.2">
      <c r="A59" s="158" t="s">
        <v>1546</v>
      </c>
      <c r="B59" s="242"/>
      <c r="C59" s="135" t="s">
        <v>1548</v>
      </c>
      <c r="D59" s="139" t="s">
        <v>1383</v>
      </c>
      <c r="E59" s="159">
        <v>110292.14</v>
      </c>
      <c r="F59" s="159"/>
      <c r="G59" s="159"/>
      <c r="H59" s="160">
        <v>64.680000000000007</v>
      </c>
      <c r="I59" s="161">
        <f t="shared" si="1"/>
        <v>7133695.6152000008</v>
      </c>
      <c r="J59" s="135" t="s">
        <v>1355</v>
      </c>
      <c r="K59" s="135" t="s">
        <v>1527</v>
      </c>
      <c r="L59" s="134" t="s">
        <v>1547</v>
      </c>
    </row>
    <row r="60" spans="1:12" x14ac:dyDescent="0.2">
      <c r="A60" s="158" t="s">
        <v>1550</v>
      </c>
      <c r="B60" s="242"/>
      <c r="C60" s="135" t="s">
        <v>1552</v>
      </c>
      <c r="D60" s="139" t="s">
        <v>1383</v>
      </c>
      <c r="E60" s="159">
        <v>8338.5499999999993</v>
      </c>
      <c r="F60" s="159"/>
      <c r="G60" s="159"/>
      <c r="H60" s="160">
        <v>80.069999999999993</v>
      </c>
      <c r="I60" s="161">
        <f t="shared" si="1"/>
        <v>667667.69849999994</v>
      </c>
      <c r="J60" s="135" t="s">
        <v>1355</v>
      </c>
      <c r="K60" s="135" t="s">
        <v>1527</v>
      </c>
      <c r="L60" s="134" t="s">
        <v>1551</v>
      </c>
    </row>
    <row r="61" spans="1:12" x14ac:dyDescent="0.2">
      <c r="A61" s="158" t="s">
        <v>1554</v>
      </c>
      <c r="B61" s="242"/>
      <c r="C61" s="135" t="s">
        <v>1556</v>
      </c>
      <c r="D61" s="139" t="s">
        <v>1557</v>
      </c>
      <c r="E61" s="159">
        <v>270419.44</v>
      </c>
      <c r="F61" s="159"/>
      <c r="G61" s="159"/>
      <c r="H61" s="160">
        <v>8.52</v>
      </c>
      <c r="I61" s="161">
        <f t="shared" si="1"/>
        <v>2303973.6288000001</v>
      </c>
      <c r="J61" s="135" t="s">
        <v>1355</v>
      </c>
      <c r="K61" s="135" t="s">
        <v>1527</v>
      </c>
      <c r="L61" s="134" t="s">
        <v>1555</v>
      </c>
    </row>
    <row r="62" spans="1:12" x14ac:dyDescent="0.2">
      <c r="A62" s="158" t="s">
        <v>1559</v>
      </c>
      <c r="B62" s="242"/>
      <c r="C62" s="135" t="s">
        <v>1561</v>
      </c>
      <c r="D62" s="139" t="s">
        <v>1374</v>
      </c>
      <c r="E62" s="159">
        <v>453.61</v>
      </c>
      <c r="F62" s="159"/>
      <c r="G62" s="159"/>
      <c r="H62" s="160">
        <v>386.3</v>
      </c>
      <c r="I62" s="161">
        <f t="shared" si="1"/>
        <v>175229.54300000001</v>
      </c>
      <c r="J62" s="135" t="s">
        <v>1355</v>
      </c>
      <c r="K62" s="135" t="s">
        <v>1527</v>
      </c>
      <c r="L62" s="134" t="s">
        <v>1560</v>
      </c>
    </row>
    <row r="63" spans="1:12" x14ac:dyDescent="0.2">
      <c r="A63" s="158" t="s">
        <v>1563</v>
      </c>
      <c r="B63" s="242"/>
      <c r="C63" s="135" t="s">
        <v>1565</v>
      </c>
      <c r="D63" s="139" t="s">
        <v>1374</v>
      </c>
      <c r="E63" s="159">
        <v>1241.07</v>
      </c>
      <c r="F63" s="159"/>
      <c r="G63" s="159"/>
      <c r="H63" s="160">
        <v>426.19</v>
      </c>
      <c r="I63" s="161">
        <f t="shared" si="1"/>
        <v>528931.62329999998</v>
      </c>
      <c r="J63" s="135" t="s">
        <v>1355</v>
      </c>
      <c r="K63" s="135" t="s">
        <v>1527</v>
      </c>
      <c r="L63" s="134" t="s">
        <v>1564</v>
      </c>
    </row>
    <row r="64" spans="1:12" x14ac:dyDescent="0.2">
      <c r="A64" s="158" t="s">
        <v>1567</v>
      </c>
      <c r="B64" s="242"/>
      <c r="C64" s="135" t="s">
        <v>1569</v>
      </c>
      <c r="D64" s="139" t="s">
        <v>1374</v>
      </c>
      <c r="E64" s="159">
        <v>1248.8399999999999</v>
      </c>
      <c r="F64" s="159"/>
      <c r="G64" s="159"/>
      <c r="H64" s="160">
        <v>455.28</v>
      </c>
      <c r="I64" s="161">
        <f t="shared" si="1"/>
        <v>568571.87519999989</v>
      </c>
      <c r="J64" s="135" t="s">
        <v>1355</v>
      </c>
      <c r="K64" s="135" t="s">
        <v>1527</v>
      </c>
      <c r="L64" s="134" t="s">
        <v>1568</v>
      </c>
    </row>
    <row r="65" spans="1:12" x14ac:dyDescent="0.2">
      <c r="A65" s="158" t="s">
        <v>1571</v>
      </c>
      <c r="B65" s="242"/>
      <c r="C65" s="135" t="s">
        <v>1573</v>
      </c>
      <c r="D65" s="139" t="s">
        <v>1374</v>
      </c>
      <c r="E65" s="159">
        <v>1049.76</v>
      </c>
      <c r="F65" s="159"/>
      <c r="G65" s="159"/>
      <c r="H65" s="160">
        <v>467.63</v>
      </c>
      <c r="I65" s="161">
        <f t="shared" si="1"/>
        <v>490899.26880000002</v>
      </c>
      <c r="J65" s="135" t="s">
        <v>1355</v>
      </c>
      <c r="K65" s="135" t="s">
        <v>1527</v>
      </c>
      <c r="L65" s="134" t="s">
        <v>1572</v>
      </c>
    </row>
    <row r="66" spans="1:12" x14ac:dyDescent="0.2">
      <c r="A66" s="158" t="s">
        <v>1575</v>
      </c>
      <c r="B66" s="242"/>
      <c r="C66" s="135" t="s">
        <v>1577</v>
      </c>
      <c r="D66" s="139" t="s">
        <v>1374</v>
      </c>
      <c r="E66" s="159">
        <v>1706.98</v>
      </c>
      <c r="F66" s="159"/>
      <c r="G66" s="159"/>
      <c r="H66" s="160">
        <v>610.14</v>
      </c>
      <c r="I66" s="161">
        <f t="shared" si="1"/>
        <v>1041496.7772</v>
      </c>
      <c r="J66" s="135" t="s">
        <v>1355</v>
      </c>
      <c r="K66" s="135" t="s">
        <v>1527</v>
      </c>
      <c r="L66" s="134" t="s">
        <v>1576</v>
      </c>
    </row>
    <row r="67" spans="1:12" x14ac:dyDescent="0.2">
      <c r="A67" s="158" t="s">
        <v>1579</v>
      </c>
      <c r="B67" s="242"/>
      <c r="C67" s="135" t="s">
        <v>1581</v>
      </c>
      <c r="D67" s="139" t="s">
        <v>1374</v>
      </c>
      <c r="E67" s="159">
        <v>2271.85</v>
      </c>
      <c r="F67" s="159"/>
      <c r="G67" s="159"/>
      <c r="H67" s="160">
        <v>460.87</v>
      </c>
      <c r="I67" s="161">
        <f t="shared" si="1"/>
        <v>1047027.5094999999</v>
      </c>
      <c r="J67" s="135" t="s">
        <v>1355</v>
      </c>
      <c r="K67" s="135" t="s">
        <v>1527</v>
      </c>
      <c r="L67" s="134" t="s">
        <v>1580</v>
      </c>
    </row>
    <row r="68" spans="1:12" x14ac:dyDescent="0.2">
      <c r="A68" s="158" t="s">
        <v>1583</v>
      </c>
      <c r="B68" s="242"/>
      <c r="C68" s="135" t="s">
        <v>1585</v>
      </c>
      <c r="D68" s="139" t="s">
        <v>1383</v>
      </c>
      <c r="E68" s="159">
        <v>10811.41</v>
      </c>
      <c r="F68" s="159"/>
      <c r="G68" s="159"/>
      <c r="H68" s="160">
        <v>34.409999999999997</v>
      </c>
      <c r="I68" s="161">
        <f t="shared" si="1"/>
        <v>372020.61809999996</v>
      </c>
      <c r="J68" s="135" t="s">
        <v>1355</v>
      </c>
      <c r="K68" s="135" t="s">
        <v>1527</v>
      </c>
      <c r="L68" s="134" t="s">
        <v>1584</v>
      </c>
    </row>
    <row r="69" spans="1:12" x14ac:dyDescent="0.2">
      <c r="A69" s="158" t="s">
        <v>1587</v>
      </c>
      <c r="B69" s="242"/>
      <c r="C69" s="135" t="s">
        <v>1589</v>
      </c>
      <c r="D69" s="139" t="s">
        <v>1374</v>
      </c>
      <c r="E69" s="159">
        <v>7411.57</v>
      </c>
      <c r="F69" s="159"/>
      <c r="G69" s="159"/>
      <c r="H69" s="160">
        <v>98.43</v>
      </c>
      <c r="I69" s="161">
        <f t="shared" si="1"/>
        <v>729520.83510000003</v>
      </c>
      <c r="J69" s="135" t="s">
        <v>1355</v>
      </c>
      <c r="K69" s="135" t="s">
        <v>1527</v>
      </c>
      <c r="L69" s="134" t="s">
        <v>1588</v>
      </c>
    </row>
    <row r="70" spans="1:12" x14ac:dyDescent="0.2">
      <c r="A70" s="158" t="s">
        <v>1591</v>
      </c>
      <c r="B70" s="242"/>
      <c r="C70" s="135" t="s">
        <v>1593</v>
      </c>
      <c r="D70" s="139" t="s">
        <v>1374</v>
      </c>
      <c r="E70" s="159">
        <v>110624.59</v>
      </c>
      <c r="F70" s="159"/>
      <c r="G70" s="159"/>
      <c r="H70" s="160">
        <v>24.16</v>
      </c>
      <c r="I70" s="161">
        <f t="shared" si="1"/>
        <v>2672690.0943999998</v>
      </c>
      <c r="J70" s="135" t="s">
        <v>1355</v>
      </c>
      <c r="K70" s="135" t="s">
        <v>1527</v>
      </c>
      <c r="L70" s="134" t="s">
        <v>1592</v>
      </c>
    </row>
    <row r="71" spans="1:12" x14ac:dyDescent="0.2">
      <c r="A71" s="158" t="s">
        <v>1595</v>
      </c>
      <c r="B71" s="242"/>
      <c r="C71" s="135" t="s">
        <v>1597</v>
      </c>
      <c r="D71" s="129" t="s">
        <v>1361</v>
      </c>
      <c r="E71" s="159">
        <v>1534</v>
      </c>
      <c r="F71" s="159"/>
      <c r="G71" s="159"/>
      <c r="H71" s="160">
        <v>183.95</v>
      </c>
      <c r="I71" s="161">
        <f t="shared" si="1"/>
        <v>282179.3</v>
      </c>
      <c r="J71" s="135" t="s">
        <v>1355</v>
      </c>
      <c r="K71" s="135" t="s">
        <v>1527</v>
      </c>
      <c r="L71" s="134" t="s">
        <v>1596</v>
      </c>
    </row>
    <row r="72" spans="1:12" x14ac:dyDescent="0.2">
      <c r="A72" s="158" t="s">
        <v>1599</v>
      </c>
      <c r="B72" s="242"/>
      <c r="C72" s="135" t="s">
        <v>1601</v>
      </c>
      <c r="D72" s="129" t="s">
        <v>1361</v>
      </c>
      <c r="E72" s="159">
        <v>10654.4</v>
      </c>
      <c r="F72" s="159"/>
      <c r="G72" s="159"/>
      <c r="H72" s="160">
        <v>224.28</v>
      </c>
      <c r="I72" s="161">
        <f t="shared" si="1"/>
        <v>2389568.8319999999</v>
      </c>
      <c r="J72" s="135" t="s">
        <v>1355</v>
      </c>
      <c r="K72" s="135" t="s">
        <v>1527</v>
      </c>
      <c r="L72" s="134" t="s">
        <v>1600</v>
      </c>
    </row>
    <row r="73" spans="1:12" x14ac:dyDescent="0.2">
      <c r="A73" s="158" t="s">
        <v>1603</v>
      </c>
      <c r="B73" s="242"/>
      <c r="C73" s="135" t="s">
        <v>1605</v>
      </c>
      <c r="D73" s="129" t="s">
        <v>1361</v>
      </c>
      <c r="E73" s="159">
        <v>5361</v>
      </c>
      <c r="F73" s="159"/>
      <c r="G73" s="159"/>
      <c r="H73" s="160">
        <v>328.77</v>
      </c>
      <c r="I73" s="161">
        <f t="shared" si="1"/>
        <v>1762535.97</v>
      </c>
      <c r="J73" s="135" t="s">
        <v>1355</v>
      </c>
      <c r="K73" s="135" t="s">
        <v>1527</v>
      </c>
      <c r="L73" s="134" t="s">
        <v>1604</v>
      </c>
    </row>
    <row r="74" spans="1:12" x14ac:dyDescent="0.2">
      <c r="A74" s="158" t="s">
        <v>1607</v>
      </c>
      <c r="B74" s="242"/>
      <c r="C74" s="135" t="s">
        <v>1609</v>
      </c>
      <c r="D74" s="129" t="s">
        <v>1361</v>
      </c>
      <c r="E74" s="159">
        <v>2367</v>
      </c>
      <c r="F74" s="159"/>
      <c r="G74" s="159"/>
      <c r="H74" s="160">
        <v>453.48</v>
      </c>
      <c r="I74" s="161">
        <f t="shared" si="1"/>
        <v>1073387.1600000001</v>
      </c>
      <c r="J74" s="135" t="s">
        <v>1355</v>
      </c>
      <c r="K74" s="135" t="s">
        <v>1527</v>
      </c>
      <c r="L74" s="134" t="s">
        <v>1608</v>
      </c>
    </row>
    <row r="75" spans="1:12" x14ac:dyDescent="0.2">
      <c r="A75" s="158" t="s">
        <v>1611</v>
      </c>
      <c r="B75" s="242"/>
      <c r="C75" s="135" t="s">
        <v>1613</v>
      </c>
      <c r="D75" s="139" t="s">
        <v>1614</v>
      </c>
      <c r="E75" s="159">
        <v>1796</v>
      </c>
      <c r="F75" s="159"/>
      <c r="G75" s="159"/>
      <c r="H75" s="160">
        <v>715.88</v>
      </c>
      <c r="I75" s="161">
        <f t="shared" si="1"/>
        <v>1285720.48</v>
      </c>
      <c r="J75" s="135" t="s">
        <v>1355</v>
      </c>
      <c r="K75" s="135" t="s">
        <v>1527</v>
      </c>
      <c r="L75" s="134" t="s">
        <v>1612</v>
      </c>
    </row>
    <row r="76" spans="1:12" x14ac:dyDescent="0.2">
      <c r="A76" s="158" t="s">
        <v>1616</v>
      </c>
      <c r="B76" s="242"/>
      <c r="C76" s="135" t="s">
        <v>1618</v>
      </c>
      <c r="D76" s="139" t="s">
        <v>1374</v>
      </c>
      <c r="E76" s="159">
        <v>1599.94</v>
      </c>
      <c r="F76" s="159"/>
      <c r="G76" s="159"/>
      <c r="H76" s="160">
        <v>603.32000000000005</v>
      </c>
      <c r="I76" s="161">
        <f t="shared" si="1"/>
        <v>965275.80080000008</v>
      </c>
      <c r="J76" s="135" t="s">
        <v>1355</v>
      </c>
      <c r="K76" s="135" t="s">
        <v>1527</v>
      </c>
      <c r="L76" s="134" t="s">
        <v>1617</v>
      </c>
    </row>
    <row r="77" spans="1:12" x14ac:dyDescent="0.2">
      <c r="A77" s="158" t="s">
        <v>1620</v>
      </c>
      <c r="B77" s="242"/>
      <c r="C77" s="135" t="s">
        <v>1622</v>
      </c>
      <c r="D77" s="139" t="s">
        <v>1374</v>
      </c>
      <c r="E77" s="159">
        <v>1326.05</v>
      </c>
      <c r="F77" s="159"/>
      <c r="G77" s="159"/>
      <c r="H77" s="160">
        <v>751.75</v>
      </c>
      <c r="I77" s="161">
        <f t="shared" si="1"/>
        <v>996858.08750000002</v>
      </c>
      <c r="J77" s="135" t="s">
        <v>1355</v>
      </c>
      <c r="K77" s="135" t="s">
        <v>1527</v>
      </c>
      <c r="L77" s="134" t="s">
        <v>1621</v>
      </c>
    </row>
    <row r="78" spans="1:12" x14ac:dyDescent="0.2">
      <c r="A78" s="158" t="s">
        <v>1624</v>
      </c>
      <c r="B78" s="242"/>
      <c r="C78" s="135" t="s">
        <v>1626</v>
      </c>
      <c r="D78" s="139" t="s">
        <v>1627</v>
      </c>
      <c r="E78" s="159">
        <v>466</v>
      </c>
      <c r="F78" s="159"/>
      <c r="G78" s="159"/>
      <c r="H78" s="160">
        <v>455.44</v>
      </c>
      <c r="I78" s="161">
        <f t="shared" si="1"/>
        <v>212235.04</v>
      </c>
      <c r="J78" s="135" t="s">
        <v>1355</v>
      </c>
      <c r="K78" s="135" t="s">
        <v>1527</v>
      </c>
      <c r="L78" s="134" t="s">
        <v>1625</v>
      </c>
    </row>
    <row r="79" spans="1:12" x14ac:dyDescent="0.2">
      <c r="A79" s="158" t="s">
        <v>1629</v>
      </c>
      <c r="B79" s="242"/>
      <c r="C79" s="135" t="s">
        <v>1631</v>
      </c>
      <c r="D79" s="139" t="s">
        <v>1627</v>
      </c>
      <c r="E79" s="159">
        <v>22</v>
      </c>
      <c r="F79" s="159"/>
      <c r="G79" s="159"/>
      <c r="H79" s="160">
        <v>6466.5</v>
      </c>
      <c r="I79" s="161">
        <f t="shared" si="1"/>
        <v>142263</v>
      </c>
      <c r="J79" s="135" t="s">
        <v>1355</v>
      </c>
      <c r="K79" s="135" t="s">
        <v>1527</v>
      </c>
      <c r="L79" s="134" t="s">
        <v>1630</v>
      </c>
    </row>
    <row r="80" spans="1:12" x14ac:dyDescent="0.2">
      <c r="A80" s="158" t="s">
        <v>1633</v>
      </c>
      <c r="B80" s="242"/>
      <c r="C80" s="135" t="s">
        <v>1635</v>
      </c>
      <c r="D80" s="139" t="s">
        <v>1627</v>
      </c>
      <c r="E80" s="159">
        <v>2</v>
      </c>
      <c r="F80" s="159"/>
      <c r="G80" s="159"/>
      <c r="H80" s="160">
        <v>3510</v>
      </c>
      <c r="I80" s="161">
        <f t="shared" si="1"/>
        <v>7020</v>
      </c>
      <c r="J80" s="135" t="s">
        <v>1355</v>
      </c>
      <c r="K80" s="135" t="s">
        <v>1527</v>
      </c>
      <c r="L80" s="134" t="s">
        <v>1634</v>
      </c>
    </row>
    <row r="81" spans="1:12" x14ac:dyDescent="0.2">
      <c r="A81" s="158" t="s">
        <v>1637</v>
      </c>
      <c r="B81" s="242"/>
      <c r="C81" s="135" t="s">
        <v>1639</v>
      </c>
      <c r="D81" s="139" t="s">
        <v>1627</v>
      </c>
      <c r="E81" s="159">
        <v>605</v>
      </c>
      <c r="F81" s="159"/>
      <c r="G81" s="159"/>
      <c r="H81" s="160">
        <v>83.05</v>
      </c>
      <c r="I81" s="161">
        <f t="shared" si="1"/>
        <v>50245.25</v>
      </c>
      <c r="J81" s="135" t="s">
        <v>1355</v>
      </c>
      <c r="K81" s="135" t="s">
        <v>1527</v>
      </c>
      <c r="L81" s="134" t="s">
        <v>1638</v>
      </c>
    </row>
    <row r="82" spans="1:12" x14ac:dyDescent="0.2">
      <c r="A82" s="158" t="s">
        <v>1641</v>
      </c>
      <c r="B82" s="242"/>
      <c r="C82" s="135" t="s">
        <v>1643</v>
      </c>
      <c r="D82" s="139" t="s">
        <v>1627</v>
      </c>
      <c r="E82" s="159">
        <v>2148</v>
      </c>
      <c r="F82" s="159"/>
      <c r="G82" s="159"/>
      <c r="H82" s="160">
        <v>83.05</v>
      </c>
      <c r="I82" s="161">
        <f t="shared" si="1"/>
        <v>178391.4</v>
      </c>
      <c r="J82" s="135" t="s">
        <v>1355</v>
      </c>
      <c r="K82" s="135" t="s">
        <v>1527</v>
      </c>
      <c r="L82" s="134" t="s">
        <v>1642</v>
      </c>
    </row>
    <row r="83" spans="1:12" x14ac:dyDescent="0.2">
      <c r="A83" s="158" t="s">
        <v>1645</v>
      </c>
      <c r="B83" s="242"/>
      <c r="C83" s="135" t="s">
        <v>1647</v>
      </c>
      <c r="D83" s="139" t="s">
        <v>1627</v>
      </c>
      <c r="E83" s="159">
        <v>8592</v>
      </c>
      <c r="F83" s="159"/>
      <c r="G83" s="159"/>
      <c r="H83" s="160">
        <v>83.05</v>
      </c>
      <c r="I83" s="161">
        <f t="shared" si="1"/>
        <v>713565.6</v>
      </c>
      <c r="J83" s="135" t="s">
        <v>1355</v>
      </c>
      <c r="K83" s="135" t="s">
        <v>1527</v>
      </c>
      <c r="L83" s="134" t="s">
        <v>1646</v>
      </c>
    </row>
    <row r="84" spans="1:12" x14ac:dyDescent="0.2">
      <c r="A84" s="158" t="s">
        <v>1649</v>
      </c>
      <c r="B84" s="242"/>
      <c r="C84" s="135" t="s">
        <v>1651</v>
      </c>
      <c r="D84" s="129" t="s">
        <v>1361</v>
      </c>
      <c r="E84" s="159">
        <v>2166</v>
      </c>
      <c r="F84" s="159"/>
      <c r="G84" s="159"/>
      <c r="H84" s="160">
        <v>510.91</v>
      </c>
      <c r="I84" s="161">
        <f t="shared" si="1"/>
        <v>1106631.06</v>
      </c>
      <c r="J84" s="135" t="s">
        <v>1355</v>
      </c>
      <c r="K84" s="135" t="s">
        <v>1527</v>
      </c>
      <c r="L84" s="134" t="s">
        <v>1650</v>
      </c>
    </row>
    <row r="85" spans="1:12" x14ac:dyDescent="0.2">
      <c r="A85" s="158" t="s">
        <v>1653</v>
      </c>
      <c r="B85" s="242"/>
      <c r="C85" s="135" t="s">
        <v>1655</v>
      </c>
      <c r="D85" s="129" t="s">
        <v>1361</v>
      </c>
      <c r="E85" s="159">
        <v>690.6</v>
      </c>
      <c r="F85" s="159"/>
      <c r="G85" s="159"/>
      <c r="H85" s="160">
        <v>343.28</v>
      </c>
      <c r="I85" s="161">
        <f t="shared" si="1"/>
        <v>237069.16799999998</v>
      </c>
      <c r="J85" s="135" t="s">
        <v>1355</v>
      </c>
      <c r="K85" s="135" t="s">
        <v>1527</v>
      </c>
      <c r="L85" s="134" t="s">
        <v>1654</v>
      </c>
    </row>
    <row r="86" spans="1:12" x14ac:dyDescent="0.2">
      <c r="A86" s="158" t="s">
        <v>1657</v>
      </c>
      <c r="B86" s="242"/>
      <c r="C86" s="135" t="s">
        <v>1659</v>
      </c>
      <c r="D86" s="139" t="s">
        <v>1627</v>
      </c>
      <c r="E86" s="159">
        <v>130</v>
      </c>
      <c r="F86" s="159"/>
      <c r="G86" s="159"/>
      <c r="H86" s="160">
        <v>133.96</v>
      </c>
      <c r="I86" s="161">
        <f t="shared" si="1"/>
        <v>17414.8</v>
      </c>
      <c r="J86" s="135" t="s">
        <v>1355</v>
      </c>
      <c r="K86" s="135" t="s">
        <v>1527</v>
      </c>
      <c r="L86" s="134" t="s">
        <v>1658</v>
      </c>
    </row>
    <row r="87" spans="1:12" ht="13.5" thickBot="1" x14ac:dyDescent="0.25">
      <c r="A87" s="162" t="s">
        <v>1661</v>
      </c>
      <c r="B87" s="243"/>
      <c r="C87" s="142" t="s">
        <v>1663</v>
      </c>
      <c r="D87" s="139" t="s">
        <v>1383</v>
      </c>
      <c r="E87" s="163">
        <v>10386</v>
      </c>
      <c r="F87" s="163"/>
      <c r="G87" s="163"/>
      <c r="H87" s="164">
        <v>55.24</v>
      </c>
      <c r="I87" s="165">
        <f t="shared" si="1"/>
        <v>573722.64</v>
      </c>
      <c r="J87" s="142" t="s">
        <v>1355</v>
      </c>
      <c r="K87" s="142" t="s">
        <v>1527</v>
      </c>
      <c r="L87" s="141" t="s">
        <v>1662</v>
      </c>
    </row>
    <row r="88" spans="1:12" ht="13.5" thickBot="1" x14ac:dyDescent="0.25">
      <c r="A88" s="147">
        <v>5</v>
      </c>
      <c r="B88" s="240"/>
      <c r="C88" s="150" t="str">
        <f>K88</f>
        <v xml:space="preserve"> OBRAS DE CONTENÇÃO GEOTÉCNICA  </v>
      </c>
      <c r="D88" s="150" t="s">
        <v>1528</v>
      </c>
      <c r="E88" s="151"/>
      <c r="F88" s="151"/>
      <c r="G88" s="151"/>
      <c r="H88" s="152"/>
      <c r="I88" s="153"/>
      <c r="J88" s="149" t="s">
        <v>1355</v>
      </c>
      <c r="K88" s="149" t="s">
        <v>1665</v>
      </c>
      <c r="L88" s="166">
        <v>25</v>
      </c>
    </row>
    <row r="89" spans="1:12" x14ac:dyDescent="0.2">
      <c r="A89" s="154" t="s">
        <v>1667</v>
      </c>
      <c r="B89" s="241"/>
      <c r="C89" s="128" t="s">
        <v>1669</v>
      </c>
      <c r="D89" s="139" t="s">
        <v>1374</v>
      </c>
      <c r="E89" s="155">
        <v>1562.9</v>
      </c>
      <c r="F89" s="155"/>
      <c r="G89" s="155"/>
      <c r="H89" s="156">
        <v>294.37</v>
      </c>
      <c r="I89" s="157">
        <f>E89*H89</f>
        <v>460070.87300000002</v>
      </c>
      <c r="J89" s="128" t="s">
        <v>1355</v>
      </c>
      <c r="K89" s="128" t="s">
        <v>1665</v>
      </c>
      <c r="L89" s="127" t="s">
        <v>1668</v>
      </c>
    </row>
    <row r="90" spans="1:12" x14ac:dyDescent="0.2">
      <c r="A90" s="158" t="s">
        <v>1671</v>
      </c>
      <c r="B90" s="242"/>
      <c r="C90" s="135" t="s">
        <v>1428</v>
      </c>
      <c r="D90" s="139" t="s">
        <v>1374</v>
      </c>
      <c r="E90" s="159">
        <v>199090</v>
      </c>
      <c r="F90" s="159"/>
      <c r="G90" s="159"/>
      <c r="H90" s="160">
        <v>4.9000000000000004</v>
      </c>
      <c r="I90" s="161">
        <f t="shared" ref="I90:I123" si="2">E90*H90</f>
        <v>975541.00000000012</v>
      </c>
      <c r="J90" s="135" t="s">
        <v>1355</v>
      </c>
      <c r="K90" s="135" t="s">
        <v>1665</v>
      </c>
      <c r="L90" s="134" t="s">
        <v>1427</v>
      </c>
    </row>
    <row r="91" spans="1:12" x14ac:dyDescent="0.2">
      <c r="A91" s="158" t="s">
        <v>1673</v>
      </c>
      <c r="B91" s="242"/>
      <c r="C91" s="135" t="s">
        <v>1675</v>
      </c>
      <c r="D91" s="139" t="s">
        <v>1374</v>
      </c>
      <c r="E91" s="159">
        <v>90000</v>
      </c>
      <c r="F91" s="159"/>
      <c r="G91" s="159"/>
      <c r="H91" s="160">
        <v>10.66</v>
      </c>
      <c r="I91" s="161">
        <f t="shared" si="2"/>
        <v>959400</v>
      </c>
      <c r="J91" s="135" t="s">
        <v>1355</v>
      </c>
      <c r="K91" s="135" t="s">
        <v>1665</v>
      </c>
      <c r="L91" s="134" t="s">
        <v>1674</v>
      </c>
    </row>
    <row r="92" spans="1:12" x14ac:dyDescent="0.2">
      <c r="A92" s="158" t="s">
        <v>1677</v>
      </c>
      <c r="B92" s="242"/>
      <c r="C92" s="135" t="s">
        <v>1482</v>
      </c>
      <c r="D92" s="139" t="s">
        <v>1374</v>
      </c>
      <c r="E92" s="159">
        <v>268240</v>
      </c>
      <c r="F92" s="159"/>
      <c r="G92" s="159"/>
      <c r="H92" s="160">
        <v>2.21</v>
      </c>
      <c r="I92" s="161">
        <f t="shared" si="2"/>
        <v>592810.4</v>
      </c>
      <c r="J92" s="135" t="s">
        <v>1355</v>
      </c>
      <c r="K92" s="135" t="s">
        <v>1665</v>
      </c>
      <c r="L92" s="134" t="s">
        <v>1481</v>
      </c>
    </row>
    <row r="93" spans="1:12" x14ac:dyDescent="0.2">
      <c r="A93" s="158" t="s">
        <v>1679</v>
      </c>
      <c r="B93" s="242"/>
      <c r="C93" s="135" t="s">
        <v>1456</v>
      </c>
      <c r="D93" s="143" t="s">
        <v>1418</v>
      </c>
      <c r="E93" s="159">
        <v>2836200</v>
      </c>
      <c r="F93" s="159"/>
      <c r="G93" s="159"/>
      <c r="H93" s="160">
        <v>1.26</v>
      </c>
      <c r="I93" s="161">
        <f t="shared" si="2"/>
        <v>3573612</v>
      </c>
      <c r="J93" s="135" t="s">
        <v>1355</v>
      </c>
      <c r="K93" s="135" t="s">
        <v>1665</v>
      </c>
      <c r="L93" s="134" t="s">
        <v>1455</v>
      </c>
    </row>
    <row r="94" spans="1:12" x14ac:dyDescent="0.2">
      <c r="A94" s="158" t="s">
        <v>1681</v>
      </c>
      <c r="B94" s="242"/>
      <c r="C94" s="135" t="s">
        <v>1683</v>
      </c>
      <c r="D94" s="143" t="s">
        <v>1418</v>
      </c>
      <c r="E94" s="159">
        <v>7129600</v>
      </c>
      <c r="F94" s="159"/>
      <c r="G94" s="159"/>
      <c r="H94" s="160">
        <v>0.99</v>
      </c>
      <c r="I94" s="161">
        <f t="shared" si="2"/>
        <v>7058304</v>
      </c>
      <c r="J94" s="135" t="s">
        <v>1355</v>
      </c>
      <c r="K94" s="135" t="s">
        <v>1665</v>
      </c>
      <c r="L94" s="134" t="s">
        <v>1682</v>
      </c>
    </row>
    <row r="95" spans="1:12" x14ac:dyDescent="0.2">
      <c r="A95" s="158" t="s">
        <v>1685</v>
      </c>
      <c r="B95" s="242"/>
      <c r="C95" s="135" t="s">
        <v>1687</v>
      </c>
      <c r="D95" s="143" t="s">
        <v>1418</v>
      </c>
      <c r="E95" s="159">
        <v>4394542.09</v>
      </c>
      <c r="F95" s="159"/>
      <c r="G95" s="159"/>
      <c r="H95" s="160">
        <v>2.41</v>
      </c>
      <c r="I95" s="161">
        <f t="shared" si="2"/>
        <v>10590846.436900001</v>
      </c>
      <c r="J95" s="135" t="s">
        <v>1355</v>
      </c>
      <c r="K95" s="135" t="s">
        <v>1665</v>
      </c>
      <c r="L95" s="134" t="s">
        <v>1686</v>
      </c>
    </row>
    <row r="96" spans="1:12" x14ac:dyDescent="0.2">
      <c r="A96" s="158" t="s">
        <v>1689</v>
      </c>
      <c r="B96" s="242"/>
      <c r="C96" s="135" t="s">
        <v>1476</v>
      </c>
      <c r="D96" s="139" t="s">
        <v>1374</v>
      </c>
      <c r="E96" s="159">
        <v>189080</v>
      </c>
      <c r="F96" s="159"/>
      <c r="G96" s="159"/>
      <c r="H96" s="160">
        <v>3.01</v>
      </c>
      <c r="I96" s="161">
        <f t="shared" si="2"/>
        <v>569130.79999999993</v>
      </c>
      <c r="J96" s="135" t="s">
        <v>1355</v>
      </c>
      <c r="K96" s="135" t="s">
        <v>1665</v>
      </c>
      <c r="L96" s="134" t="s">
        <v>1475</v>
      </c>
    </row>
    <row r="97" spans="1:12" x14ac:dyDescent="0.2">
      <c r="A97" s="158" t="s">
        <v>1691</v>
      </c>
      <c r="B97" s="242"/>
      <c r="C97" s="135" t="s">
        <v>1693</v>
      </c>
      <c r="D97" s="139" t="s">
        <v>1374</v>
      </c>
      <c r="E97" s="159">
        <v>24396</v>
      </c>
      <c r="F97" s="159"/>
      <c r="G97" s="159"/>
      <c r="H97" s="160">
        <v>101.3</v>
      </c>
      <c r="I97" s="161">
        <f t="shared" si="2"/>
        <v>2471314.7999999998</v>
      </c>
      <c r="J97" s="135" t="s">
        <v>1355</v>
      </c>
      <c r="K97" s="135" t="s">
        <v>1665</v>
      </c>
      <c r="L97" s="134" t="s">
        <v>1692</v>
      </c>
    </row>
    <row r="98" spans="1:12" x14ac:dyDescent="0.2">
      <c r="A98" s="158" t="s">
        <v>1695</v>
      </c>
      <c r="B98" s="242"/>
      <c r="C98" s="135" t="s">
        <v>1697</v>
      </c>
      <c r="D98" s="139" t="s">
        <v>1374</v>
      </c>
      <c r="E98" s="159">
        <v>25662.52</v>
      </c>
      <c r="F98" s="159"/>
      <c r="G98" s="159"/>
      <c r="H98" s="160">
        <v>8.52</v>
      </c>
      <c r="I98" s="161">
        <f t="shared" si="2"/>
        <v>218644.6704</v>
      </c>
      <c r="J98" s="135" t="s">
        <v>1355</v>
      </c>
      <c r="K98" s="135" t="s">
        <v>1665</v>
      </c>
      <c r="L98" s="134" t="s">
        <v>1696</v>
      </c>
    </row>
    <row r="99" spans="1:12" x14ac:dyDescent="0.2">
      <c r="A99" s="158" t="s">
        <v>1699</v>
      </c>
      <c r="B99" s="242"/>
      <c r="C99" s="135" t="s">
        <v>1701</v>
      </c>
      <c r="D99" s="139" t="s">
        <v>1374</v>
      </c>
      <c r="E99" s="159">
        <v>1100</v>
      </c>
      <c r="F99" s="159"/>
      <c r="G99" s="159"/>
      <c r="H99" s="160">
        <v>131.19</v>
      </c>
      <c r="I99" s="161">
        <f t="shared" si="2"/>
        <v>144309</v>
      </c>
      <c r="J99" s="135" t="s">
        <v>1355</v>
      </c>
      <c r="K99" s="135" t="s">
        <v>1665</v>
      </c>
      <c r="L99" s="134" t="s">
        <v>1700</v>
      </c>
    </row>
    <row r="100" spans="1:12" x14ac:dyDescent="0.2">
      <c r="A100" s="158" t="s">
        <v>1703</v>
      </c>
      <c r="B100" s="242"/>
      <c r="C100" s="135" t="s">
        <v>1705</v>
      </c>
      <c r="D100" s="139" t="s">
        <v>1383</v>
      </c>
      <c r="E100" s="159">
        <v>40660</v>
      </c>
      <c r="F100" s="159"/>
      <c r="G100" s="159"/>
      <c r="H100" s="160">
        <v>16.95</v>
      </c>
      <c r="I100" s="161">
        <f t="shared" si="2"/>
        <v>689187</v>
      </c>
      <c r="J100" s="135" t="s">
        <v>1355</v>
      </c>
      <c r="K100" s="135" t="s">
        <v>1665</v>
      </c>
      <c r="L100" s="134" t="s">
        <v>1704</v>
      </c>
    </row>
    <row r="101" spans="1:12" x14ac:dyDescent="0.2">
      <c r="A101" s="158" t="s">
        <v>1707</v>
      </c>
      <c r="B101" s="242"/>
      <c r="C101" s="135" t="s">
        <v>1709</v>
      </c>
      <c r="D101" s="129" t="s">
        <v>1361</v>
      </c>
      <c r="E101" s="159">
        <v>630</v>
      </c>
      <c r="F101" s="159"/>
      <c r="G101" s="159"/>
      <c r="H101" s="160">
        <v>44.53</v>
      </c>
      <c r="I101" s="161">
        <f t="shared" si="2"/>
        <v>28053.9</v>
      </c>
      <c r="J101" s="135" t="s">
        <v>1355</v>
      </c>
      <c r="K101" s="135" t="s">
        <v>1665</v>
      </c>
      <c r="L101" s="134" t="s">
        <v>1708</v>
      </c>
    </row>
    <row r="102" spans="1:12" x14ac:dyDescent="0.2">
      <c r="A102" s="158" t="s">
        <v>1711</v>
      </c>
      <c r="B102" s="242"/>
      <c r="C102" s="135" t="s">
        <v>1713</v>
      </c>
      <c r="D102" s="139" t="s">
        <v>1627</v>
      </c>
      <c r="E102" s="159">
        <v>280</v>
      </c>
      <c r="F102" s="159"/>
      <c r="G102" s="159"/>
      <c r="H102" s="160">
        <v>334.46</v>
      </c>
      <c r="I102" s="161">
        <f t="shared" si="2"/>
        <v>93648.799999999988</v>
      </c>
      <c r="J102" s="135" t="s">
        <v>1355</v>
      </c>
      <c r="K102" s="135" t="s">
        <v>1665</v>
      </c>
      <c r="L102" s="134" t="s">
        <v>1712</v>
      </c>
    </row>
    <row r="103" spans="1:12" x14ac:dyDescent="0.2">
      <c r="A103" s="158" t="s">
        <v>1715</v>
      </c>
      <c r="B103" s="242"/>
      <c r="C103" s="135" t="s">
        <v>1717</v>
      </c>
      <c r="D103" s="129" t="s">
        <v>1361</v>
      </c>
      <c r="E103" s="159">
        <v>9144</v>
      </c>
      <c r="F103" s="159"/>
      <c r="G103" s="159"/>
      <c r="H103" s="160">
        <v>35.42</v>
      </c>
      <c r="I103" s="161">
        <f t="shared" si="2"/>
        <v>323880.48000000004</v>
      </c>
      <c r="J103" s="135" t="s">
        <v>1355</v>
      </c>
      <c r="K103" s="135" t="s">
        <v>1665</v>
      </c>
      <c r="L103" s="134" t="s">
        <v>1716</v>
      </c>
    </row>
    <row r="104" spans="1:12" x14ac:dyDescent="0.2">
      <c r="A104" s="158" t="s">
        <v>1719</v>
      </c>
      <c r="B104" s="242"/>
      <c r="C104" s="135" t="s">
        <v>1721</v>
      </c>
      <c r="D104" s="139" t="s">
        <v>1627</v>
      </c>
      <c r="E104" s="159">
        <v>10</v>
      </c>
      <c r="F104" s="159"/>
      <c r="G104" s="159"/>
      <c r="H104" s="160">
        <v>10475.85</v>
      </c>
      <c r="I104" s="161">
        <f t="shared" si="2"/>
        <v>104758.5</v>
      </c>
      <c r="J104" s="135" t="s">
        <v>1355</v>
      </c>
      <c r="K104" s="135" t="s">
        <v>1665</v>
      </c>
      <c r="L104" s="134" t="s">
        <v>1720</v>
      </c>
    </row>
    <row r="105" spans="1:12" x14ac:dyDescent="0.2">
      <c r="A105" s="158" t="s">
        <v>1723</v>
      </c>
      <c r="B105" s="242"/>
      <c r="C105" s="135" t="s">
        <v>1725</v>
      </c>
      <c r="D105" s="129" t="s">
        <v>1361</v>
      </c>
      <c r="E105" s="159">
        <v>690</v>
      </c>
      <c r="F105" s="159"/>
      <c r="G105" s="159"/>
      <c r="H105" s="160">
        <v>114.75</v>
      </c>
      <c r="I105" s="161">
        <f t="shared" si="2"/>
        <v>79177.5</v>
      </c>
      <c r="J105" s="135" t="s">
        <v>1355</v>
      </c>
      <c r="K105" s="135" t="s">
        <v>1665</v>
      </c>
      <c r="L105" s="134" t="s">
        <v>1724</v>
      </c>
    </row>
    <row r="106" spans="1:12" x14ac:dyDescent="0.2">
      <c r="A106" s="158" t="s">
        <v>1727</v>
      </c>
      <c r="B106" s="242"/>
      <c r="C106" s="135" t="s">
        <v>1729</v>
      </c>
      <c r="D106" s="139" t="s">
        <v>1627</v>
      </c>
      <c r="E106" s="159">
        <v>70</v>
      </c>
      <c r="F106" s="159"/>
      <c r="G106" s="159"/>
      <c r="H106" s="160">
        <v>31671</v>
      </c>
      <c r="I106" s="161">
        <f t="shared" si="2"/>
        <v>2216970</v>
      </c>
      <c r="J106" s="135" t="s">
        <v>1355</v>
      </c>
      <c r="K106" s="135" t="s">
        <v>1665</v>
      </c>
      <c r="L106" s="134" t="s">
        <v>1728</v>
      </c>
    </row>
    <row r="107" spans="1:12" x14ac:dyDescent="0.2">
      <c r="A107" s="158" t="s">
        <v>1731</v>
      </c>
      <c r="B107" s="242"/>
      <c r="C107" s="135" t="s">
        <v>1536</v>
      </c>
      <c r="D107" s="139" t="s">
        <v>1374</v>
      </c>
      <c r="E107" s="159">
        <v>542191.72</v>
      </c>
      <c r="F107" s="159"/>
      <c r="G107" s="159"/>
      <c r="H107" s="160">
        <v>10.92</v>
      </c>
      <c r="I107" s="161">
        <f t="shared" si="2"/>
        <v>5920733.5823999997</v>
      </c>
      <c r="J107" s="135" t="s">
        <v>1355</v>
      </c>
      <c r="K107" s="135" t="s">
        <v>1665</v>
      </c>
      <c r="L107" s="134" t="s">
        <v>1732</v>
      </c>
    </row>
    <row r="108" spans="1:12" x14ac:dyDescent="0.2">
      <c r="A108" s="158" t="s">
        <v>1734</v>
      </c>
      <c r="B108" s="242"/>
      <c r="C108" s="135" t="s">
        <v>1552</v>
      </c>
      <c r="D108" s="139" t="s">
        <v>1383</v>
      </c>
      <c r="E108" s="159">
        <v>15769.66</v>
      </c>
      <c r="F108" s="159"/>
      <c r="G108" s="159"/>
      <c r="H108" s="160">
        <v>80.069999999999993</v>
      </c>
      <c r="I108" s="161">
        <f t="shared" si="2"/>
        <v>1262676.6761999999</v>
      </c>
      <c r="J108" s="135" t="s">
        <v>1355</v>
      </c>
      <c r="K108" s="135" t="s">
        <v>1665</v>
      </c>
      <c r="L108" s="134" t="s">
        <v>1735</v>
      </c>
    </row>
    <row r="109" spans="1:12" x14ac:dyDescent="0.2">
      <c r="A109" s="158" t="s">
        <v>1737</v>
      </c>
      <c r="B109" s="242"/>
      <c r="C109" s="135" t="s">
        <v>1556</v>
      </c>
      <c r="D109" s="139" t="s">
        <v>1557</v>
      </c>
      <c r="E109" s="159">
        <v>11022784.800000001</v>
      </c>
      <c r="F109" s="159"/>
      <c r="G109" s="159"/>
      <c r="H109" s="160">
        <v>8.52</v>
      </c>
      <c r="I109" s="161">
        <f t="shared" si="2"/>
        <v>93914126.496000007</v>
      </c>
      <c r="J109" s="135" t="s">
        <v>1355</v>
      </c>
      <c r="K109" s="135" t="s">
        <v>1665</v>
      </c>
      <c r="L109" s="134" t="s">
        <v>1738</v>
      </c>
    </row>
    <row r="110" spans="1:12" x14ac:dyDescent="0.2">
      <c r="A110" s="158" t="s">
        <v>1740</v>
      </c>
      <c r="B110" s="242"/>
      <c r="C110" s="135" t="s">
        <v>1742</v>
      </c>
      <c r="D110" s="139" t="s">
        <v>1557</v>
      </c>
      <c r="E110" s="159">
        <v>198481.2</v>
      </c>
      <c r="F110" s="159"/>
      <c r="G110" s="159"/>
      <c r="H110" s="160">
        <v>9.1999999999999993</v>
      </c>
      <c r="I110" s="161">
        <f t="shared" si="2"/>
        <v>1826027.04</v>
      </c>
      <c r="J110" s="135" t="s">
        <v>1355</v>
      </c>
      <c r="K110" s="135" t="s">
        <v>1665</v>
      </c>
      <c r="L110" s="134" t="s">
        <v>1741</v>
      </c>
    </row>
    <row r="111" spans="1:12" x14ac:dyDescent="0.2">
      <c r="A111" s="158" t="s">
        <v>1744</v>
      </c>
      <c r="B111" s="242"/>
      <c r="C111" s="135" t="s">
        <v>1746</v>
      </c>
      <c r="D111" s="139" t="s">
        <v>1557</v>
      </c>
      <c r="E111" s="159">
        <v>33033.550000000003</v>
      </c>
      <c r="F111" s="159"/>
      <c r="G111" s="159"/>
      <c r="H111" s="160">
        <v>7.38</v>
      </c>
      <c r="I111" s="161">
        <f t="shared" si="2"/>
        <v>243787.59900000002</v>
      </c>
      <c r="J111" s="135" t="s">
        <v>1355</v>
      </c>
      <c r="K111" s="135" t="s">
        <v>1665</v>
      </c>
      <c r="L111" s="134" t="s">
        <v>1745</v>
      </c>
    </row>
    <row r="112" spans="1:12" x14ac:dyDescent="0.2">
      <c r="A112" s="158" t="s">
        <v>1748</v>
      </c>
      <c r="B112" s="242"/>
      <c r="C112" s="135" t="s">
        <v>1565</v>
      </c>
      <c r="D112" s="139" t="s">
        <v>1374</v>
      </c>
      <c r="E112" s="159">
        <v>1562.9</v>
      </c>
      <c r="F112" s="159"/>
      <c r="G112" s="159"/>
      <c r="H112" s="160">
        <v>426.19</v>
      </c>
      <c r="I112" s="161">
        <f t="shared" si="2"/>
        <v>666092.35100000002</v>
      </c>
      <c r="J112" s="135" t="s">
        <v>1355</v>
      </c>
      <c r="K112" s="135" t="s">
        <v>1665</v>
      </c>
      <c r="L112" s="134" t="s">
        <v>1749</v>
      </c>
    </row>
    <row r="113" spans="1:12" x14ac:dyDescent="0.2">
      <c r="A113" s="158" t="s">
        <v>1751</v>
      </c>
      <c r="B113" s="242"/>
      <c r="C113" s="135" t="s">
        <v>1569</v>
      </c>
      <c r="D113" s="139" t="s">
        <v>1374</v>
      </c>
      <c r="E113" s="159">
        <v>108993</v>
      </c>
      <c r="F113" s="159"/>
      <c r="G113" s="159"/>
      <c r="H113" s="160">
        <v>455.28</v>
      </c>
      <c r="I113" s="161">
        <f t="shared" si="2"/>
        <v>49622333.039999999</v>
      </c>
      <c r="J113" s="135" t="s">
        <v>1355</v>
      </c>
      <c r="K113" s="135" t="s">
        <v>1665</v>
      </c>
      <c r="L113" s="134" t="s">
        <v>1752</v>
      </c>
    </row>
    <row r="114" spans="1:12" x14ac:dyDescent="0.2">
      <c r="A114" s="158" t="s">
        <v>1754</v>
      </c>
      <c r="B114" s="242"/>
      <c r="C114" s="135" t="s">
        <v>1756</v>
      </c>
      <c r="D114" s="139" t="s">
        <v>1557</v>
      </c>
      <c r="E114" s="159">
        <v>1591744.5</v>
      </c>
      <c r="F114" s="159"/>
      <c r="G114" s="159"/>
      <c r="H114" s="160">
        <v>10.69</v>
      </c>
      <c r="I114" s="161">
        <f t="shared" si="2"/>
        <v>17015748.704999998</v>
      </c>
      <c r="J114" s="135" t="s">
        <v>1355</v>
      </c>
      <c r="K114" s="135" t="s">
        <v>1665</v>
      </c>
      <c r="L114" s="134" t="s">
        <v>1755</v>
      </c>
    </row>
    <row r="115" spans="1:12" x14ac:dyDescent="0.2">
      <c r="A115" s="158" t="s">
        <v>1758</v>
      </c>
      <c r="B115" s="242"/>
      <c r="C115" s="135" t="s">
        <v>1760</v>
      </c>
      <c r="D115" s="139" t="s">
        <v>1557</v>
      </c>
      <c r="E115" s="159">
        <v>10492093.15</v>
      </c>
      <c r="F115" s="159"/>
      <c r="G115" s="159"/>
      <c r="H115" s="160">
        <v>10.89</v>
      </c>
      <c r="I115" s="161">
        <f t="shared" si="2"/>
        <v>114258894.40350001</v>
      </c>
      <c r="J115" s="135" t="s">
        <v>1355</v>
      </c>
      <c r="K115" s="135" t="s">
        <v>1665</v>
      </c>
      <c r="L115" s="134" t="s">
        <v>1759</v>
      </c>
    </row>
    <row r="116" spans="1:12" x14ac:dyDescent="0.2">
      <c r="A116" s="158" t="s">
        <v>1762</v>
      </c>
      <c r="B116" s="242"/>
      <c r="C116" s="135" t="s">
        <v>1764</v>
      </c>
      <c r="D116" s="129" t="s">
        <v>1361</v>
      </c>
      <c r="E116" s="159">
        <v>1200</v>
      </c>
      <c r="F116" s="159"/>
      <c r="G116" s="159"/>
      <c r="H116" s="160">
        <v>4830</v>
      </c>
      <c r="I116" s="161">
        <f t="shared" si="2"/>
        <v>5796000</v>
      </c>
      <c r="J116" s="135" t="s">
        <v>1355</v>
      </c>
      <c r="K116" s="135" t="s">
        <v>1665</v>
      </c>
      <c r="L116" s="134" t="s">
        <v>1763</v>
      </c>
    </row>
    <row r="117" spans="1:12" x14ac:dyDescent="0.2">
      <c r="A117" s="158" t="s">
        <v>1766</v>
      </c>
      <c r="B117" s="242"/>
      <c r="C117" s="135" t="s">
        <v>1768</v>
      </c>
      <c r="D117" s="139" t="s">
        <v>1374</v>
      </c>
      <c r="E117" s="159">
        <v>48342.36</v>
      </c>
      <c r="F117" s="159"/>
      <c r="G117" s="159"/>
      <c r="H117" s="160">
        <v>541.88</v>
      </c>
      <c r="I117" s="161">
        <f t="shared" si="2"/>
        <v>26195758.036800001</v>
      </c>
      <c r="J117" s="135" t="s">
        <v>1355</v>
      </c>
      <c r="K117" s="135" t="s">
        <v>1665</v>
      </c>
      <c r="L117" s="134" t="s">
        <v>1767</v>
      </c>
    </row>
    <row r="118" spans="1:12" x14ac:dyDescent="0.2">
      <c r="A118" s="158" t="s">
        <v>1770</v>
      </c>
      <c r="B118" s="242"/>
      <c r="C118" s="135" t="s">
        <v>1772</v>
      </c>
      <c r="D118" s="139" t="s">
        <v>1374</v>
      </c>
      <c r="E118" s="159">
        <v>29731.05</v>
      </c>
      <c r="F118" s="159"/>
      <c r="G118" s="159"/>
      <c r="H118" s="160">
        <v>3427.5</v>
      </c>
      <c r="I118" s="161">
        <f t="shared" si="2"/>
        <v>101903173.875</v>
      </c>
      <c r="J118" s="135" t="s">
        <v>1355</v>
      </c>
      <c r="K118" s="135" t="s">
        <v>1665</v>
      </c>
      <c r="L118" s="134" t="s">
        <v>1771</v>
      </c>
    </row>
    <row r="119" spans="1:12" x14ac:dyDescent="0.2">
      <c r="A119" s="158" t="s">
        <v>1774</v>
      </c>
      <c r="B119" s="242"/>
      <c r="C119" s="135" t="s">
        <v>1776</v>
      </c>
      <c r="D119" s="139" t="s">
        <v>1374</v>
      </c>
      <c r="E119" s="159">
        <v>11993</v>
      </c>
      <c r="F119" s="159"/>
      <c r="G119" s="159"/>
      <c r="H119" s="160">
        <v>3427.5</v>
      </c>
      <c r="I119" s="161">
        <f t="shared" si="2"/>
        <v>41106007.5</v>
      </c>
      <c r="J119" s="135" t="s">
        <v>1355</v>
      </c>
      <c r="K119" s="135" t="s">
        <v>1665</v>
      </c>
      <c r="L119" s="134" t="s">
        <v>1775</v>
      </c>
    </row>
    <row r="120" spans="1:12" x14ac:dyDescent="0.2">
      <c r="A120" s="158" t="s">
        <v>1778</v>
      </c>
      <c r="B120" s="242"/>
      <c r="C120" s="135" t="s">
        <v>1780</v>
      </c>
      <c r="D120" s="139" t="s">
        <v>1374</v>
      </c>
      <c r="E120" s="159">
        <v>11993</v>
      </c>
      <c r="F120" s="159"/>
      <c r="G120" s="159"/>
      <c r="H120" s="160">
        <v>541.88</v>
      </c>
      <c r="I120" s="161">
        <f t="shared" si="2"/>
        <v>6498766.8399999999</v>
      </c>
      <c r="J120" s="135" t="s">
        <v>1355</v>
      </c>
      <c r="K120" s="135" t="s">
        <v>1665</v>
      </c>
      <c r="L120" s="134" t="s">
        <v>1779</v>
      </c>
    </row>
    <row r="121" spans="1:12" x14ac:dyDescent="0.2">
      <c r="A121" s="158" t="s">
        <v>1782</v>
      </c>
      <c r="B121" s="242"/>
      <c r="C121" s="135" t="s">
        <v>1784</v>
      </c>
      <c r="D121" s="129" t="s">
        <v>1361</v>
      </c>
      <c r="E121" s="159">
        <v>341430</v>
      </c>
      <c r="F121" s="159"/>
      <c r="G121" s="159"/>
      <c r="H121" s="160">
        <v>49.95</v>
      </c>
      <c r="I121" s="161">
        <f t="shared" si="2"/>
        <v>17054428.5</v>
      </c>
      <c r="J121" s="135" t="s">
        <v>1355</v>
      </c>
      <c r="K121" s="135" t="s">
        <v>1665</v>
      </c>
      <c r="L121" s="134" t="s">
        <v>1783</v>
      </c>
    </row>
    <row r="122" spans="1:12" x14ac:dyDescent="0.2">
      <c r="A122" s="158" t="s">
        <v>1786</v>
      </c>
      <c r="B122" s="242"/>
      <c r="C122" s="135" t="s">
        <v>1788</v>
      </c>
      <c r="D122" s="129" t="s">
        <v>1361</v>
      </c>
      <c r="E122" s="159">
        <v>74148</v>
      </c>
      <c r="F122" s="159"/>
      <c r="G122" s="159"/>
      <c r="H122" s="160">
        <v>618.6</v>
      </c>
      <c r="I122" s="161">
        <f t="shared" si="2"/>
        <v>45867952.800000004</v>
      </c>
      <c r="J122" s="135" t="s">
        <v>1355</v>
      </c>
      <c r="K122" s="135" t="s">
        <v>1665</v>
      </c>
      <c r="L122" s="134" t="s">
        <v>1787</v>
      </c>
    </row>
    <row r="123" spans="1:12" ht="13.5" thickBot="1" x14ac:dyDescent="0.25">
      <c r="A123" s="162" t="s">
        <v>1790</v>
      </c>
      <c r="B123" s="243"/>
      <c r="C123" s="142" t="s">
        <v>1792</v>
      </c>
      <c r="D123" s="139" t="s">
        <v>1557</v>
      </c>
      <c r="E123" s="163">
        <v>203812.21</v>
      </c>
      <c r="F123" s="163"/>
      <c r="G123" s="163"/>
      <c r="H123" s="164">
        <v>10.76</v>
      </c>
      <c r="I123" s="165">
        <f t="shared" si="2"/>
        <v>2193019.3795999996</v>
      </c>
      <c r="J123" s="142" t="s">
        <v>1355</v>
      </c>
      <c r="K123" s="142" t="s">
        <v>1665</v>
      </c>
      <c r="L123" s="141" t="s">
        <v>1791</v>
      </c>
    </row>
    <row r="124" spans="1:12" ht="13.5" thickBot="1" x14ac:dyDescent="0.25">
      <c r="A124" s="147">
        <v>6</v>
      </c>
      <c r="B124" s="240"/>
      <c r="C124" s="150" t="str">
        <f>K124</f>
        <v xml:space="preserve"> OBRAS DE ARTE ESPECIAIS  </v>
      </c>
      <c r="D124" s="150" t="s">
        <v>1528</v>
      </c>
      <c r="E124" s="151"/>
      <c r="F124" s="151"/>
      <c r="G124" s="151"/>
      <c r="H124" s="152"/>
      <c r="I124" s="153"/>
      <c r="J124" s="149" t="s">
        <v>1355</v>
      </c>
      <c r="K124" s="149" t="s">
        <v>1794</v>
      </c>
      <c r="L124" s="166">
        <v>26</v>
      </c>
    </row>
    <row r="125" spans="1:12" x14ac:dyDescent="0.2">
      <c r="A125" s="154" t="s">
        <v>1796</v>
      </c>
      <c r="B125" s="241"/>
      <c r="C125" s="128" t="s">
        <v>1675</v>
      </c>
      <c r="D125" s="139" t="s">
        <v>1374</v>
      </c>
      <c r="E125" s="155">
        <v>9836</v>
      </c>
      <c r="F125" s="155"/>
      <c r="G125" s="155"/>
      <c r="H125" s="156">
        <v>10.66</v>
      </c>
      <c r="I125" s="157">
        <f>E125*H125</f>
        <v>104851.76</v>
      </c>
      <c r="J125" s="128" t="s">
        <v>1355</v>
      </c>
      <c r="K125" s="128" t="s">
        <v>1794</v>
      </c>
      <c r="L125" s="127" t="s">
        <v>1674</v>
      </c>
    </row>
    <row r="126" spans="1:12" x14ac:dyDescent="0.2">
      <c r="A126" s="158" t="s">
        <v>1798</v>
      </c>
      <c r="B126" s="242"/>
      <c r="C126" s="135" t="s">
        <v>1593</v>
      </c>
      <c r="D126" s="139" t="s">
        <v>1374</v>
      </c>
      <c r="E126" s="159">
        <v>2067</v>
      </c>
      <c r="F126" s="159"/>
      <c r="G126" s="159"/>
      <c r="H126" s="160">
        <v>24.16</v>
      </c>
      <c r="I126" s="161">
        <f t="shared" ref="I126:I163" si="3">E126*H126</f>
        <v>49938.720000000001</v>
      </c>
      <c r="J126" s="135" t="s">
        <v>1355</v>
      </c>
      <c r="K126" s="135" t="s">
        <v>1794</v>
      </c>
      <c r="L126" s="134" t="s">
        <v>1592</v>
      </c>
    </row>
    <row r="127" spans="1:12" x14ac:dyDescent="0.2">
      <c r="A127" s="158" t="s">
        <v>1800</v>
      </c>
      <c r="B127" s="242"/>
      <c r="C127" s="135" t="s">
        <v>1802</v>
      </c>
      <c r="D127" s="139" t="s">
        <v>1383</v>
      </c>
      <c r="E127" s="159">
        <v>19520</v>
      </c>
      <c r="F127" s="159"/>
      <c r="G127" s="159"/>
      <c r="H127" s="160">
        <v>716.86</v>
      </c>
      <c r="I127" s="161">
        <f t="shared" si="3"/>
        <v>13993107.200000001</v>
      </c>
      <c r="J127" s="135" t="s">
        <v>1355</v>
      </c>
      <c r="K127" s="135" t="s">
        <v>1794</v>
      </c>
      <c r="L127" s="134" t="s">
        <v>1801</v>
      </c>
    </row>
    <row r="128" spans="1:12" x14ac:dyDescent="0.2">
      <c r="A128" s="158" t="s">
        <v>1804</v>
      </c>
      <c r="B128" s="242"/>
      <c r="C128" s="135" t="s">
        <v>1760</v>
      </c>
      <c r="D128" s="139" t="s">
        <v>1557</v>
      </c>
      <c r="E128" s="159">
        <v>311987.7</v>
      </c>
      <c r="F128" s="159"/>
      <c r="G128" s="159"/>
      <c r="H128" s="160">
        <v>10.89</v>
      </c>
      <c r="I128" s="161">
        <f t="shared" si="3"/>
        <v>3397546.0530000003</v>
      </c>
      <c r="J128" s="135" t="s">
        <v>1355</v>
      </c>
      <c r="K128" s="135" t="s">
        <v>1794</v>
      </c>
      <c r="L128" s="134" t="s">
        <v>1759</v>
      </c>
    </row>
    <row r="129" spans="1:12" x14ac:dyDescent="0.2">
      <c r="A129" s="158" t="s">
        <v>1806</v>
      </c>
      <c r="B129" s="242"/>
      <c r="C129" s="135" t="s">
        <v>1808</v>
      </c>
      <c r="D129" s="139" t="s">
        <v>1374</v>
      </c>
      <c r="E129" s="159">
        <v>5795</v>
      </c>
      <c r="F129" s="159"/>
      <c r="G129" s="159"/>
      <c r="H129" s="160">
        <v>50.17</v>
      </c>
      <c r="I129" s="161">
        <f t="shared" si="3"/>
        <v>290735.15000000002</v>
      </c>
      <c r="J129" s="135" t="s">
        <v>1355</v>
      </c>
      <c r="K129" s="135" t="s">
        <v>1794</v>
      </c>
      <c r="L129" s="134" t="s">
        <v>1807</v>
      </c>
    </row>
    <row r="130" spans="1:12" x14ac:dyDescent="0.2">
      <c r="A130" s="158" t="s">
        <v>1810</v>
      </c>
      <c r="B130" s="242"/>
      <c r="C130" s="135" t="s">
        <v>1812</v>
      </c>
      <c r="D130" s="129" t="s">
        <v>1361</v>
      </c>
      <c r="E130" s="159">
        <v>1120</v>
      </c>
      <c r="F130" s="159"/>
      <c r="G130" s="159"/>
      <c r="H130" s="160">
        <v>185.58</v>
      </c>
      <c r="I130" s="161">
        <f t="shared" si="3"/>
        <v>207849.60000000001</v>
      </c>
      <c r="J130" s="135" t="s">
        <v>1355</v>
      </c>
      <c r="K130" s="135" t="s">
        <v>1794</v>
      </c>
      <c r="L130" s="134" t="s">
        <v>1811</v>
      </c>
    </row>
    <row r="131" spans="1:12" x14ac:dyDescent="0.2">
      <c r="A131" s="158" t="s">
        <v>1814</v>
      </c>
      <c r="B131" s="242"/>
      <c r="C131" s="135" t="s">
        <v>1816</v>
      </c>
      <c r="D131" s="129" t="s">
        <v>1361</v>
      </c>
      <c r="E131" s="159">
        <v>320</v>
      </c>
      <c r="F131" s="159"/>
      <c r="G131" s="159"/>
      <c r="H131" s="160">
        <v>1808.32</v>
      </c>
      <c r="I131" s="161">
        <f t="shared" si="3"/>
        <v>578662.40000000002</v>
      </c>
      <c r="J131" s="135" t="s">
        <v>1355</v>
      </c>
      <c r="K131" s="135" t="s">
        <v>1794</v>
      </c>
      <c r="L131" s="134" t="s">
        <v>1815</v>
      </c>
    </row>
    <row r="132" spans="1:12" x14ac:dyDescent="0.2">
      <c r="A132" s="158" t="s">
        <v>1818</v>
      </c>
      <c r="B132" s="242"/>
      <c r="C132" s="135" t="s">
        <v>1820</v>
      </c>
      <c r="D132" s="129" t="s">
        <v>1361</v>
      </c>
      <c r="E132" s="159">
        <v>1216</v>
      </c>
      <c r="F132" s="159"/>
      <c r="G132" s="159"/>
      <c r="H132" s="160">
        <v>2361.98</v>
      </c>
      <c r="I132" s="161">
        <f t="shared" si="3"/>
        <v>2872167.68</v>
      </c>
      <c r="J132" s="135" t="s">
        <v>1355</v>
      </c>
      <c r="K132" s="135" t="s">
        <v>1794</v>
      </c>
      <c r="L132" s="134" t="s">
        <v>1819</v>
      </c>
    </row>
    <row r="133" spans="1:12" x14ac:dyDescent="0.2">
      <c r="A133" s="158" t="s">
        <v>1822</v>
      </c>
      <c r="B133" s="242"/>
      <c r="C133" s="135" t="s">
        <v>1824</v>
      </c>
      <c r="D133" s="129" t="s">
        <v>1361</v>
      </c>
      <c r="E133" s="159">
        <v>1728</v>
      </c>
      <c r="F133" s="159"/>
      <c r="G133" s="159"/>
      <c r="H133" s="160">
        <v>3766.11</v>
      </c>
      <c r="I133" s="161">
        <f t="shared" si="3"/>
        <v>6507838.0800000001</v>
      </c>
      <c r="J133" s="135" t="s">
        <v>1355</v>
      </c>
      <c r="K133" s="135" t="s">
        <v>1794</v>
      </c>
      <c r="L133" s="134" t="s">
        <v>1823</v>
      </c>
    </row>
    <row r="134" spans="1:12" x14ac:dyDescent="0.2">
      <c r="A134" s="158" t="s">
        <v>1826</v>
      </c>
      <c r="B134" s="242"/>
      <c r="C134" s="135" t="s">
        <v>1828</v>
      </c>
      <c r="D134" s="139" t="s">
        <v>1374</v>
      </c>
      <c r="E134" s="159">
        <v>68659</v>
      </c>
      <c r="F134" s="159"/>
      <c r="G134" s="159"/>
      <c r="H134" s="160">
        <v>56.65</v>
      </c>
      <c r="I134" s="161">
        <f t="shared" si="3"/>
        <v>3889532.35</v>
      </c>
      <c r="J134" s="135" t="s">
        <v>1355</v>
      </c>
      <c r="K134" s="135" t="s">
        <v>1794</v>
      </c>
      <c r="L134" s="134" t="s">
        <v>1827</v>
      </c>
    </row>
    <row r="135" spans="1:12" x14ac:dyDescent="0.2">
      <c r="A135" s="158" t="s">
        <v>1830</v>
      </c>
      <c r="B135" s="242"/>
      <c r="C135" s="135" t="s">
        <v>1832</v>
      </c>
      <c r="D135" s="139" t="s">
        <v>1374</v>
      </c>
      <c r="E135" s="159">
        <v>950</v>
      </c>
      <c r="F135" s="159"/>
      <c r="G135" s="159"/>
      <c r="H135" s="160">
        <v>18.12</v>
      </c>
      <c r="I135" s="161">
        <f t="shared" si="3"/>
        <v>17214</v>
      </c>
      <c r="J135" s="135" t="s">
        <v>1355</v>
      </c>
      <c r="K135" s="135" t="s">
        <v>1794</v>
      </c>
      <c r="L135" s="134" t="s">
        <v>1831</v>
      </c>
    </row>
    <row r="136" spans="1:12" x14ac:dyDescent="0.2">
      <c r="A136" s="158" t="s">
        <v>1834</v>
      </c>
      <c r="B136" s="242"/>
      <c r="C136" s="135" t="s">
        <v>1552</v>
      </c>
      <c r="D136" s="139" t="s">
        <v>1383</v>
      </c>
      <c r="E136" s="159">
        <v>23169.08</v>
      </c>
      <c r="F136" s="159"/>
      <c r="G136" s="159"/>
      <c r="H136" s="160">
        <v>80.069999999999993</v>
      </c>
      <c r="I136" s="161">
        <f t="shared" si="3"/>
        <v>1855148.2356</v>
      </c>
      <c r="J136" s="135" t="s">
        <v>1355</v>
      </c>
      <c r="K136" s="135" t="s">
        <v>1794</v>
      </c>
      <c r="L136" s="134" t="s">
        <v>1835</v>
      </c>
    </row>
    <row r="137" spans="1:12" x14ac:dyDescent="0.2">
      <c r="A137" s="158" t="s">
        <v>1837</v>
      </c>
      <c r="B137" s="242"/>
      <c r="C137" s="135" t="s">
        <v>1839</v>
      </c>
      <c r="D137" s="139" t="s">
        <v>1383</v>
      </c>
      <c r="E137" s="159">
        <v>35606.9</v>
      </c>
      <c r="F137" s="159"/>
      <c r="G137" s="159"/>
      <c r="H137" s="160">
        <v>90.3</v>
      </c>
      <c r="I137" s="161">
        <f t="shared" si="3"/>
        <v>3215303.07</v>
      </c>
      <c r="J137" s="135" t="s">
        <v>1355</v>
      </c>
      <c r="K137" s="135" t="s">
        <v>1794</v>
      </c>
      <c r="L137" s="134" t="s">
        <v>1838</v>
      </c>
    </row>
    <row r="138" spans="1:12" x14ac:dyDescent="0.2">
      <c r="A138" s="158" t="s">
        <v>1841</v>
      </c>
      <c r="B138" s="242"/>
      <c r="C138" s="135" t="s">
        <v>1843</v>
      </c>
      <c r="D138" s="139" t="s">
        <v>1383</v>
      </c>
      <c r="E138" s="159">
        <v>166</v>
      </c>
      <c r="F138" s="159"/>
      <c r="G138" s="159"/>
      <c r="H138" s="160">
        <v>107.66</v>
      </c>
      <c r="I138" s="161">
        <f t="shared" si="3"/>
        <v>17871.559999999998</v>
      </c>
      <c r="J138" s="135" t="s">
        <v>1355</v>
      </c>
      <c r="K138" s="135" t="s">
        <v>1794</v>
      </c>
      <c r="L138" s="134" t="s">
        <v>1842</v>
      </c>
    </row>
    <row r="139" spans="1:12" x14ac:dyDescent="0.2">
      <c r="A139" s="158" t="s">
        <v>1845</v>
      </c>
      <c r="B139" s="242"/>
      <c r="C139" s="135" t="s">
        <v>1847</v>
      </c>
      <c r="D139" s="139" t="s">
        <v>1557</v>
      </c>
      <c r="E139" s="159">
        <v>356</v>
      </c>
      <c r="F139" s="159"/>
      <c r="G139" s="159"/>
      <c r="H139" s="160">
        <v>8.7799999999999994</v>
      </c>
      <c r="I139" s="161">
        <f t="shared" si="3"/>
        <v>3125.68</v>
      </c>
      <c r="J139" s="135" t="s">
        <v>1355</v>
      </c>
      <c r="K139" s="135" t="s">
        <v>1794</v>
      </c>
      <c r="L139" s="134" t="s">
        <v>1846</v>
      </c>
    </row>
    <row r="140" spans="1:12" x14ac:dyDescent="0.2">
      <c r="A140" s="158" t="s">
        <v>1849</v>
      </c>
      <c r="B140" s="242"/>
      <c r="C140" s="135" t="s">
        <v>1556</v>
      </c>
      <c r="D140" s="139" t="s">
        <v>1557</v>
      </c>
      <c r="E140" s="159">
        <v>2719867.62</v>
      </c>
      <c r="F140" s="159"/>
      <c r="G140" s="159"/>
      <c r="H140" s="160">
        <v>8.52</v>
      </c>
      <c r="I140" s="161">
        <f t="shared" si="3"/>
        <v>23173272.122400001</v>
      </c>
      <c r="J140" s="135" t="s">
        <v>1355</v>
      </c>
      <c r="K140" s="135" t="s">
        <v>1794</v>
      </c>
      <c r="L140" s="134" t="s">
        <v>1850</v>
      </c>
    </row>
    <row r="141" spans="1:12" x14ac:dyDescent="0.2">
      <c r="A141" s="158" t="s">
        <v>1852</v>
      </c>
      <c r="B141" s="242"/>
      <c r="C141" s="135" t="s">
        <v>1742</v>
      </c>
      <c r="D141" s="139" t="s">
        <v>1557</v>
      </c>
      <c r="E141" s="159">
        <v>40045.5</v>
      </c>
      <c r="F141" s="159"/>
      <c r="G141" s="159"/>
      <c r="H141" s="160">
        <v>9.1999999999999993</v>
      </c>
      <c r="I141" s="161">
        <f t="shared" si="3"/>
        <v>368418.6</v>
      </c>
      <c r="J141" s="135" t="s">
        <v>1355</v>
      </c>
      <c r="K141" s="135" t="s">
        <v>1794</v>
      </c>
      <c r="L141" s="134" t="s">
        <v>1853</v>
      </c>
    </row>
    <row r="142" spans="1:12" x14ac:dyDescent="0.2">
      <c r="A142" s="158" t="s">
        <v>1855</v>
      </c>
      <c r="B142" s="242"/>
      <c r="C142" s="135" t="s">
        <v>1857</v>
      </c>
      <c r="D142" s="139" t="s">
        <v>1557</v>
      </c>
      <c r="E142" s="159">
        <v>713325</v>
      </c>
      <c r="F142" s="159"/>
      <c r="G142" s="159"/>
      <c r="H142" s="160">
        <v>19.14</v>
      </c>
      <c r="I142" s="161">
        <f t="shared" si="3"/>
        <v>13653040.5</v>
      </c>
      <c r="J142" s="135" t="s">
        <v>1355</v>
      </c>
      <c r="K142" s="135" t="s">
        <v>1794</v>
      </c>
      <c r="L142" s="134" t="s">
        <v>1856</v>
      </c>
    </row>
    <row r="143" spans="1:12" x14ac:dyDescent="0.2">
      <c r="A143" s="158" t="s">
        <v>1859</v>
      </c>
      <c r="B143" s="242"/>
      <c r="C143" s="135" t="s">
        <v>1861</v>
      </c>
      <c r="D143" s="139" t="s">
        <v>1627</v>
      </c>
      <c r="E143" s="159">
        <v>806</v>
      </c>
      <c r="F143" s="159"/>
      <c r="G143" s="159"/>
      <c r="H143" s="160">
        <v>1580.84</v>
      </c>
      <c r="I143" s="161">
        <f t="shared" si="3"/>
        <v>1274157.04</v>
      </c>
      <c r="J143" s="135" t="s">
        <v>1355</v>
      </c>
      <c r="K143" s="135" t="s">
        <v>1794</v>
      </c>
      <c r="L143" s="134" t="s">
        <v>1860</v>
      </c>
    </row>
    <row r="144" spans="1:12" x14ac:dyDescent="0.2">
      <c r="A144" s="158" t="s">
        <v>1863</v>
      </c>
      <c r="B144" s="242"/>
      <c r="C144" s="135" t="s">
        <v>1865</v>
      </c>
      <c r="D144" s="139" t="s">
        <v>1866</v>
      </c>
      <c r="E144" s="159">
        <v>6076.1</v>
      </c>
      <c r="F144" s="159"/>
      <c r="G144" s="159"/>
      <c r="H144" s="160">
        <v>73.790000000000006</v>
      </c>
      <c r="I144" s="161">
        <f t="shared" si="3"/>
        <v>448355.41900000005</v>
      </c>
      <c r="J144" s="135" t="s">
        <v>1355</v>
      </c>
      <c r="K144" s="135" t="s">
        <v>1794</v>
      </c>
      <c r="L144" s="134" t="s">
        <v>1864</v>
      </c>
    </row>
    <row r="145" spans="1:12" x14ac:dyDescent="0.2">
      <c r="A145" s="158" t="s">
        <v>1868</v>
      </c>
      <c r="B145" s="242"/>
      <c r="C145" s="135" t="s">
        <v>1870</v>
      </c>
      <c r="D145" s="139" t="s">
        <v>1871</v>
      </c>
      <c r="E145" s="159">
        <v>50.4</v>
      </c>
      <c r="F145" s="159"/>
      <c r="G145" s="159"/>
      <c r="H145" s="160">
        <v>7.44</v>
      </c>
      <c r="I145" s="161">
        <f t="shared" si="3"/>
        <v>374.976</v>
      </c>
      <c r="J145" s="135" t="s">
        <v>1355</v>
      </c>
      <c r="K145" s="135" t="s">
        <v>1794</v>
      </c>
      <c r="L145" s="134" t="s">
        <v>1869</v>
      </c>
    </row>
    <row r="146" spans="1:12" x14ac:dyDescent="0.2">
      <c r="A146" s="158" t="s">
        <v>1873</v>
      </c>
      <c r="B146" s="242"/>
      <c r="C146" s="135" t="s">
        <v>1561</v>
      </c>
      <c r="D146" s="139" t="s">
        <v>1374</v>
      </c>
      <c r="E146" s="159">
        <v>132.6</v>
      </c>
      <c r="F146" s="159"/>
      <c r="G146" s="159"/>
      <c r="H146" s="160">
        <v>386.3</v>
      </c>
      <c r="I146" s="161">
        <f t="shared" si="3"/>
        <v>51223.38</v>
      </c>
      <c r="J146" s="135" t="s">
        <v>1355</v>
      </c>
      <c r="K146" s="135" t="s">
        <v>1794</v>
      </c>
      <c r="L146" s="134" t="s">
        <v>1874</v>
      </c>
    </row>
    <row r="147" spans="1:12" x14ac:dyDescent="0.2">
      <c r="A147" s="158" t="s">
        <v>1876</v>
      </c>
      <c r="B147" s="242"/>
      <c r="C147" s="135" t="s">
        <v>1573</v>
      </c>
      <c r="D147" s="139" t="s">
        <v>1374</v>
      </c>
      <c r="E147" s="159">
        <v>510.8</v>
      </c>
      <c r="F147" s="159"/>
      <c r="G147" s="159"/>
      <c r="H147" s="160">
        <v>467.63</v>
      </c>
      <c r="I147" s="161">
        <f t="shared" si="3"/>
        <v>238865.40400000001</v>
      </c>
      <c r="J147" s="135" t="s">
        <v>1355</v>
      </c>
      <c r="K147" s="135" t="s">
        <v>1794</v>
      </c>
      <c r="L147" s="134" t="s">
        <v>1877</v>
      </c>
    </row>
    <row r="148" spans="1:12" x14ac:dyDescent="0.2">
      <c r="A148" s="158" t="s">
        <v>1879</v>
      </c>
      <c r="B148" s="242"/>
      <c r="C148" s="135" t="s">
        <v>1881</v>
      </c>
      <c r="D148" s="139" t="s">
        <v>1374</v>
      </c>
      <c r="E148" s="159">
        <v>5830</v>
      </c>
      <c r="F148" s="159"/>
      <c r="G148" s="159"/>
      <c r="H148" s="160">
        <v>483.41</v>
      </c>
      <c r="I148" s="161">
        <f t="shared" si="3"/>
        <v>2818280.3000000003</v>
      </c>
      <c r="J148" s="135" t="s">
        <v>1355</v>
      </c>
      <c r="K148" s="135" t="s">
        <v>1794</v>
      </c>
      <c r="L148" s="134" t="s">
        <v>1880</v>
      </c>
    </row>
    <row r="149" spans="1:12" x14ac:dyDescent="0.2">
      <c r="A149" s="158" t="s">
        <v>1883</v>
      </c>
      <c r="B149" s="242"/>
      <c r="C149" s="135" t="s">
        <v>1885</v>
      </c>
      <c r="D149" s="139" t="s">
        <v>1374</v>
      </c>
      <c r="E149" s="159">
        <v>20213.7</v>
      </c>
      <c r="F149" s="159"/>
      <c r="G149" s="159"/>
      <c r="H149" s="160">
        <v>42.12</v>
      </c>
      <c r="I149" s="161">
        <f t="shared" si="3"/>
        <v>851401.04399999999</v>
      </c>
      <c r="J149" s="135" t="s">
        <v>1355</v>
      </c>
      <c r="K149" s="135" t="s">
        <v>1794</v>
      </c>
      <c r="L149" s="134" t="s">
        <v>1884</v>
      </c>
    </row>
    <row r="150" spans="1:12" x14ac:dyDescent="0.2">
      <c r="A150" s="158" t="s">
        <v>1887</v>
      </c>
      <c r="B150" s="242"/>
      <c r="C150" s="135" t="s">
        <v>1889</v>
      </c>
      <c r="D150" s="139" t="s">
        <v>1374</v>
      </c>
      <c r="E150" s="159">
        <v>17682</v>
      </c>
      <c r="F150" s="159"/>
      <c r="G150" s="159"/>
      <c r="H150" s="160">
        <v>493.31</v>
      </c>
      <c r="I150" s="161">
        <f t="shared" si="3"/>
        <v>8722707.4199999999</v>
      </c>
      <c r="J150" s="135" t="s">
        <v>1355</v>
      </c>
      <c r="K150" s="135" t="s">
        <v>1794</v>
      </c>
      <c r="L150" s="134" t="s">
        <v>1888</v>
      </c>
    </row>
    <row r="151" spans="1:12" x14ac:dyDescent="0.2">
      <c r="A151" s="158" t="s">
        <v>1891</v>
      </c>
      <c r="B151" s="242"/>
      <c r="C151" s="135" t="s">
        <v>1893</v>
      </c>
      <c r="D151" s="129" t="s">
        <v>1361</v>
      </c>
      <c r="E151" s="159">
        <v>262</v>
      </c>
      <c r="F151" s="159"/>
      <c r="G151" s="159"/>
      <c r="H151" s="160">
        <v>709.74</v>
      </c>
      <c r="I151" s="161">
        <f t="shared" si="3"/>
        <v>185951.88</v>
      </c>
      <c r="J151" s="135" t="s">
        <v>1355</v>
      </c>
      <c r="K151" s="135" t="s">
        <v>1794</v>
      </c>
      <c r="L151" s="134" t="s">
        <v>1892</v>
      </c>
    </row>
    <row r="152" spans="1:12" x14ac:dyDescent="0.2">
      <c r="A152" s="158" t="s">
        <v>1895</v>
      </c>
      <c r="B152" s="242"/>
      <c r="C152" s="135" t="s">
        <v>1897</v>
      </c>
      <c r="D152" s="129" t="s">
        <v>1361</v>
      </c>
      <c r="E152" s="159">
        <v>25.2</v>
      </c>
      <c r="F152" s="159"/>
      <c r="G152" s="159"/>
      <c r="H152" s="160">
        <v>940.69</v>
      </c>
      <c r="I152" s="161">
        <f t="shared" si="3"/>
        <v>23705.387999999999</v>
      </c>
      <c r="J152" s="135" t="s">
        <v>1355</v>
      </c>
      <c r="K152" s="135" t="s">
        <v>1794</v>
      </c>
      <c r="L152" s="134" t="s">
        <v>1896</v>
      </c>
    </row>
    <row r="153" spans="1:12" x14ac:dyDescent="0.2">
      <c r="A153" s="158" t="s">
        <v>1899</v>
      </c>
      <c r="B153" s="242"/>
      <c r="C153" s="135" t="s">
        <v>1901</v>
      </c>
      <c r="D153" s="139" t="s">
        <v>1627</v>
      </c>
      <c r="E153" s="159">
        <v>2872</v>
      </c>
      <c r="F153" s="159"/>
      <c r="G153" s="159"/>
      <c r="H153" s="160">
        <v>70.650000000000006</v>
      </c>
      <c r="I153" s="161">
        <f t="shared" si="3"/>
        <v>202906.80000000002</v>
      </c>
      <c r="J153" s="135" t="s">
        <v>1355</v>
      </c>
      <c r="K153" s="135" t="s">
        <v>1794</v>
      </c>
      <c r="L153" s="134" t="s">
        <v>1900</v>
      </c>
    </row>
    <row r="154" spans="1:12" x14ac:dyDescent="0.2">
      <c r="A154" s="158" t="s">
        <v>1903</v>
      </c>
      <c r="B154" s="242"/>
      <c r="C154" s="135" t="s">
        <v>1905</v>
      </c>
      <c r="D154" s="129" t="s">
        <v>1361</v>
      </c>
      <c r="E154" s="159">
        <v>2614</v>
      </c>
      <c r="F154" s="159"/>
      <c r="G154" s="159"/>
      <c r="H154" s="160">
        <v>453.11</v>
      </c>
      <c r="I154" s="161">
        <f t="shared" si="3"/>
        <v>1184429.54</v>
      </c>
      <c r="J154" s="135" t="s">
        <v>1355</v>
      </c>
      <c r="K154" s="135" t="s">
        <v>1794</v>
      </c>
      <c r="L154" s="134" t="s">
        <v>1904</v>
      </c>
    </row>
    <row r="155" spans="1:12" x14ac:dyDescent="0.2">
      <c r="A155" s="158" t="s">
        <v>1907</v>
      </c>
      <c r="B155" s="242"/>
      <c r="C155" s="135" t="s">
        <v>1909</v>
      </c>
      <c r="D155" s="139" t="s">
        <v>1627</v>
      </c>
      <c r="E155" s="159">
        <v>105</v>
      </c>
      <c r="F155" s="159"/>
      <c r="G155" s="159"/>
      <c r="H155" s="160">
        <v>8852.89</v>
      </c>
      <c r="I155" s="161">
        <f t="shared" si="3"/>
        <v>929553.45</v>
      </c>
      <c r="J155" s="135" t="s">
        <v>1355</v>
      </c>
      <c r="K155" s="135" t="s">
        <v>1794</v>
      </c>
      <c r="L155" s="134" t="s">
        <v>1908</v>
      </c>
    </row>
    <row r="156" spans="1:12" x14ac:dyDescent="0.2">
      <c r="A156" s="158" t="s">
        <v>1911</v>
      </c>
      <c r="B156" s="242"/>
      <c r="C156" s="135" t="s">
        <v>1913</v>
      </c>
      <c r="D156" s="139" t="s">
        <v>1383</v>
      </c>
      <c r="E156" s="159">
        <v>302.39999999999998</v>
      </c>
      <c r="F156" s="159"/>
      <c r="G156" s="159"/>
      <c r="H156" s="160">
        <v>115.31</v>
      </c>
      <c r="I156" s="161">
        <f t="shared" si="3"/>
        <v>34869.743999999999</v>
      </c>
      <c r="J156" s="135" t="s">
        <v>1355</v>
      </c>
      <c r="K156" s="135" t="s">
        <v>1794</v>
      </c>
      <c r="L156" s="134" t="s">
        <v>1912</v>
      </c>
    </row>
    <row r="157" spans="1:12" x14ac:dyDescent="0.2">
      <c r="A157" s="158" t="s">
        <v>1915</v>
      </c>
      <c r="B157" s="242"/>
      <c r="C157" s="135" t="s">
        <v>1917</v>
      </c>
      <c r="D157" s="139" t="s">
        <v>1557</v>
      </c>
      <c r="E157" s="159">
        <v>195500</v>
      </c>
      <c r="F157" s="159"/>
      <c r="G157" s="159"/>
      <c r="H157" s="160">
        <v>9.17</v>
      </c>
      <c r="I157" s="161">
        <f t="shared" si="3"/>
        <v>1792735</v>
      </c>
      <c r="J157" s="135" t="s">
        <v>1355</v>
      </c>
      <c r="K157" s="135" t="s">
        <v>1794</v>
      </c>
      <c r="L157" s="134" t="s">
        <v>1916</v>
      </c>
    </row>
    <row r="158" spans="1:12" x14ac:dyDescent="0.2">
      <c r="A158" s="158" t="s">
        <v>1919</v>
      </c>
      <c r="B158" s="242"/>
      <c r="C158" s="135" t="s">
        <v>1921</v>
      </c>
      <c r="D158" s="139" t="s">
        <v>1627</v>
      </c>
      <c r="E158" s="159">
        <v>12</v>
      </c>
      <c r="F158" s="159"/>
      <c r="G158" s="159"/>
      <c r="H158" s="160">
        <v>70.650000000000006</v>
      </c>
      <c r="I158" s="161">
        <f t="shared" si="3"/>
        <v>847.80000000000007</v>
      </c>
      <c r="J158" s="135" t="s">
        <v>1355</v>
      </c>
      <c r="K158" s="135" t="s">
        <v>1794</v>
      </c>
      <c r="L158" s="134" t="s">
        <v>1920</v>
      </c>
    </row>
    <row r="159" spans="1:12" x14ac:dyDescent="0.2">
      <c r="A159" s="158" t="s">
        <v>1923</v>
      </c>
      <c r="B159" s="242"/>
      <c r="C159" s="135" t="s">
        <v>1925</v>
      </c>
      <c r="D159" s="139" t="s">
        <v>1627</v>
      </c>
      <c r="E159" s="159">
        <v>12</v>
      </c>
      <c r="F159" s="159"/>
      <c r="G159" s="159"/>
      <c r="H159" s="160">
        <v>19276.759999999998</v>
      </c>
      <c r="I159" s="161">
        <f t="shared" si="3"/>
        <v>231321.12</v>
      </c>
      <c r="J159" s="135" t="s">
        <v>1355</v>
      </c>
      <c r="K159" s="135" t="s">
        <v>1794</v>
      </c>
      <c r="L159" s="134" t="s">
        <v>1924</v>
      </c>
    </row>
    <row r="160" spans="1:12" x14ac:dyDescent="0.2">
      <c r="A160" s="158" t="s">
        <v>1927</v>
      </c>
      <c r="B160" s="242"/>
      <c r="C160" s="135" t="s">
        <v>1929</v>
      </c>
      <c r="D160" s="139" t="s">
        <v>1374</v>
      </c>
      <c r="E160" s="159">
        <v>882</v>
      </c>
      <c r="F160" s="159"/>
      <c r="G160" s="159"/>
      <c r="H160" s="160">
        <v>387.64</v>
      </c>
      <c r="I160" s="161">
        <f t="shared" si="3"/>
        <v>341898.48</v>
      </c>
      <c r="J160" s="135" t="s">
        <v>1355</v>
      </c>
      <c r="K160" s="135" t="s">
        <v>1794</v>
      </c>
      <c r="L160" s="134" t="s">
        <v>1928</v>
      </c>
    </row>
    <row r="161" spans="1:12" x14ac:dyDescent="0.2">
      <c r="A161" s="158" t="s">
        <v>1931</v>
      </c>
      <c r="B161" s="242"/>
      <c r="C161" s="135" t="s">
        <v>1933</v>
      </c>
      <c r="D161" s="139" t="s">
        <v>1627</v>
      </c>
      <c r="E161" s="159">
        <v>48</v>
      </c>
      <c r="F161" s="159"/>
      <c r="G161" s="159"/>
      <c r="H161" s="160">
        <v>4170</v>
      </c>
      <c r="I161" s="161">
        <f t="shared" si="3"/>
        <v>200160</v>
      </c>
      <c r="J161" s="135" t="s">
        <v>1355</v>
      </c>
      <c r="K161" s="135" t="s">
        <v>1794</v>
      </c>
      <c r="L161" s="134" t="s">
        <v>1932</v>
      </c>
    </row>
    <row r="162" spans="1:12" x14ac:dyDescent="0.2">
      <c r="A162" s="158" t="s">
        <v>1935</v>
      </c>
      <c r="B162" s="242"/>
      <c r="C162" s="135" t="s">
        <v>1937</v>
      </c>
      <c r="D162" s="129" t="s">
        <v>1361</v>
      </c>
      <c r="E162" s="159">
        <v>850</v>
      </c>
      <c r="F162" s="159"/>
      <c r="G162" s="159"/>
      <c r="H162" s="160">
        <v>1560</v>
      </c>
      <c r="I162" s="161">
        <f t="shared" si="3"/>
        <v>1326000</v>
      </c>
      <c r="J162" s="135" t="s">
        <v>1355</v>
      </c>
      <c r="K162" s="135" t="s">
        <v>1794</v>
      </c>
      <c r="L162" s="134" t="s">
        <v>1936</v>
      </c>
    </row>
    <row r="163" spans="1:12" ht="13.5" thickBot="1" x14ac:dyDescent="0.25">
      <c r="A163" s="162" t="s">
        <v>1939</v>
      </c>
      <c r="B163" s="243"/>
      <c r="C163" s="142" t="s">
        <v>1941</v>
      </c>
      <c r="D163" s="143" t="s">
        <v>1942</v>
      </c>
      <c r="E163" s="163">
        <v>1320</v>
      </c>
      <c r="F163" s="163"/>
      <c r="G163" s="163"/>
      <c r="H163" s="164">
        <v>675</v>
      </c>
      <c r="I163" s="165">
        <f t="shared" si="3"/>
        <v>891000</v>
      </c>
      <c r="J163" s="142" t="s">
        <v>1355</v>
      </c>
      <c r="K163" s="142" t="s">
        <v>1794</v>
      </c>
      <c r="L163" s="141" t="s">
        <v>1940</v>
      </c>
    </row>
    <row r="164" spans="1:12" ht="13.5" thickBot="1" x14ac:dyDescent="0.25">
      <c r="A164" s="147">
        <v>7</v>
      </c>
      <c r="B164" s="240"/>
      <c r="C164" s="150" t="str">
        <f>K164</f>
        <v xml:space="preserve"> SINALIZAÇÃO E ELEMENTOS DE SEGURANÇA  </v>
      </c>
      <c r="D164" s="150" t="s">
        <v>1528</v>
      </c>
      <c r="E164" s="151"/>
      <c r="F164" s="151"/>
      <c r="G164" s="151"/>
      <c r="H164" s="152"/>
      <c r="I164" s="153"/>
      <c r="J164" s="149" t="s">
        <v>1355</v>
      </c>
      <c r="K164" s="149" t="s">
        <v>1944</v>
      </c>
      <c r="L164" s="166">
        <v>28</v>
      </c>
    </row>
    <row r="165" spans="1:12" x14ac:dyDescent="0.2">
      <c r="A165" s="154" t="s">
        <v>1946</v>
      </c>
      <c r="B165" s="241"/>
      <c r="C165" s="128" t="s">
        <v>1948</v>
      </c>
      <c r="D165" s="139" t="s">
        <v>1627</v>
      </c>
      <c r="E165" s="155">
        <v>6</v>
      </c>
      <c r="F165" s="155"/>
      <c r="G165" s="155"/>
      <c r="H165" s="156">
        <v>3807</v>
      </c>
      <c r="I165" s="157">
        <f>E165*H165</f>
        <v>22842</v>
      </c>
      <c r="J165" s="128" t="s">
        <v>1355</v>
      </c>
      <c r="K165" s="128" t="s">
        <v>1944</v>
      </c>
      <c r="L165" s="127" t="s">
        <v>1947</v>
      </c>
    </row>
    <row r="166" spans="1:12" x14ac:dyDescent="0.2">
      <c r="A166" s="158" t="s">
        <v>1950</v>
      </c>
      <c r="B166" s="242"/>
      <c r="C166" s="135" t="s">
        <v>1952</v>
      </c>
      <c r="D166" s="139" t="s">
        <v>1627</v>
      </c>
      <c r="E166" s="159">
        <v>9</v>
      </c>
      <c r="F166" s="159"/>
      <c r="G166" s="159"/>
      <c r="H166" s="160">
        <v>3132</v>
      </c>
      <c r="I166" s="161">
        <f t="shared" ref="I166:I182" si="4">E166*H166</f>
        <v>28188</v>
      </c>
      <c r="J166" s="135" t="s">
        <v>1355</v>
      </c>
      <c r="K166" s="135" t="s">
        <v>1944</v>
      </c>
      <c r="L166" s="134" t="s">
        <v>1951</v>
      </c>
    </row>
    <row r="167" spans="1:12" x14ac:dyDescent="0.2">
      <c r="A167" s="158" t="s">
        <v>1954</v>
      </c>
      <c r="B167" s="242"/>
      <c r="C167" s="135" t="s">
        <v>1956</v>
      </c>
      <c r="D167" s="139" t="s">
        <v>1627</v>
      </c>
      <c r="E167" s="159">
        <v>10</v>
      </c>
      <c r="F167" s="159"/>
      <c r="G167" s="159"/>
      <c r="H167" s="160">
        <v>2862</v>
      </c>
      <c r="I167" s="161">
        <f t="shared" si="4"/>
        <v>28620</v>
      </c>
      <c r="J167" s="135" t="s">
        <v>1355</v>
      </c>
      <c r="K167" s="135" t="s">
        <v>1944</v>
      </c>
      <c r="L167" s="134" t="s">
        <v>1955</v>
      </c>
    </row>
    <row r="168" spans="1:12" x14ac:dyDescent="0.2">
      <c r="A168" s="158" t="s">
        <v>1958</v>
      </c>
      <c r="B168" s="242"/>
      <c r="C168" s="135" t="s">
        <v>1960</v>
      </c>
      <c r="D168" s="139" t="s">
        <v>1627</v>
      </c>
      <c r="E168" s="159">
        <v>16</v>
      </c>
      <c r="F168" s="159"/>
      <c r="G168" s="159"/>
      <c r="H168" s="160">
        <v>3483</v>
      </c>
      <c r="I168" s="161">
        <f t="shared" si="4"/>
        <v>55728</v>
      </c>
      <c r="J168" s="135" t="s">
        <v>1355</v>
      </c>
      <c r="K168" s="135" t="s">
        <v>1944</v>
      </c>
      <c r="L168" s="134" t="s">
        <v>1959</v>
      </c>
    </row>
    <row r="169" spans="1:12" x14ac:dyDescent="0.2">
      <c r="A169" s="158" t="s">
        <v>1962</v>
      </c>
      <c r="B169" s="242"/>
      <c r="C169" s="135" t="s">
        <v>1964</v>
      </c>
      <c r="D169" s="139" t="s">
        <v>1627</v>
      </c>
      <c r="E169" s="159">
        <v>34</v>
      </c>
      <c r="F169" s="159"/>
      <c r="G169" s="159"/>
      <c r="H169" s="160">
        <v>3267</v>
      </c>
      <c r="I169" s="161">
        <f t="shared" si="4"/>
        <v>111078</v>
      </c>
      <c r="J169" s="135" t="s">
        <v>1355</v>
      </c>
      <c r="K169" s="135" t="s">
        <v>1944</v>
      </c>
      <c r="L169" s="134" t="s">
        <v>1963</v>
      </c>
    </row>
    <row r="170" spans="1:12" x14ac:dyDescent="0.2">
      <c r="A170" s="158" t="s">
        <v>1966</v>
      </c>
      <c r="B170" s="242"/>
      <c r="C170" s="135" t="s">
        <v>1968</v>
      </c>
      <c r="D170" s="129" t="s">
        <v>1361</v>
      </c>
      <c r="E170" s="159">
        <v>64</v>
      </c>
      <c r="F170" s="159"/>
      <c r="G170" s="159"/>
      <c r="H170" s="160">
        <v>80.239999999999995</v>
      </c>
      <c r="I170" s="161">
        <f t="shared" si="4"/>
        <v>5135.3599999999997</v>
      </c>
      <c r="J170" s="135" t="s">
        <v>1355</v>
      </c>
      <c r="K170" s="135" t="s">
        <v>1944</v>
      </c>
      <c r="L170" s="134" t="s">
        <v>1967</v>
      </c>
    </row>
    <row r="171" spans="1:12" x14ac:dyDescent="0.2">
      <c r="A171" s="158" t="s">
        <v>1970</v>
      </c>
      <c r="B171" s="242"/>
      <c r="C171" s="135" t="s">
        <v>1972</v>
      </c>
      <c r="D171" s="139" t="s">
        <v>1627</v>
      </c>
      <c r="E171" s="159">
        <v>76</v>
      </c>
      <c r="F171" s="159"/>
      <c r="G171" s="159"/>
      <c r="H171" s="160">
        <v>17001.169999999998</v>
      </c>
      <c r="I171" s="161">
        <f t="shared" si="4"/>
        <v>1292088.92</v>
      </c>
      <c r="J171" s="135" t="s">
        <v>1355</v>
      </c>
      <c r="K171" s="135" t="s">
        <v>1944</v>
      </c>
      <c r="L171" s="134" t="s">
        <v>1971</v>
      </c>
    </row>
    <row r="172" spans="1:12" x14ac:dyDescent="0.2">
      <c r="A172" s="158" t="s">
        <v>1974</v>
      </c>
      <c r="B172" s="242"/>
      <c r="C172" s="135" t="s">
        <v>1976</v>
      </c>
      <c r="D172" s="139" t="s">
        <v>1627</v>
      </c>
      <c r="E172" s="159">
        <v>80</v>
      </c>
      <c r="F172" s="159"/>
      <c r="G172" s="159"/>
      <c r="H172" s="160">
        <v>38060.160000000003</v>
      </c>
      <c r="I172" s="161">
        <f t="shared" si="4"/>
        <v>3044812.8000000003</v>
      </c>
      <c r="J172" s="135" t="s">
        <v>1355</v>
      </c>
      <c r="K172" s="135" t="s">
        <v>1944</v>
      </c>
      <c r="L172" s="134" t="s">
        <v>1975</v>
      </c>
    </row>
    <row r="173" spans="1:12" x14ac:dyDescent="0.2">
      <c r="A173" s="158" t="s">
        <v>1978</v>
      </c>
      <c r="B173" s="242"/>
      <c r="C173" s="135" t="s">
        <v>1980</v>
      </c>
      <c r="D173" s="139" t="s">
        <v>1383</v>
      </c>
      <c r="E173" s="159">
        <v>86</v>
      </c>
      <c r="F173" s="159"/>
      <c r="G173" s="159"/>
      <c r="H173" s="160">
        <v>897.06</v>
      </c>
      <c r="I173" s="161">
        <f t="shared" si="4"/>
        <v>77147.159999999989</v>
      </c>
      <c r="J173" s="135" t="s">
        <v>1355</v>
      </c>
      <c r="K173" s="135" t="s">
        <v>1944</v>
      </c>
      <c r="L173" s="134" t="s">
        <v>1979</v>
      </c>
    </row>
    <row r="174" spans="1:12" x14ac:dyDescent="0.2">
      <c r="A174" s="158" t="s">
        <v>1982</v>
      </c>
      <c r="B174" s="242"/>
      <c r="C174" s="135" t="s">
        <v>1984</v>
      </c>
      <c r="D174" s="139" t="s">
        <v>1383</v>
      </c>
      <c r="E174" s="159">
        <v>168.27</v>
      </c>
      <c r="F174" s="159"/>
      <c r="G174" s="159"/>
      <c r="H174" s="160">
        <v>710.78</v>
      </c>
      <c r="I174" s="161">
        <f t="shared" si="4"/>
        <v>119602.9506</v>
      </c>
      <c r="J174" s="135" t="s">
        <v>1355</v>
      </c>
      <c r="K174" s="135" t="s">
        <v>1944</v>
      </c>
      <c r="L174" s="134" t="s">
        <v>1983</v>
      </c>
    </row>
    <row r="175" spans="1:12" x14ac:dyDescent="0.2">
      <c r="A175" s="158" t="s">
        <v>1986</v>
      </c>
      <c r="B175" s="242"/>
      <c r="C175" s="135" t="s">
        <v>1988</v>
      </c>
      <c r="D175" s="139" t="s">
        <v>1383</v>
      </c>
      <c r="E175" s="159">
        <v>270.39999999999998</v>
      </c>
      <c r="F175" s="159"/>
      <c r="G175" s="159"/>
      <c r="H175" s="160">
        <v>44.06</v>
      </c>
      <c r="I175" s="161">
        <f t="shared" si="4"/>
        <v>11913.823999999999</v>
      </c>
      <c r="J175" s="135" t="s">
        <v>1355</v>
      </c>
      <c r="K175" s="135" t="s">
        <v>1944</v>
      </c>
      <c r="L175" s="134" t="s">
        <v>1987</v>
      </c>
    </row>
    <row r="176" spans="1:12" x14ac:dyDescent="0.2">
      <c r="A176" s="158" t="s">
        <v>1990</v>
      </c>
      <c r="B176" s="242"/>
      <c r="C176" s="135" t="s">
        <v>1992</v>
      </c>
      <c r="D176" s="129" t="s">
        <v>1361</v>
      </c>
      <c r="E176" s="159">
        <v>271.5</v>
      </c>
      <c r="F176" s="159"/>
      <c r="G176" s="159"/>
      <c r="H176" s="160">
        <v>81.510000000000005</v>
      </c>
      <c r="I176" s="161">
        <f t="shared" si="4"/>
        <v>22129.965</v>
      </c>
      <c r="J176" s="135" t="s">
        <v>1355</v>
      </c>
      <c r="K176" s="135" t="s">
        <v>1944</v>
      </c>
      <c r="L176" s="134" t="s">
        <v>1991</v>
      </c>
    </row>
    <row r="177" spans="1:12" x14ac:dyDescent="0.2">
      <c r="A177" s="158" t="s">
        <v>1994</v>
      </c>
      <c r="B177" s="242"/>
      <c r="C177" s="135" t="s">
        <v>1996</v>
      </c>
      <c r="D177" s="139" t="s">
        <v>1383</v>
      </c>
      <c r="E177" s="159">
        <v>420</v>
      </c>
      <c r="F177" s="159"/>
      <c r="G177" s="159"/>
      <c r="H177" s="160">
        <v>63.03</v>
      </c>
      <c r="I177" s="161">
        <f t="shared" si="4"/>
        <v>26472.600000000002</v>
      </c>
      <c r="J177" s="135" t="s">
        <v>1355</v>
      </c>
      <c r="K177" s="135" t="s">
        <v>1944</v>
      </c>
      <c r="L177" s="134" t="s">
        <v>1995</v>
      </c>
    </row>
    <row r="178" spans="1:12" x14ac:dyDescent="0.2">
      <c r="A178" s="158" t="s">
        <v>1998</v>
      </c>
      <c r="B178" s="242"/>
      <c r="C178" s="135" t="s">
        <v>2000</v>
      </c>
      <c r="D178" s="139" t="s">
        <v>1383</v>
      </c>
      <c r="E178" s="159">
        <v>437.87</v>
      </c>
      <c r="F178" s="159"/>
      <c r="G178" s="159"/>
      <c r="H178" s="160">
        <v>1143.18</v>
      </c>
      <c r="I178" s="161">
        <f t="shared" si="4"/>
        <v>500564.22660000005</v>
      </c>
      <c r="J178" s="135" t="s">
        <v>1355</v>
      </c>
      <c r="K178" s="135" t="s">
        <v>1944</v>
      </c>
      <c r="L178" s="134" t="s">
        <v>1999</v>
      </c>
    </row>
    <row r="179" spans="1:12" x14ac:dyDescent="0.2">
      <c r="A179" s="158" t="s">
        <v>2002</v>
      </c>
      <c r="B179" s="242"/>
      <c r="C179" s="135" t="s">
        <v>2004</v>
      </c>
      <c r="D179" s="139" t="s">
        <v>1383</v>
      </c>
      <c r="E179" s="159">
        <v>1152.1500000000001</v>
      </c>
      <c r="F179" s="159"/>
      <c r="G179" s="159"/>
      <c r="H179" s="160">
        <v>47.74</v>
      </c>
      <c r="I179" s="161">
        <f t="shared" si="4"/>
        <v>55003.641000000003</v>
      </c>
      <c r="J179" s="135" t="s">
        <v>1355</v>
      </c>
      <c r="K179" s="135" t="s">
        <v>1944</v>
      </c>
      <c r="L179" s="134" t="s">
        <v>2003</v>
      </c>
    </row>
    <row r="180" spans="1:12" x14ac:dyDescent="0.2">
      <c r="A180" s="158" t="s">
        <v>2006</v>
      </c>
      <c r="B180" s="242"/>
      <c r="C180" s="135" t="s">
        <v>2008</v>
      </c>
      <c r="D180" s="139" t="s">
        <v>1383</v>
      </c>
      <c r="E180" s="159">
        <v>1343</v>
      </c>
      <c r="F180" s="159"/>
      <c r="G180" s="159"/>
      <c r="H180" s="160">
        <v>21.01</v>
      </c>
      <c r="I180" s="161">
        <f t="shared" si="4"/>
        <v>28216.43</v>
      </c>
      <c r="J180" s="135" t="s">
        <v>1355</v>
      </c>
      <c r="K180" s="135" t="s">
        <v>1944</v>
      </c>
      <c r="L180" s="134" t="s">
        <v>2007</v>
      </c>
    </row>
    <row r="181" spans="1:12" x14ac:dyDescent="0.2">
      <c r="A181" s="158" t="s">
        <v>2010</v>
      </c>
      <c r="B181" s="242"/>
      <c r="C181" s="135" t="s">
        <v>2012</v>
      </c>
      <c r="D181" s="139" t="s">
        <v>1383</v>
      </c>
      <c r="E181" s="159">
        <v>4423</v>
      </c>
      <c r="F181" s="159"/>
      <c r="G181" s="159"/>
      <c r="H181" s="160">
        <v>44.48</v>
      </c>
      <c r="I181" s="161">
        <f t="shared" si="4"/>
        <v>196735.03999999998</v>
      </c>
      <c r="J181" s="135" t="s">
        <v>1355</v>
      </c>
      <c r="K181" s="135" t="s">
        <v>1944</v>
      </c>
      <c r="L181" s="134" t="s">
        <v>2011</v>
      </c>
    </row>
    <row r="182" spans="1:12" ht="13.5" thickBot="1" x14ac:dyDescent="0.25">
      <c r="A182" s="162" t="s">
        <v>2014</v>
      </c>
      <c r="B182" s="243"/>
      <c r="C182" s="142" t="s">
        <v>2016</v>
      </c>
      <c r="D182" s="139" t="s">
        <v>1627</v>
      </c>
      <c r="E182" s="163">
        <v>4655</v>
      </c>
      <c r="F182" s="163"/>
      <c r="G182" s="163"/>
      <c r="H182" s="164">
        <v>14.23</v>
      </c>
      <c r="I182" s="165">
        <f t="shared" si="4"/>
        <v>66240.650000000009</v>
      </c>
      <c r="J182" s="142" t="s">
        <v>1355</v>
      </c>
      <c r="K182" s="142" t="s">
        <v>1944</v>
      </c>
      <c r="L182" s="141" t="s">
        <v>2015</v>
      </c>
    </row>
    <row r="183" spans="1:12" ht="13.5" thickBot="1" x14ac:dyDescent="0.25">
      <c r="A183" s="147">
        <v>8</v>
      </c>
      <c r="B183" s="240"/>
      <c r="C183" s="150" t="str">
        <f>K183</f>
        <v xml:space="preserve"> SERVIÇOS DE PROTEÇÃO AO MEIO AMBIENTE E PAISAGISMO  </v>
      </c>
      <c r="D183" s="152"/>
      <c r="E183" s="151"/>
      <c r="F183" s="151"/>
      <c r="G183" s="151"/>
      <c r="H183" s="152"/>
      <c r="I183" s="153"/>
      <c r="J183" s="149" t="s">
        <v>1355</v>
      </c>
      <c r="K183" s="149" t="s">
        <v>2018</v>
      </c>
      <c r="L183" s="166">
        <v>30</v>
      </c>
    </row>
    <row r="184" spans="1:12" x14ac:dyDescent="0.2">
      <c r="A184" s="154" t="s">
        <v>2020</v>
      </c>
      <c r="B184" s="241"/>
      <c r="C184" s="128" t="s">
        <v>2022</v>
      </c>
      <c r="D184" s="139" t="s">
        <v>1383</v>
      </c>
      <c r="E184" s="155">
        <v>18126.3</v>
      </c>
      <c r="F184" s="155"/>
      <c r="G184" s="155"/>
      <c r="H184" s="156">
        <v>6.56</v>
      </c>
      <c r="I184" s="157">
        <f>E184*H184</f>
        <v>118908.52799999999</v>
      </c>
      <c r="J184" s="128" t="s">
        <v>1355</v>
      </c>
      <c r="K184" s="128" t="s">
        <v>2018</v>
      </c>
      <c r="L184" s="127" t="s">
        <v>2021</v>
      </c>
    </row>
    <row r="185" spans="1:12" x14ac:dyDescent="0.2">
      <c r="A185" s="158" t="s">
        <v>2024</v>
      </c>
      <c r="B185" s="242"/>
      <c r="C185" s="135" t="s">
        <v>2026</v>
      </c>
      <c r="D185" s="139" t="s">
        <v>1627</v>
      </c>
      <c r="E185" s="159">
        <v>800</v>
      </c>
      <c r="F185" s="159"/>
      <c r="G185" s="159"/>
      <c r="H185" s="160">
        <v>11.85</v>
      </c>
      <c r="I185" s="161">
        <f t="shared" ref="I185:I196" si="5">E185*H185</f>
        <v>9480</v>
      </c>
      <c r="J185" s="135" t="s">
        <v>1355</v>
      </c>
      <c r="K185" s="135" t="s">
        <v>2018</v>
      </c>
      <c r="L185" s="134" t="s">
        <v>2025</v>
      </c>
    </row>
    <row r="186" spans="1:12" x14ac:dyDescent="0.2">
      <c r="A186" s="158" t="s">
        <v>2028</v>
      </c>
      <c r="B186" s="242"/>
      <c r="C186" s="135" t="s">
        <v>2030</v>
      </c>
      <c r="D186" s="139" t="s">
        <v>1627</v>
      </c>
      <c r="E186" s="159">
        <v>800</v>
      </c>
      <c r="F186" s="159"/>
      <c r="G186" s="159"/>
      <c r="H186" s="160">
        <v>63.02</v>
      </c>
      <c r="I186" s="161">
        <f t="shared" si="5"/>
        <v>50416</v>
      </c>
      <c r="J186" s="135" t="s">
        <v>1355</v>
      </c>
      <c r="K186" s="135" t="s">
        <v>2018</v>
      </c>
      <c r="L186" s="134" t="s">
        <v>2029</v>
      </c>
    </row>
    <row r="187" spans="1:12" x14ac:dyDescent="0.2">
      <c r="A187" s="158" t="s">
        <v>2032</v>
      </c>
      <c r="B187" s="242"/>
      <c r="C187" s="135" t="s">
        <v>2034</v>
      </c>
      <c r="D187" s="139" t="s">
        <v>1627</v>
      </c>
      <c r="E187" s="159">
        <v>200</v>
      </c>
      <c r="F187" s="159"/>
      <c r="G187" s="159"/>
      <c r="H187" s="160">
        <v>124.05</v>
      </c>
      <c r="I187" s="161">
        <f t="shared" si="5"/>
        <v>24810</v>
      </c>
      <c r="J187" s="135" t="s">
        <v>1355</v>
      </c>
      <c r="K187" s="135" t="s">
        <v>2018</v>
      </c>
      <c r="L187" s="134" t="s">
        <v>2033</v>
      </c>
    </row>
    <row r="188" spans="1:12" x14ac:dyDescent="0.2">
      <c r="A188" s="158" t="s">
        <v>2036</v>
      </c>
      <c r="B188" s="242"/>
      <c r="C188" s="135" t="s">
        <v>2038</v>
      </c>
      <c r="D188" s="139" t="s">
        <v>1627</v>
      </c>
      <c r="E188" s="159">
        <v>200</v>
      </c>
      <c r="F188" s="159"/>
      <c r="G188" s="159"/>
      <c r="H188" s="160">
        <v>195.01</v>
      </c>
      <c r="I188" s="161">
        <f t="shared" si="5"/>
        <v>39002</v>
      </c>
      <c r="J188" s="135" t="s">
        <v>1355</v>
      </c>
      <c r="K188" s="135" t="s">
        <v>2018</v>
      </c>
      <c r="L188" s="134" t="s">
        <v>2037</v>
      </c>
    </row>
    <row r="189" spans="1:12" x14ac:dyDescent="0.2">
      <c r="A189" s="158" t="s">
        <v>2040</v>
      </c>
      <c r="B189" s="242"/>
      <c r="C189" s="135" t="s">
        <v>2042</v>
      </c>
      <c r="D189" s="139" t="s">
        <v>1627</v>
      </c>
      <c r="E189" s="159">
        <v>200</v>
      </c>
      <c r="F189" s="159"/>
      <c r="G189" s="159"/>
      <c r="H189" s="160">
        <v>182.61</v>
      </c>
      <c r="I189" s="161">
        <f t="shared" si="5"/>
        <v>36522</v>
      </c>
      <c r="J189" s="135" t="s">
        <v>1355</v>
      </c>
      <c r="K189" s="135" t="s">
        <v>2018</v>
      </c>
      <c r="L189" s="134" t="s">
        <v>2041</v>
      </c>
    </row>
    <row r="190" spans="1:12" x14ac:dyDescent="0.2">
      <c r="A190" s="158" t="s">
        <v>2044</v>
      </c>
      <c r="B190" s="242"/>
      <c r="C190" s="135" t="s">
        <v>2046</v>
      </c>
      <c r="D190" s="139" t="s">
        <v>1627</v>
      </c>
      <c r="E190" s="159">
        <v>800</v>
      </c>
      <c r="F190" s="159"/>
      <c r="G190" s="159"/>
      <c r="H190" s="160">
        <v>69.010000000000005</v>
      </c>
      <c r="I190" s="161">
        <f t="shared" si="5"/>
        <v>55208.000000000007</v>
      </c>
      <c r="J190" s="135" t="s">
        <v>1355</v>
      </c>
      <c r="K190" s="135" t="s">
        <v>2018</v>
      </c>
      <c r="L190" s="134" t="s">
        <v>2045</v>
      </c>
    </row>
    <row r="191" spans="1:12" x14ac:dyDescent="0.2">
      <c r="A191" s="158" t="s">
        <v>2048</v>
      </c>
      <c r="B191" s="242"/>
      <c r="C191" s="135" t="s">
        <v>2050</v>
      </c>
      <c r="D191" s="139" t="s">
        <v>1627</v>
      </c>
      <c r="E191" s="159">
        <v>200</v>
      </c>
      <c r="F191" s="159"/>
      <c r="G191" s="159"/>
      <c r="H191" s="160">
        <v>181.79</v>
      </c>
      <c r="I191" s="161">
        <f t="shared" si="5"/>
        <v>36358</v>
      </c>
      <c r="J191" s="135" t="s">
        <v>1355</v>
      </c>
      <c r="K191" s="135" t="s">
        <v>2018</v>
      </c>
      <c r="L191" s="134" t="s">
        <v>2049</v>
      </c>
    </row>
    <row r="192" spans="1:12" x14ac:dyDescent="0.2">
      <c r="A192" s="158" t="s">
        <v>2052</v>
      </c>
      <c r="B192" s="242"/>
      <c r="C192" s="135" t="s">
        <v>2054</v>
      </c>
      <c r="D192" s="139" t="s">
        <v>1383</v>
      </c>
      <c r="E192" s="159">
        <v>124600</v>
      </c>
      <c r="F192" s="159"/>
      <c r="G192" s="159"/>
      <c r="H192" s="160">
        <v>13.23</v>
      </c>
      <c r="I192" s="161">
        <f t="shared" si="5"/>
        <v>1648458</v>
      </c>
      <c r="J192" s="135" t="s">
        <v>1355</v>
      </c>
      <c r="K192" s="135" t="s">
        <v>2018</v>
      </c>
      <c r="L192" s="134" t="s">
        <v>2053</v>
      </c>
    </row>
    <row r="193" spans="1:12" x14ac:dyDescent="0.2">
      <c r="A193" s="158" t="s">
        <v>2056</v>
      </c>
      <c r="B193" s="242"/>
      <c r="C193" s="135" t="s">
        <v>2058</v>
      </c>
      <c r="D193" s="139" t="s">
        <v>1383</v>
      </c>
      <c r="E193" s="159">
        <v>13920</v>
      </c>
      <c r="F193" s="159"/>
      <c r="G193" s="159"/>
      <c r="H193" s="160">
        <v>16.29</v>
      </c>
      <c r="I193" s="161">
        <f t="shared" si="5"/>
        <v>226756.8</v>
      </c>
      <c r="J193" s="135" t="s">
        <v>1355</v>
      </c>
      <c r="K193" s="135" t="s">
        <v>2018</v>
      </c>
      <c r="L193" s="134" t="s">
        <v>2057</v>
      </c>
    </row>
    <row r="194" spans="1:12" x14ac:dyDescent="0.2">
      <c r="A194" s="158" t="s">
        <v>2060</v>
      </c>
      <c r="B194" s="242"/>
      <c r="C194" s="135" t="s">
        <v>2062</v>
      </c>
      <c r="D194" s="139" t="s">
        <v>1627</v>
      </c>
      <c r="E194" s="159">
        <v>200</v>
      </c>
      <c r="F194" s="159"/>
      <c r="G194" s="159"/>
      <c r="H194" s="160">
        <v>164.04</v>
      </c>
      <c r="I194" s="161">
        <f t="shared" si="5"/>
        <v>32808</v>
      </c>
      <c r="J194" s="135" t="s">
        <v>1355</v>
      </c>
      <c r="K194" s="135" t="s">
        <v>2018</v>
      </c>
      <c r="L194" s="134" t="s">
        <v>2061</v>
      </c>
    </row>
    <row r="195" spans="1:12" x14ac:dyDescent="0.2">
      <c r="A195" s="158" t="s">
        <v>2064</v>
      </c>
      <c r="B195" s="242"/>
      <c r="C195" s="135" t="s">
        <v>2066</v>
      </c>
      <c r="D195" s="129" t="s">
        <v>1361</v>
      </c>
      <c r="E195" s="159">
        <v>1585</v>
      </c>
      <c r="F195" s="159"/>
      <c r="G195" s="159"/>
      <c r="H195" s="160">
        <v>70.819999999999993</v>
      </c>
      <c r="I195" s="161">
        <f t="shared" si="5"/>
        <v>112249.69999999998</v>
      </c>
      <c r="J195" s="135" t="s">
        <v>1355</v>
      </c>
      <c r="K195" s="135" t="s">
        <v>2018</v>
      </c>
      <c r="L195" s="134" t="s">
        <v>2065</v>
      </c>
    </row>
    <row r="196" spans="1:12" ht="13.5" thickBot="1" x14ac:dyDescent="0.25">
      <c r="A196" s="162" t="s">
        <v>2068</v>
      </c>
      <c r="B196" s="243"/>
      <c r="C196" s="142" t="s">
        <v>2070</v>
      </c>
      <c r="D196" s="139" t="s">
        <v>1383</v>
      </c>
      <c r="E196" s="163">
        <v>124600</v>
      </c>
      <c r="F196" s="163"/>
      <c r="G196" s="163"/>
      <c r="H196" s="164">
        <v>6.56</v>
      </c>
      <c r="I196" s="165">
        <f t="shared" si="5"/>
        <v>817376</v>
      </c>
      <c r="J196" s="142" t="s">
        <v>1355</v>
      </c>
      <c r="K196" s="142" t="s">
        <v>2018</v>
      </c>
      <c r="L196" s="141" t="s">
        <v>2069</v>
      </c>
    </row>
    <row r="197" spans="1:12" ht="13.5" thickBot="1" x14ac:dyDescent="0.25">
      <c r="A197" s="147">
        <v>9</v>
      </c>
      <c r="B197" s="240"/>
      <c r="C197" s="150" t="str">
        <f>K197</f>
        <v xml:space="preserve"> EQUIPAMENTOS  </v>
      </c>
      <c r="D197" s="150"/>
      <c r="E197" s="151"/>
      <c r="F197" s="151"/>
      <c r="G197" s="151"/>
      <c r="H197" s="152"/>
      <c r="I197" s="153"/>
      <c r="J197" s="149" t="s">
        <v>1355</v>
      </c>
      <c r="K197" s="149" t="s">
        <v>2072</v>
      </c>
      <c r="L197" s="166">
        <v>72</v>
      </c>
    </row>
    <row r="198" spans="1:12" x14ac:dyDescent="0.2">
      <c r="A198" s="154" t="s">
        <v>2074</v>
      </c>
      <c r="B198" s="241"/>
      <c r="C198" s="128" t="s">
        <v>2076</v>
      </c>
      <c r="D198" s="129" t="s">
        <v>2077</v>
      </c>
      <c r="E198" s="155">
        <v>12</v>
      </c>
      <c r="F198" s="155"/>
      <c r="G198" s="155"/>
      <c r="H198" s="156">
        <v>100000</v>
      </c>
      <c r="I198" s="157">
        <f>E198*H198</f>
        <v>1200000</v>
      </c>
      <c r="J198" s="128" t="s">
        <v>1355</v>
      </c>
      <c r="K198" s="128" t="s">
        <v>2072</v>
      </c>
      <c r="L198" s="127" t="s">
        <v>2075</v>
      </c>
    </row>
    <row r="199" spans="1:12" x14ac:dyDescent="0.2">
      <c r="A199" s="158" t="s">
        <v>2079</v>
      </c>
      <c r="B199" s="242"/>
      <c r="C199" s="135" t="s">
        <v>2081</v>
      </c>
      <c r="D199" s="129" t="s">
        <v>2077</v>
      </c>
      <c r="E199" s="159">
        <v>12</v>
      </c>
      <c r="F199" s="159"/>
      <c r="G199" s="159"/>
      <c r="H199" s="160">
        <v>176000</v>
      </c>
      <c r="I199" s="161">
        <f t="shared" ref="I199:I202" si="6">E199*H199</f>
        <v>2112000</v>
      </c>
      <c r="J199" s="135" t="s">
        <v>1355</v>
      </c>
      <c r="K199" s="135" t="s">
        <v>2072</v>
      </c>
      <c r="L199" s="134" t="s">
        <v>2080</v>
      </c>
    </row>
    <row r="200" spans="1:12" x14ac:dyDescent="0.2">
      <c r="A200" s="158" t="s">
        <v>2083</v>
      </c>
      <c r="B200" s="242"/>
      <c r="C200" s="135" t="s">
        <v>2085</v>
      </c>
      <c r="D200" s="129" t="s">
        <v>2077</v>
      </c>
      <c r="E200" s="159">
        <v>74</v>
      </c>
      <c r="F200" s="159"/>
      <c r="G200" s="159"/>
      <c r="H200" s="160">
        <v>26133.03</v>
      </c>
      <c r="I200" s="161">
        <f t="shared" si="6"/>
        <v>1933844.22</v>
      </c>
      <c r="J200" s="135" t="s">
        <v>1355</v>
      </c>
      <c r="K200" s="135" t="s">
        <v>2072</v>
      </c>
      <c r="L200" s="134" t="s">
        <v>2084</v>
      </c>
    </row>
    <row r="201" spans="1:12" x14ac:dyDescent="0.2">
      <c r="A201" s="158" t="s">
        <v>2087</v>
      </c>
      <c r="B201" s="242"/>
      <c r="C201" s="135" t="s">
        <v>2089</v>
      </c>
      <c r="D201" s="129" t="s">
        <v>2077</v>
      </c>
      <c r="E201" s="159">
        <v>936</v>
      </c>
      <c r="F201" s="159"/>
      <c r="G201" s="159"/>
      <c r="H201" s="160">
        <v>2150.2800000000002</v>
      </c>
      <c r="I201" s="161">
        <f t="shared" si="6"/>
        <v>2012662.08</v>
      </c>
      <c r="J201" s="135" t="s">
        <v>1355</v>
      </c>
      <c r="K201" s="135" t="s">
        <v>2072</v>
      </c>
      <c r="L201" s="134" t="s">
        <v>2088</v>
      </c>
    </row>
    <row r="202" spans="1:12" ht="13.5" thickBot="1" x14ac:dyDescent="0.25">
      <c r="A202" s="162" t="s">
        <v>2091</v>
      </c>
      <c r="B202" s="243"/>
      <c r="C202" s="142" t="s">
        <v>2093</v>
      </c>
      <c r="D202" s="129" t="s">
        <v>2077</v>
      </c>
      <c r="E202" s="163">
        <v>212</v>
      </c>
      <c r="F202" s="163"/>
      <c r="G202" s="163"/>
      <c r="H202" s="164">
        <v>64511.37</v>
      </c>
      <c r="I202" s="165">
        <f t="shared" si="6"/>
        <v>13676410.440000001</v>
      </c>
      <c r="J202" s="142" t="s">
        <v>1355</v>
      </c>
      <c r="K202" s="142" t="s">
        <v>2072</v>
      </c>
      <c r="L202" s="141" t="s">
        <v>2092</v>
      </c>
    </row>
    <row r="203" spans="1:12" ht="13.5" thickBot="1" x14ac:dyDescent="0.25">
      <c r="A203" s="147">
        <v>10</v>
      </c>
      <c r="B203" s="240"/>
      <c r="C203" s="150" t="str">
        <f>K203</f>
        <v xml:space="preserve"> INSTALAÇÃO DE COMBATE A INCÊNDIO  </v>
      </c>
      <c r="D203" s="150"/>
      <c r="E203" s="151"/>
      <c r="F203" s="151"/>
      <c r="G203" s="151"/>
      <c r="H203" s="152"/>
      <c r="I203" s="153"/>
      <c r="J203" s="149" t="s">
        <v>1355</v>
      </c>
      <c r="K203" s="149" t="s">
        <v>2095</v>
      </c>
      <c r="L203" s="166" t="s">
        <v>3613</v>
      </c>
    </row>
    <row r="204" spans="1:12" x14ac:dyDescent="0.2">
      <c r="A204" s="154" t="s">
        <v>2097</v>
      </c>
      <c r="B204" s="241"/>
      <c r="C204" s="128" t="s">
        <v>2099</v>
      </c>
      <c r="D204" s="139" t="s">
        <v>1627</v>
      </c>
      <c r="E204" s="155">
        <v>35</v>
      </c>
      <c r="F204" s="155"/>
      <c r="G204" s="155"/>
      <c r="H204" s="156">
        <v>133.62</v>
      </c>
      <c r="I204" s="157">
        <f>E204*H204</f>
        <v>4676.7</v>
      </c>
      <c r="J204" s="128" t="s">
        <v>1355</v>
      </c>
      <c r="K204" s="128" t="s">
        <v>2095</v>
      </c>
      <c r="L204" s="127" t="s">
        <v>2098</v>
      </c>
    </row>
    <row r="205" spans="1:12" x14ac:dyDescent="0.2">
      <c r="A205" s="158" t="s">
        <v>2101</v>
      </c>
      <c r="B205" s="242"/>
      <c r="C205" s="135" t="s">
        <v>2103</v>
      </c>
      <c r="D205" s="139" t="s">
        <v>1627</v>
      </c>
      <c r="E205" s="159">
        <v>35</v>
      </c>
      <c r="F205" s="159"/>
      <c r="G205" s="159"/>
      <c r="H205" s="160">
        <v>204.27</v>
      </c>
      <c r="I205" s="161">
        <f t="shared" ref="I205:I232" si="7">E205*H205</f>
        <v>7149.4500000000007</v>
      </c>
      <c r="J205" s="135" t="s">
        <v>1355</v>
      </c>
      <c r="K205" s="135" t="s">
        <v>2095</v>
      </c>
      <c r="L205" s="134" t="s">
        <v>2102</v>
      </c>
    </row>
    <row r="206" spans="1:12" x14ac:dyDescent="0.2">
      <c r="A206" s="158" t="s">
        <v>2105</v>
      </c>
      <c r="B206" s="242"/>
      <c r="C206" s="135" t="s">
        <v>2106</v>
      </c>
      <c r="D206" s="129" t="s">
        <v>1361</v>
      </c>
      <c r="E206" s="159">
        <v>67.2</v>
      </c>
      <c r="F206" s="159"/>
      <c r="G206" s="159"/>
      <c r="H206" s="160">
        <v>243.26</v>
      </c>
      <c r="I206" s="161">
        <f t="shared" si="7"/>
        <v>16347.072</v>
      </c>
      <c r="J206" s="135" t="s">
        <v>1355</v>
      </c>
      <c r="K206" s="135" t="s">
        <v>2095</v>
      </c>
      <c r="L206" s="134">
        <v>460808</v>
      </c>
    </row>
    <row r="207" spans="1:12" x14ac:dyDescent="0.2">
      <c r="A207" s="158" t="s">
        <v>2108</v>
      </c>
      <c r="B207" s="242"/>
      <c r="C207" s="135" t="s">
        <v>2109</v>
      </c>
      <c r="D207" s="129" t="s">
        <v>1361</v>
      </c>
      <c r="E207" s="159">
        <v>1509.6</v>
      </c>
      <c r="F207" s="159"/>
      <c r="G207" s="159"/>
      <c r="H207" s="160">
        <v>319.72000000000003</v>
      </c>
      <c r="I207" s="161">
        <f t="shared" si="7"/>
        <v>482649.31200000003</v>
      </c>
      <c r="J207" s="135" t="s">
        <v>1355</v>
      </c>
      <c r="K207" s="135" t="s">
        <v>2095</v>
      </c>
      <c r="L207" s="134">
        <v>460810</v>
      </c>
    </row>
    <row r="208" spans="1:12" x14ac:dyDescent="0.2">
      <c r="A208" s="158" t="s">
        <v>2111</v>
      </c>
      <c r="B208" s="242"/>
      <c r="C208" s="135" t="s">
        <v>2113</v>
      </c>
      <c r="D208" s="139" t="s">
        <v>1627</v>
      </c>
      <c r="E208" s="159">
        <v>35</v>
      </c>
      <c r="F208" s="159"/>
      <c r="G208" s="159"/>
      <c r="H208" s="160">
        <v>557.15</v>
      </c>
      <c r="I208" s="161">
        <f t="shared" si="7"/>
        <v>19500.25</v>
      </c>
      <c r="J208" s="135" t="s">
        <v>1355</v>
      </c>
      <c r="K208" s="135" t="s">
        <v>2095</v>
      </c>
      <c r="L208" s="134" t="s">
        <v>2112</v>
      </c>
    </row>
    <row r="209" spans="1:12" x14ac:dyDescent="0.2">
      <c r="A209" s="158" t="s">
        <v>2115</v>
      </c>
      <c r="B209" s="242"/>
      <c r="C209" s="135" t="s">
        <v>2117</v>
      </c>
      <c r="D209" s="139" t="s">
        <v>1627</v>
      </c>
      <c r="E209" s="159">
        <v>35</v>
      </c>
      <c r="F209" s="159"/>
      <c r="G209" s="159"/>
      <c r="H209" s="160">
        <v>399.33</v>
      </c>
      <c r="I209" s="161">
        <f t="shared" si="7"/>
        <v>13976.55</v>
      </c>
      <c r="J209" s="135" t="s">
        <v>1355</v>
      </c>
      <c r="K209" s="135" t="s">
        <v>2095</v>
      </c>
      <c r="L209" s="134" t="s">
        <v>2116</v>
      </c>
    </row>
    <row r="210" spans="1:12" x14ac:dyDescent="0.2">
      <c r="A210" s="158" t="s">
        <v>2119</v>
      </c>
      <c r="B210" s="242"/>
      <c r="C210" s="135" t="s">
        <v>2121</v>
      </c>
      <c r="D210" s="139" t="s">
        <v>1627</v>
      </c>
      <c r="E210" s="159">
        <v>35</v>
      </c>
      <c r="F210" s="159"/>
      <c r="G210" s="159"/>
      <c r="H210" s="160">
        <v>691.74</v>
      </c>
      <c r="I210" s="161">
        <f t="shared" si="7"/>
        <v>24210.9</v>
      </c>
      <c r="J210" s="135" t="s">
        <v>1355</v>
      </c>
      <c r="K210" s="135" t="s">
        <v>2095</v>
      </c>
      <c r="L210" s="134" t="s">
        <v>2120</v>
      </c>
    </row>
    <row r="211" spans="1:12" x14ac:dyDescent="0.2">
      <c r="A211" s="158" t="s">
        <v>2123</v>
      </c>
      <c r="B211" s="242"/>
      <c r="C211" s="135" t="s">
        <v>2125</v>
      </c>
      <c r="D211" s="139" t="s">
        <v>1627</v>
      </c>
      <c r="E211" s="159">
        <v>35</v>
      </c>
      <c r="F211" s="159"/>
      <c r="G211" s="159"/>
      <c r="H211" s="160">
        <v>454.57</v>
      </c>
      <c r="I211" s="161">
        <f t="shared" si="7"/>
        <v>15909.949999999999</v>
      </c>
      <c r="J211" s="135" t="s">
        <v>1355</v>
      </c>
      <c r="K211" s="135" t="s">
        <v>2095</v>
      </c>
      <c r="L211" s="134" t="s">
        <v>2124</v>
      </c>
    </row>
    <row r="212" spans="1:12" x14ac:dyDescent="0.2">
      <c r="A212" s="158" t="s">
        <v>2127</v>
      </c>
      <c r="B212" s="242"/>
      <c r="C212" s="135" t="s">
        <v>2129</v>
      </c>
      <c r="D212" s="139" t="s">
        <v>1627</v>
      </c>
      <c r="E212" s="159">
        <v>35</v>
      </c>
      <c r="F212" s="159"/>
      <c r="G212" s="159"/>
      <c r="H212" s="160">
        <v>235.98</v>
      </c>
      <c r="I212" s="161">
        <f t="shared" si="7"/>
        <v>8259.2999999999993</v>
      </c>
      <c r="J212" s="135" t="s">
        <v>1355</v>
      </c>
      <c r="K212" s="135" t="s">
        <v>2095</v>
      </c>
      <c r="L212" s="134" t="s">
        <v>2128</v>
      </c>
    </row>
    <row r="213" spans="1:12" x14ac:dyDescent="0.2">
      <c r="A213" s="158" t="s">
        <v>2131</v>
      </c>
      <c r="B213" s="242"/>
      <c r="C213" s="135" t="s">
        <v>2133</v>
      </c>
      <c r="D213" s="139" t="s">
        <v>1627</v>
      </c>
      <c r="E213" s="159">
        <v>68</v>
      </c>
      <c r="F213" s="159"/>
      <c r="G213" s="159"/>
      <c r="H213" s="160">
        <v>67.59</v>
      </c>
      <c r="I213" s="161">
        <f t="shared" si="7"/>
        <v>4596.12</v>
      </c>
      <c r="J213" s="135" t="s">
        <v>1355</v>
      </c>
      <c r="K213" s="135" t="s">
        <v>2095</v>
      </c>
      <c r="L213" s="134" t="s">
        <v>2132</v>
      </c>
    </row>
    <row r="214" spans="1:12" x14ac:dyDescent="0.2">
      <c r="A214" s="158" t="s">
        <v>2135</v>
      </c>
      <c r="B214" s="242"/>
      <c r="C214" s="135" t="s">
        <v>2137</v>
      </c>
      <c r="D214" s="139" t="s">
        <v>1627</v>
      </c>
      <c r="E214" s="159">
        <v>8</v>
      </c>
      <c r="F214" s="159"/>
      <c r="G214" s="159"/>
      <c r="H214" s="160">
        <v>461.16</v>
      </c>
      <c r="I214" s="161">
        <f t="shared" si="7"/>
        <v>3689.28</v>
      </c>
      <c r="J214" s="135" t="s">
        <v>1355</v>
      </c>
      <c r="K214" s="135" t="s">
        <v>2095</v>
      </c>
      <c r="L214" s="134" t="s">
        <v>2136</v>
      </c>
    </row>
    <row r="215" spans="1:12" x14ac:dyDescent="0.2">
      <c r="A215" s="158" t="s">
        <v>2139</v>
      </c>
      <c r="B215" s="242"/>
      <c r="C215" s="135" t="s">
        <v>2141</v>
      </c>
      <c r="D215" s="139" t="s">
        <v>1627</v>
      </c>
      <c r="E215" s="159">
        <v>34</v>
      </c>
      <c r="F215" s="159"/>
      <c r="G215" s="159"/>
      <c r="H215" s="160">
        <v>133.41</v>
      </c>
      <c r="I215" s="161">
        <f t="shared" si="7"/>
        <v>4535.9399999999996</v>
      </c>
      <c r="J215" s="135" t="s">
        <v>1355</v>
      </c>
      <c r="K215" s="135" t="s">
        <v>2095</v>
      </c>
      <c r="L215" s="134" t="s">
        <v>2140</v>
      </c>
    </row>
    <row r="216" spans="1:12" x14ac:dyDescent="0.2">
      <c r="A216" s="158" t="s">
        <v>2143</v>
      </c>
      <c r="B216" s="242"/>
      <c r="C216" s="135" t="s">
        <v>2145</v>
      </c>
      <c r="D216" s="139" t="s">
        <v>1627</v>
      </c>
      <c r="E216" s="159">
        <v>530</v>
      </c>
      <c r="F216" s="159"/>
      <c r="G216" s="159"/>
      <c r="H216" s="160">
        <v>200.57</v>
      </c>
      <c r="I216" s="161">
        <f t="shared" si="7"/>
        <v>106302.09999999999</v>
      </c>
      <c r="J216" s="135" t="s">
        <v>1355</v>
      </c>
      <c r="K216" s="135" t="s">
        <v>2095</v>
      </c>
      <c r="L216" s="134" t="s">
        <v>2144</v>
      </c>
    </row>
    <row r="217" spans="1:12" x14ac:dyDescent="0.2">
      <c r="A217" s="158" t="s">
        <v>2147</v>
      </c>
      <c r="B217" s="242"/>
      <c r="C217" s="135" t="s">
        <v>2149</v>
      </c>
      <c r="D217" s="139" t="s">
        <v>1627</v>
      </c>
      <c r="E217" s="159">
        <v>68</v>
      </c>
      <c r="F217" s="159"/>
      <c r="G217" s="159"/>
      <c r="H217" s="160">
        <v>198.9</v>
      </c>
      <c r="I217" s="161">
        <f t="shared" si="7"/>
        <v>13525.2</v>
      </c>
      <c r="J217" s="135" t="s">
        <v>1355</v>
      </c>
      <c r="K217" s="135" t="s">
        <v>2095</v>
      </c>
      <c r="L217" s="134" t="s">
        <v>2148</v>
      </c>
    </row>
    <row r="218" spans="1:12" x14ac:dyDescent="0.2">
      <c r="A218" s="158" t="s">
        <v>2151</v>
      </c>
      <c r="B218" s="242"/>
      <c r="C218" s="135" t="s">
        <v>2153</v>
      </c>
      <c r="D218" s="139" t="s">
        <v>1627</v>
      </c>
      <c r="E218" s="159">
        <v>35</v>
      </c>
      <c r="F218" s="159"/>
      <c r="G218" s="159"/>
      <c r="H218" s="160">
        <v>156.6</v>
      </c>
      <c r="I218" s="161">
        <f t="shared" si="7"/>
        <v>5481</v>
      </c>
      <c r="J218" s="135" t="s">
        <v>1355</v>
      </c>
      <c r="K218" s="135" t="s">
        <v>2095</v>
      </c>
      <c r="L218" s="134" t="s">
        <v>2152</v>
      </c>
    </row>
    <row r="219" spans="1:12" x14ac:dyDescent="0.2">
      <c r="A219" s="158" t="s">
        <v>2155</v>
      </c>
      <c r="B219" s="242"/>
      <c r="C219" s="135" t="s">
        <v>2157</v>
      </c>
      <c r="D219" s="139" t="s">
        <v>1627</v>
      </c>
      <c r="E219" s="159">
        <v>35</v>
      </c>
      <c r="F219" s="159"/>
      <c r="G219" s="159"/>
      <c r="H219" s="160">
        <v>1223.29</v>
      </c>
      <c r="I219" s="161">
        <f t="shared" si="7"/>
        <v>42815.15</v>
      </c>
      <c r="J219" s="135" t="s">
        <v>1355</v>
      </c>
      <c r="K219" s="135" t="s">
        <v>2095</v>
      </c>
      <c r="L219" s="134" t="s">
        <v>2156</v>
      </c>
    </row>
    <row r="220" spans="1:12" x14ac:dyDescent="0.2">
      <c r="A220" s="158" t="s">
        <v>2159</v>
      </c>
      <c r="B220" s="242"/>
      <c r="C220" s="135" t="s">
        <v>2161</v>
      </c>
      <c r="D220" s="139" t="s">
        <v>1627</v>
      </c>
      <c r="E220" s="159">
        <v>35</v>
      </c>
      <c r="F220" s="159"/>
      <c r="G220" s="159"/>
      <c r="H220" s="160">
        <v>204.23</v>
      </c>
      <c r="I220" s="161">
        <f t="shared" si="7"/>
        <v>7148.0499999999993</v>
      </c>
      <c r="J220" s="135" t="s">
        <v>1355</v>
      </c>
      <c r="K220" s="135" t="s">
        <v>2095</v>
      </c>
      <c r="L220" s="134" t="s">
        <v>2160</v>
      </c>
    </row>
    <row r="221" spans="1:12" x14ac:dyDescent="0.2">
      <c r="A221" s="158" t="s">
        <v>2163</v>
      </c>
      <c r="B221" s="242"/>
      <c r="C221" s="135" t="s">
        <v>2165</v>
      </c>
      <c r="D221" s="139" t="s">
        <v>1627</v>
      </c>
      <c r="E221" s="159">
        <v>35</v>
      </c>
      <c r="F221" s="159"/>
      <c r="G221" s="159"/>
      <c r="H221" s="160">
        <v>781.07</v>
      </c>
      <c r="I221" s="161">
        <f t="shared" si="7"/>
        <v>27337.45</v>
      </c>
      <c r="J221" s="135" t="s">
        <v>1355</v>
      </c>
      <c r="K221" s="135" t="s">
        <v>2095</v>
      </c>
      <c r="L221" s="134" t="s">
        <v>2164</v>
      </c>
    </row>
    <row r="222" spans="1:12" x14ac:dyDescent="0.2">
      <c r="A222" s="158" t="s">
        <v>2167</v>
      </c>
      <c r="B222" s="242"/>
      <c r="C222" s="135" t="s">
        <v>2169</v>
      </c>
      <c r="D222" s="139" t="s">
        <v>1627</v>
      </c>
      <c r="E222" s="159">
        <v>35</v>
      </c>
      <c r="F222" s="159"/>
      <c r="G222" s="159"/>
      <c r="H222" s="160">
        <v>98.82</v>
      </c>
      <c r="I222" s="161">
        <f t="shared" si="7"/>
        <v>3458.7</v>
      </c>
      <c r="J222" s="135" t="s">
        <v>1355</v>
      </c>
      <c r="K222" s="135" t="s">
        <v>2095</v>
      </c>
      <c r="L222" s="134" t="s">
        <v>2168</v>
      </c>
    </row>
    <row r="223" spans="1:12" x14ac:dyDescent="0.2">
      <c r="A223" s="158" t="s">
        <v>2171</v>
      </c>
      <c r="B223" s="242"/>
      <c r="C223" s="135" t="s">
        <v>2173</v>
      </c>
      <c r="D223" s="139" t="s">
        <v>1627</v>
      </c>
      <c r="E223" s="159">
        <v>35</v>
      </c>
      <c r="F223" s="159"/>
      <c r="G223" s="159"/>
      <c r="H223" s="160">
        <v>428.22</v>
      </c>
      <c r="I223" s="161">
        <f t="shared" si="7"/>
        <v>14987.7</v>
      </c>
      <c r="J223" s="135" t="s">
        <v>1355</v>
      </c>
      <c r="K223" s="135" t="s">
        <v>2095</v>
      </c>
      <c r="L223" s="134" t="s">
        <v>2172</v>
      </c>
    </row>
    <row r="224" spans="1:12" x14ac:dyDescent="0.2">
      <c r="A224" s="158" t="s">
        <v>2175</v>
      </c>
      <c r="B224" s="242"/>
      <c r="C224" s="135" t="s">
        <v>2177</v>
      </c>
      <c r="D224" s="139" t="s">
        <v>1627</v>
      </c>
      <c r="E224" s="159">
        <v>6</v>
      </c>
      <c r="F224" s="159"/>
      <c r="G224" s="159"/>
      <c r="H224" s="160">
        <v>2782.08</v>
      </c>
      <c r="I224" s="161">
        <f t="shared" si="7"/>
        <v>16692.48</v>
      </c>
      <c r="J224" s="135" t="s">
        <v>1355</v>
      </c>
      <c r="K224" s="135" t="s">
        <v>2095</v>
      </c>
      <c r="L224" s="134" t="s">
        <v>2176</v>
      </c>
    </row>
    <row r="225" spans="1:12" x14ac:dyDescent="0.2">
      <c r="A225" s="158" t="s">
        <v>2179</v>
      </c>
      <c r="B225" s="242"/>
      <c r="C225" s="135" t="s">
        <v>2181</v>
      </c>
      <c r="D225" s="139" t="s">
        <v>1627</v>
      </c>
      <c r="E225" s="159">
        <v>2</v>
      </c>
      <c r="F225" s="159"/>
      <c r="G225" s="159"/>
      <c r="H225" s="160">
        <v>3630.15</v>
      </c>
      <c r="I225" s="161">
        <f t="shared" si="7"/>
        <v>7260.3</v>
      </c>
      <c r="J225" s="135" t="s">
        <v>1355</v>
      </c>
      <c r="K225" s="135" t="s">
        <v>2095</v>
      </c>
      <c r="L225" s="134" t="s">
        <v>2180</v>
      </c>
    </row>
    <row r="226" spans="1:12" x14ac:dyDescent="0.2">
      <c r="A226" s="158" t="s">
        <v>2183</v>
      </c>
      <c r="B226" s="242"/>
      <c r="C226" s="135" t="s">
        <v>2185</v>
      </c>
      <c r="D226" s="139" t="s">
        <v>1627</v>
      </c>
      <c r="E226" s="159">
        <v>1</v>
      </c>
      <c r="F226" s="159"/>
      <c r="G226" s="159"/>
      <c r="H226" s="160">
        <v>1069.2</v>
      </c>
      <c r="I226" s="161">
        <f t="shared" si="7"/>
        <v>1069.2</v>
      </c>
      <c r="J226" s="135" t="s">
        <v>1355</v>
      </c>
      <c r="K226" s="135" t="s">
        <v>2095</v>
      </c>
      <c r="L226" s="134" t="s">
        <v>2184</v>
      </c>
    </row>
    <row r="227" spans="1:12" x14ac:dyDescent="0.2">
      <c r="A227" s="158" t="s">
        <v>2187</v>
      </c>
      <c r="B227" s="242"/>
      <c r="C227" s="135" t="s">
        <v>2189</v>
      </c>
      <c r="D227" s="129" t="s">
        <v>1361</v>
      </c>
      <c r="E227" s="159">
        <v>67.2</v>
      </c>
      <c r="F227" s="159"/>
      <c r="G227" s="159"/>
      <c r="H227" s="160">
        <v>10.41</v>
      </c>
      <c r="I227" s="161">
        <f t="shared" si="7"/>
        <v>699.55200000000002</v>
      </c>
      <c r="J227" s="135" t="s">
        <v>1355</v>
      </c>
      <c r="K227" s="135" t="s">
        <v>2095</v>
      </c>
      <c r="L227" s="134" t="s">
        <v>2188</v>
      </c>
    </row>
    <row r="228" spans="1:12" x14ac:dyDescent="0.2">
      <c r="A228" s="158" t="s">
        <v>2191</v>
      </c>
      <c r="B228" s="242"/>
      <c r="C228" s="135" t="s">
        <v>2193</v>
      </c>
      <c r="D228" s="129" t="s">
        <v>1361</v>
      </c>
      <c r="E228" s="159">
        <v>1509.6</v>
      </c>
      <c r="F228" s="159"/>
      <c r="G228" s="159"/>
      <c r="H228" s="160">
        <v>30.2</v>
      </c>
      <c r="I228" s="161">
        <f t="shared" si="7"/>
        <v>45589.919999999998</v>
      </c>
      <c r="J228" s="135" t="s">
        <v>1355</v>
      </c>
      <c r="K228" s="135" t="s">
        <v>2095</v>
      </c>
      <c r="L228" s="134" t="s">
        <v>2192</v>
      </c>
    </row>
    <row r="229" spans="1:12" x14ac:dyDescent="0.2">
      <c r="A229" s="158" t="s">
        <v>2195</v>
      </c>
      <c r="B229" s="242"/>
      <c r="C229" s="135" t="s">
        <v>2197</v>
      </c>
      <c r="D229" s="139" t="s">
        <v>1627</v>
      </c>
      <c r="E229" s="159">
        <v>37</v>
      </c>
      <c r="F229" s="159"/>
      <c r="G229" s="159"/>
      <c r="H229" s="160">
        <v>133.96</v>
      </c>
      <c r="I229" s="161">
        <f t="shared" si="7"/>
        <v>4956.5200000000004</v>
      </c>
      <c r="J229" s="135" t="s">
        <v>1355</v>
      </c>
      <c r="K229" s="135" t="s">
        <v>2095</v>
      </c>
      <c r="L229" s="134" t="s">
        <v>2196</v>
      </c>
    </row>
    <row r="230" spans="1:12" x14ac:dyDescent="0.2">
      <c r="A230" s="158" t="s">
        <v>2199</v>
      </c>
      <c r="B230" s="242"/>
      <c r="C230" s="135" t="s">
        <v>2201</v>
      </c>
      <c r="D230" s="139" t="s">
        <v>1627</v>
      </c>
      <c r="E230" s="159">
        <v>61</v>
      </c>
      <c r="F230" s="159"/>
      <c r="G230" s="159"/>
      <c r="H230" s="160">
        <v>76.36</v>
      </c>
      <c r="I230" s="161">
        <f t="shared" si="7"/>
        <v>4657.96</v>
      </c>
      <c r="J230" s="135" t="s">
        <v>1355</v>
      </c>
      <c r="K230" s="135" t="s">
        <v>2095</v>
      </c>
      <c r="L230" s="134" t="s">
        <v>2200</v>
      </c>
    </row>
    <row r="231" spans="1:12" x14ac:dyDescent="0.2">
      <c r="A231" s="158" t="s">
        <v>2203</v>
      </c>
      <c r="B231" s="242"/>
      <c r="C231" s="135" t="s">
        <v>2205</v>
      </c>
      <c r="D231" s="139" t="s">
        <v>1627</v>
      </c>
      <c r="E231" s="159">
        <v>15</v>
      </c>
      <c r="F231" s="159"/>
      <c r="G231" s="159"/>
      <c r="H231" s="160">
        <v>955.26</v>
      </c>
      <c r="I231" s="161">
        <f t="shared" si="7"/>
        <v>14328.9</v>
      </c>
      <c r="J231" s="135" t="s">
        <v>1355</v>
      </c>
      <c r="K231" s="135" t="s">
        <v>2095</v>
      </c>
      <c r="L231" s="134" t="s">
        <v>2204</v>
      </c>
    </row>
    <row r="232" spans="1:12" ht="13.5" thickBot="1" x14ac:dyDescent="0.25">
      <c r="A232" s="162" t="s">
        <v>2207</v>
      </c>
      <c r="B232" s="243"/>
      <c r="C232" s="142" t="s">
        <v>2209</v>
      </c>
      <c r="D232" s="139" t="s">
        <v>1627</v>
      </c>
      <c r="E232" s="163">
        <v>15</v>
      </c>
      <c r="F232" s="163"/>
      <c r="G232" s="163"/>
      <c r="H232" s="164">
        <v>3524.58</v>
      </c>
      <c r="I232" s="165">
        <f t="shared" si="7"/>
        <v>52868.7</v>
      </c>
      <c r="J232" s="142" t="s">
        <v>1355</v>
      </c>
      <c r="K232" s="142" t="s">
        <v>2095</v>
      </c>
      <c r="L232" s="141" t="s">
        <v>2208</v>
      </c>
    </row>
    <row r="233" spans="1:12" ht="13.5" thickBot="1" x14ac:dyDescent="0.25">
      <c r="A233" s="147">
        <v>11</v>
      </c>
      <c r="B233" s="240"/>
      <c r="C233" s="150" t="str">
        <f>K233</f>
        <v xml:space="preserve"> EDIFICAÇÃO  </v>
      </c>
      <c r="D233" s="150"/>
      <c r="E233" s="151"/>
      <c r="F233" s="151"/>
      <c r="G233" s="151"/>
      <c r="H233" s="152"/>
      <c r="I233" s="153"/>
      <c r="J233" s="149" t="s">
        <v>1355</v>
      </c>
      <c r="K233" s="149" t="s">
        <v>2211</v>
      </c>
      <c r="L233" s="167" t="s">
        <v>3613</v>
      </c>
    </row>
    <row r="234" spans="1:12" x14ac:dyDescent="0.2">
      <c r="A234" s="126" t="s">
        <v>2213</v>
      </c>
      <c r="B234" s="237"/>
      <c r="C234" s="169" t="s">
        <v>2215</v>
      </c>
      <c r="D234" s="139" t="s">
        <v>1383</v>
      </c>
      <c r="E234" s="170">
        <v>105</v>
      </c>
      <c r="F234" s="170"/>
      <c r="G234" s="170"/>
      <c r="H234" s="171">
        <v>534.87</v>
      </c>
      <c r="I234" s="172">
        <f>E234*H234</f>
        <v>56161.35</v>
      </c>
      <c r="J234" s="169" t="s">
        <v>1355</v>
      </c>
      <c r="K234" s="169" t="s">
        <v>2211</v>
      </c>
      <c r="L234" s="168" t="s">
        <v>2214</v>
      </c>
    </row>
    <row r="235" spans="1:12" x14ac:dyDescent="0.2">
      <c r="A235" s="133" t="s">
        <v>2217</v>
      </c>
      <c r="B235" s="238"/>
      <c r="C235" s="174" t="s">
        <v>2219</v>
      </c>
      <c r="D235" s="139" t="s">
        <v>1383</v>
      </c>
      <c r="E235" s="175">
        <v>50</v>
      </c>
      <c r="F235" s="175"/>
      <c r="G235" s="175"/>
      <c r="H235" s="176">
        <v>569.62</v>
      </c>
      <c r="I235" s="177">
        <f t="shared" ref="I235:I298" si="8">E235*H235</f>
        <v>28481</v>
      </c>
      <c r="J235" s="174" t="s">
        <v>1355</v>
      </c>
      <c r="K235" s="174" t="s">
        <v>2211</v>
      </c>
      <c r="L235" s="173" t="s">
        <v>2218</v>
      </c>
    </row>
    <row r="236" spans="1:12" x14ac:dyDescent="0.2">
      <c r="A236" s="133" t="s">
        <v>2221</v>
      </c>
      <c r="B236" s="238"/>
      <c r="C236" s="174" t="s">
        <v>2223</v>
      </c>
      <c r="D236" s="139" t="s">
        <v>1383</v>
      </c>
      <c r="E236" s="175">
        <v>520</v>
      </c>
      <c r="F236" s="175"/>
      <c r="G236" s="175"/>
      <c r="H236" s="176">
        <v>62.51</v>
      </c>
      <c r="I236" s="177">
        <f t="shared" si="8"/>
        <v>32505.200000000001</v>
      </c>
      <c r="J236" s="174" t="s">
        <v>1355</v>
      </c>
      <c r="K236" s="174" t="s">
        <v>2211</v>
      </c>
      <c r="L236" s="173" t="s">
        <v>2222</v>
      </c>
    </row>
    <row r="237" spans="1:12" x14ac:dyDescent="0.2">
      <c r="A237" s="133" t="s">
        <v>2225</v>
      </c>
      <c r="B237" s="238"/>
      <c r="C237" s="174" t="s">
        <v>2227</v>
      </c>
      <c r="D237" s="139" t="s">
        <v>1383</v>
      </c>
      <c r="E237" s="175">
        <v>1260</v>
      </c>
      <c r="F237" s="175"/>
      <c r="G237" s="175"/>
      <c r="H237" s="176">
        <v>74.72</v>
      </c>
      <c r="I237" s="177">
        <f t="shared" si="8"/>
        <v>94147.199999999997</v>
      </c>
      <c r="J237" s="174" t="s">
        <v>1355</v>
      </c>
      <c r="K237" s="174" t="s">
        <v>2211</v>
      </c>
      <c r="L237" s="173" t="s">
        <v>2226</v>
      </c>
    </row>
    <row r="238" spans="1:12" x14ac:dyDescent="0.2">
      <c r="A238" s="133" t="s">
        <v>2229</v>
      </c>
      <c r="B238" s="238"/>
      <c r="C238" s="174" t="s">
        <v>2231</v>
      </c>
      <c r="D238" s="139" t="s">
        <v>1383</v>
      </c>
      <c r="E238" s="175">
        <v>410</v>
      </c>
      <c r="F238" s="175"/>
      <c r="G238" s="175"/>
      <c r="H238" s="176">
        <v>72.87</v>
      </c>
      <c r="I238" s="177">
        <f t="shared" si="8"/>
        <v>29876.7</v>
      </c>
      <c r="J238" s="174" t="s">
        <v>1355</v>
      </c>
      <c r="K238" s="174" t="s">
        <v>2211</v>
      </c>
      <c r="L238" s="173" t="s">
        <v>2230</v>
      </c>
    </row>
    <row r="239" spans="1:12" x14ac:dyDescent="0.2">
      <c r="A239" s="133" t="s">
        <v>2233</v>
      </c>
      <c r="B239" s="238"/>
      <c r="C239" s="174" t="s">
        <v>2235</v>
      </c>
      <c r="D239" s="139" t="s">
        <v>1383</v>
      </c>
      <c r="E239" s="175">
        <v>777</v>
      </c>
      <c r="F239" s="175"/>
      <c r="G239" s="175"/>
      <c r="H239" s="176">
        <v>85.29</v>
      </c>
      <c r="I239" s="177">
        <f t="shared" si="8"/>
        <v>66270.33</v>
      </c>
      <c r="J239" s="174" t="s">
        <v>1355</v>
      </c>
      <c r="K239" s="174" t="s">
        <v>2211</v>
      </c>
      <c r="L239" s="173" t="s">
        <v>2234</v>
      </c>
    </row>
    <row r="240" spans="1:12" x14ac:dyDescent="0.2">
      <c r="A240" s="133" t="s">
        <v>2237</v>
      </c>
      <c r="B240" s="238"/>
      <c r="C240" s="174" t="s">
        <v>2239</v>
      </c>
      <c r="D240" s="139" t="s">
        <v>1383</v>
      </c>
      <c r="E240" s="175">
        <v>134</v>
      </c>
      <c r="F240" s="175"/>
      <c r="G240" s="175"/>
      <c r="H240" s="176">
        <v>150.47</v>
      </c>
      <c r="I240" s="177">
        <f t="shared" si="8"/>
        <v>20162.98</v>
      </c>
      <c r="J240" s="174" t="s">
        <v>1355</v>
      </c>
      <c r="K240" s="174" t="s">
        <v>2211</v>
      </c>
      <c r="L240" s="173" t="s">
        <v>2238</v>
      </c>
    </row>
    <row r="241" spans="1:12" x14ac:dyDescent="0.2">
      <c r="A241" s="133" t="s">
        <v>2241</v>
      </c>
      <c r="B241" s="238"/>
      <c r="C241" s="174" t="s">
        <v>2243</v>
      </c>
      <c r="D241" s="139" t="s">
        <v>1383</v>
      </c>
      <c r="E241" s="175">
        <v>98</v>
      </c>
      <c r="F241" s="175"/>
      <c r="G241" s="175"/>
      <c r="H241" s="176">
        <v>145.1</v>
      </c>
      <c r="I241" s="177">
        <f t="shared" si="8"/>
        <v>14219.8</v>
      </c>
      <c r="J241" s="174" t="s">
        <v>1355</v>
      </c>
      <c r="K241" s="174" t="s">
        <v>2211</v>
      </c>
      <c r="L241" s="173" t="s">
        <v>2242</v>
      </c>
    </row>
    <row r="242" spans="1:12" x14ac:dyDescent="0.2">
      <c r="A242" s="133" t="s">
        <v>2245</v>
      </c>
      <c r="B242" s="238"/>
      <c r="C242" s="174" t="s">
        <v>2247</v>
      </c>
      <c r="D242" s="139" t="s">
        <v>1383</v>
      </c>
      <c r="E242" s="175">
        <v>60</v>
      </c>
      <c r="F242" s="175"/>
      <c r="G242" s="175"/>
      <c r="H242" s="176">
        <v>167.79</v>
      </c>
      <c r="I242" s="177">
        <f t="shared" si="8"/>
        <v>10067.4</v>
      </c>
      <c r="J242" s="174" t="s">
        <v>1355</v>
      </c>
      <c r="K242" s="174" t="s">
        <v>2211</v>
      </c>
      <c r="L242" s="173" t="s">
        <v>2246</v>
      </c>
    </row>
    <row r="243" spans="1:12" x14ac:dyDescent="0.2">
      <c r="A243" s="133" t="s">
        <v>2249</v>
      </c>
      <c r="B243" s="238"/>
      <c r="C243" s="174" t="s">
        <v>2251</v>
      </c>
      <c r="D243" s="139" t="s">
        <v>1383</v>
      </c>
      <c r="E243" s="175">
        <v>83</v>
      </c>
      <c r="F243" s="175"/>
      <c r="G243" s="175"/>
      <c r="H243" s="176">
        <v>290.10000000000002</v>
      </c>
      <c r="I243" s="177">
        <f t="shared" si="8"/>
        <v>24078.300000000003</v>
      </c>
      <c r="J243" s="174" t="s">
        <v>1355</v>
      </c>
      <c r="K243" s="174" t="s">
        <v>2211</v>
      </c>
      <c r="L243" s="173" t="s">
        <v>2250</v>
      </c>
    </row>
    <row r="244" spans="1:12" x14ac:dyDescent="0.2">
      <c r="A244" s="133" t="s">
        <v>2253</v>
      </c>
      <c r="B244" s="238"/>
      <c r="C244" s="174" t="s">
        <v>2255</v>
      </c>
      <c r="D244" s="139" t="s">
        <v>1383</v>
      </c>
      <c r="E244" s="175">
        <v>240</v>
      </c>
      <c r="F244" s="175"/>
      <c r="G244" s="175"/>
      <c r="H244" s="176">
        <v>42.35</v>
      </c>
      <c r="I244" s="177">
        <f t="shared" si="8"/>
        <v>10164</v>
      </c>
      <c r="J244" s="174" t="s">
        <v>1355</v>
      </c>
      <c r="K244" s="174" t="s">
        <v>2211</v>
      </c>
      <c r="L244" s="173" t="s">
        <v>2254</v>
      </c>
    </row>
    <row r="245" spans="1:12" x14ac:dyDescent="0.2">
      <c r="A245" s="133" t="s">
        <v>2257</v>
      </c>
      <c r="B245" s="238"/>
      <c r="C245" s="174" t="s">
        <v>2259</v>
      </c>
      <c r="D245" s="139" t="s">
        <v>1383</v>
      </c>
      <c r="E245" s="175">
        <v>360</v>
      </c>
      <c r="F245" s="175"/>
      <c r="G245" s="175"/>
      <c r="H245" s="176">
        <v>51.48</v>
      </c>
      <c r="I245" s="177">
        <f t="shared" si="8"/>
        <v>18532.8</v>
      </c>
      <c r="J245" s="174" t="s">
        <v>1355</v>
      </c>
      <c r="K245" s="174" t="s">
        <v>2211</v>
      </c>
      <c r="L245" s="173" t="s">
        <v>2258</v>
      </c>
    </row>
    <row r="246" spans="1:12" x14ac:dyDescent="0.2">
      <c r="A246" s="133" t="s">
        <v>2261</v>
      </c>
      <c r="B246" s="238"/>
      <c r="C246" s="174" t="s">
        <v>2263</v>
      </c>
      <c r="D246" s="139" t="s">
        <v>1383</v>
      </c>
      <c r="E246" s="175">
        <v>1500</v>
      </c>
      <c r="F246" s="175"/>
      <c r="G246" s="175"/>
      <c r="H246" s="176">
        <v>100.1</v>
      </c>
      <c r="I246" s="177">
        <f t="shared" si="8"/>
        <v>150150</v>
      </c>
      <c r="J246" s="174" t="s">
        <v>1355</v>
      </c>
      <c r="K246" s="174" t="s">
        <v>2211</v>
      </c>
      <c r="L246" s="173" t="s">
        <v>2262</v>
      </c>
    </row>
    <row r="247" spans="1:12" x14ac:dyDescent="0.2">
      <c r="A247" s="133" t="s">
        <v>2265</v>
      </c>
      <c r="B247" s="238"/>
      <c r="C247" s="174" t="s">
        <v>2267</v>
      </c>
      <c r="D247" s="139" t="s">
        <v>1383</v>
      </c>
      <c r="E247" s="175">
        <v>341.54</v>
      </c>
      <c r="F247" s="175"/>
      <c r="G247" s="175"/>
      <c r="H247" s="176">
        <v>81.03</v>
      </c>
      <c r="I247" s="177">
        <f t="shared" si="8"/>
        <v>27674.986200000003</v>
      </c>
      <c r="J247" s="174" t="s">
        <v>1355</v>
      </c>
      <c r="K247" s="174" t="s">
        <v>2211</v>
      </c>
      <c r="L247" s="173" t="s">
        <v>2266</v>
      </c>
    </row>
    <row r="248" spans="1:12" x14ac:dyDescent="0.2">
      <c r="A248" s="133" t="s">
        <v>2269</v>
      </c>
      <c r="B248" s="238"/>
      <c r="C248" s="174" t="s">
        <v>2271</v>
      </c>
      <c r="D248" s="139" t="s">
        <v>1383</v>
      </c>
      <c r="E248" s="175">
        <v>1500</v>
      </c>
      <c r="F248" s="175"/>
      <c r="G248" s="175"/>
      <c r="H248" s="176">
        <v>34.74</v>
      </c>
      <c r="I248" s="177">
        <f t="shared" si="8"/>
        <v>52110</v>
      </c>
      <c r="J248" s="174" t="s">
        <v>1355</v>
      </c>
      <c r="K248" s="174" t="s">
        <v>2211</v>
      </c>
      <c r="L248" s="173" t="s">
        <v>2270</v>
      </c>
    </row>
    <row r="249" spans="1:12" x14ac:dyDescent="0.2">
      <c r="A249" s="133" t="s">
        <v>2273</v>
      </c>
      <c r="B249" s="238"/>
      <c r="C249" s="174" t="s">
        <v>2275</v>
      </c>
      <c r="D249" s="139" t="s">
        <v>1383</v>
      </c>
      <c r="E249" s="175">
        <v>1500</v>
      </c>
      <c r="F249" s="175"/>
      <c r="G249" s="175"/>
      <c r="H249" s="176">
        <v>9.98</v>
      </c>
      <c r="I249" s="177">
        <f t="shared" si="8"/>
        <v>14970</v>
      </c>
      <c r="J249" s="174" t="s">
        <v>1355</v>
      </c>
      <c r="K249" s="174" t="s">
        <v>2211</v>
      </c>
      <c r="L249" s="173" t="s">
        <v>2274</v>
      </c>
    </row>
    <row r="250" spans="1:12" x14ac:dyDescent="0.2">
      <c r="A250" s="133" t="s">
        <v>2277</v>
      </c>
      <c r="B250" s="238"/>
      <c r="C250" s="174" t="s">
        <v>2279</v>
      </c>
      <c r="D250" s="139" t="s">
        <v>1383</v>
      </c>
      <c r="E250" s="175">
        <v>1500</v>
      </c>
      <c r="F250" s="175"/>
      <c r="G250" s="175"/>
      <c r="H250" s="176">
        <v>31.37</v>
      </c>
      <c r="I250" s="177">
        <f t="shared" si="8"/>
        <v>47055</v>
      </c>
      <c r="J250" s="174" t="s">
        <v>1355</v>
      </c>
      <c r="K250" s="174" t="s">
        <v>2211</v>
      </c>
      <c r="L250" s="173" t="s">
        <v>2278</v>
      </c>
    </row>
    <row r="251" spans="1:12" x14ac:dyDescent="0.2">
      <c r="A251" s="133" t="s">
        <v>2281</v>
      </c>
      <c r="B251" s="238"/>
      <c r="C251" s="174" t="s">
        <v>2283</v>
      </c>
      <c r="D251" s="139" t="s">
        <v>1557</v>
      </c>
      <c r="E251" s="175">
        <v>5300</v>
      </c>
      <c r="F251" s="175"/>
      <c r="G251" s="175"/>
      <c r="H251" s="176">
        <v>8.3000000000000007</v>
      </c>
      <c r="I251" s="177">
        <f t="shared" si="8"/>
        <v>43990.000000000007</v>
      </c>
      <c r="J251" s="174" t="s">
        <v>1355</v>
      </c>
      <c r="K251" s="174" t="s">
        <v>2211</v>
      </c>
      <c r="L251" s="173" t="s">
        <v>2282</v>
      </c>
    </row>
    <row r="252" spans="1:12" x14ac:dyDescent="0.2">
      <c r="A252" s="133" t="s">
        <v>2285</v>
      </c>
      <c r="B252" s="238"/>
      <c r="C252" s="174" t="s">
        <v>2287</v>
      </c>
      <c r="D252" s="139" t="s">
        <v>1557</v>
      </c>
      <c r="E252" s="175">
        <v>5300</v>
      </c>
      <c r="F252" s="175"/>
      <c r="G252" s="175"/>
      <c r="H252" s="176">
        <v>2.7</v>
      </c>
      <c r="I252" s="177">
        <f t="shared" si="8"/>
        <v>14310.000000000002</v>
      </c>
      <c r="J252" s="174" t="s">
        <v>1355</v>
      </c>
      <c r="K252" s="174" t="s">
        <v>2211</v>
      </c>
      <c r="L252" s="173" t="s">
        <v>2286</v>
      </c>
    </row>
    <row r="253" spans="1:12" x14ac:dyDescent="0.2">
      <c r="A253" s="133" t="s">
        <v>2289</v>
      </c>
      <c r="B253" s="238"/>
      <c r="C253" s="174" t="s">
        <v>2291</v>
      </c>
      <c r="D253" s="139" t="s">
        <v>1383</v>
      </c>
      <c r="E253" s="175">
        <v>260</v>
      </c>
      <c r="F253" s="175"/>
      <c r="G253" s="175"/>
      <c r="H253" s="176">
        <v>62.22</v>
      </c>
      <c r="I253" s="177">
        <f t="shared" si="8"/>
        <v>16177.199999999999</v>
      </c>
      <c r="J253" s="174" t="s">
        <v>1355</v>
      </c>
      <c r="K253" s="174" t="s">
        <v>2211</v>
      </c>
      <c r="L253" s="173" t="s">
        <v>2290</v>
      </c>
    </row>
    <row r="254" spans="1:12" x14ac:dyDescent="0.2">
      <c r="A254" s="133" t="s">
        <v>2293</v>
      </c>
      <c r="B254" s="238"/>
      <c r="C254" s="174" t="s">
        <v>2295</v>
      </c>
      <c r="D254" s="139" t="s">
        <v>1383</v>
      </c>
      <c r="E254" s="175">
        <v>1440</v>
      </c>
      <c r="F254" s="175"/>
      <c r="G254" s="175"/>
      <c r="H254" s="176">
        <v>163.22</v>
      </c>
      <c r="I254" s="177">
        <f t="shared" si="8"/>
        <v>235036.79999999999</v>
      </c>
      <c r="J254" s="174" t="s">
        <v>1355</v>
      </c>
      <c r="K254" s="174" t="s">
        <v>2211</v>
      </c>
      <c r="L254" s="173" t="s">
        <v>2294</v>
      </c>
    </row>
    <row r="255" spans="1:12" x14ac:dyDescent="0.2">
      <c r="A255" s="133" t="s">
        <v>2297</v>
      </c>
      <c r="B255" s="238"/>
      <c r="C255" s="174" t="s">
        <v>2299</v>
      </c>
      <c r="D255" s="139" t="s">
        <v>1383</v>
      </c>
      <c r="E255" s="175">
        <v>52</v>
      </c>
      <c r="F255" s="175"/>
      <c r="G255" s="175"/>
      <c r="H255" s="176">
        <v>541.69000000000005</v>
      </c>
      <c r="I255" s="177">
        <f t="shared" si="8"/>
        <v>28167.880000000005</v>
      </c>
      <c r="J255" s="174" t="s">
        <v>1355</v>
      </c>
      <c r="K255" s="174" t="s">
        <v>2211</v>
      </c>
      <c r="L255" s="173" t="s">
        <v>2298</v>
      </c>
    </row>
    <row r="256" spans="1:12" x14ac:dyDescent="0.2">
      <c r="A256" s="133" t="s">
        <v>2301</v>
      </c>
      <c r="B256" s="238"/>
      <c r="C256" s="174" t="s">
        <v>2303</v>
      </c>
      <c r="D256" s="139" t="s">
        <v>1627</v>
      </c>
      <c r="E256" s="175">
        <v>16</v>
      </c>
      <c r="F256" s="175"/>
      <c r="G256" s="175"/>
      <c r="H256" s="176">
        <v>344.37</v>
      </c>
      <c r="I256" s="177">
        <f t="shared" si="8"/>
        <v>5509.92</v>
      </c>
      <c r="J256" s="174" t="s">
        <v>1355</v>
      </c>
      <c r="K256" s="174" t="s">
        <v>2211</v>
      </c>
      <c r="L256" s="173" t="s">
        <v>2302</v>
      </c>
    </row>
    <row r="257" spans="1:12" x14ac:dyDescent="0.2">
      <c r="A257" s="133" t="s">
        <v>2305</v>
      </c>
      <c r="B257" s="238"/>
      <c r="C257" s="174" t="s">
        <v>2307</v>
      </c>
      <c r="D257" s="139" t="s">
        <v>1627</v>
      </c>
      <c r="E257" s="175">
        <v>8</v>
      </c>
      <c r="F257" s="175"/>
      <c r="G257" s="175"/>
      <c r="H257" s="176">
        <v>521.86</v>
      </c>
      <c r="I257" s="177">
        <f t="shared" si="8"/>
        <v>4174.88</v>
      </c>
      <c r="J257" s="174" t="s">
        <v>1355</v>
      </c>
      <c r="K257" s="174" t="s">
        <v>2211</v>
      </c>
      <c r="L257" s="173" t="s">
        <v>2306</v>
      </c>
    </row>
    <row r="258" spans="1:12" x14ac:dyDescent="0.2">
      <c r="A258" s="133" t="s">
        <v>2309</v>
      </c>
      <c r="B258" s="238"/>
      <c r="C258" s="174" t="s">
        <v>2311</v>
      </c>
      <c r="D258" s="139" t="s">
        <v>1627</v>
      </c>
      <c r="E258" s="175">
        <v>8</v>
      </c>
      <c r="F258" s="175"/>
      <c r="G258" s="175"/>
      <c r="H258" s="176">
        <v>522.59</v>
      </c>
      <c r="I258" s="177">
        <f t="shared" si="8"/>
        <v>4180.72</v>
      </c>
      <c r="J258" s="174" t="s">
        <v>1355</v>
      </c>
      <c r="K258" s="174" t="s">
        <v>2211</v>
      </c>
      <c r="L258" s="173" t="s">
        <v>2310</v>
      </c>
    </row>
    <row r="259" spans="1:12" x14ac:dyDescent="0.2">
      <c r="A259" s="133" t="s">
        <v>2313</v>
      </c>
      <c r="B259" s="238"/>
      <c r="C259" s="174" t="s">
        <v>2315</v>
      </c>
      <c r="D259" s="139" t="s">
        <v>1627</v>
      </c>
      <c r="E259" s="175">
        <v>10</v>
      </c>
      <c r="F259" s="175"/>
      <c r="G259" s="175"/>
      <c r="H259" s="176">
        <v>318.72000000000003</v>
      </c>
      <c r="I259" s="177">
        <f t="shared" si="8"/>
        <v>3187.2000000000003</v>
      </c>
      <c r="J259" s="174" t="s">
        <v>1355</v>
      </c>
      <c r="K259" s="174" t="s">
        <v>2211</v>
      </c>
      <c r="L259" s="173" t="s">
        <v>2314</v>
      </c>
    </row>
    <row r="260" spans="1:12" x14ac:dyDescent="0.2">
      <c r="A260" s="133" t="s">
        <v>2317</v>
      </c>
      <c r="B260" s="238"/>
      <c r="C260" s="174" t="s">
        <v>2319</v>
      </c>
      <c r="D260" s="139" t="s">
        <v>1627</v>
      </c>
      <c r="E260" s="175">
        <v>18</v>
      </c>
      <c r="F260" s="175"/>
      <c r="G260" s="175"/>
      <c r="H260" s="176">
        <v>346.02</v>
      </c>
      <c r="I260" s="177">
        <f t="shared" si="8"/>
        <v>6228.36</v>
      </c>
      <c r="J260" s="174" t="s">
        <v>1355</v>
      </c>
      <c r="K260" s="174" t="s">
        <v>2211</v>
      </c>
      <c r="L260" s="173" t="s">
        <v>2318</v>
      </c>
    </row>
    <row r="261" spans="1:12" x14ac:dyDescent="0.2">
      <c r="A261" s="133" t="s">
        <v>2321</v>
      </c>
      <c r="B261" s="238"/>
      <c r="C261" s="174" t="s">
        <v>2323</v>
      </c>
      <c r="D261" s="139" t="s">
        <v>1383</v>
      </c>
      <c r="E261" s="175">
        <v>28</v>
      </c>
      <c r="F261" s="175"/>
      <c r="G261" s="175"/>
      <c r="H261" s="176">
        <v>1022.21</v>
      </c>
      <c r="I261" s="177">
        <f t="shared" si="8"/>
        <v>28621.88</v>
      </c>
      <c r="J261" s="174" t="s">
        <v>1355</v>
      </c>
      <c r="K261" s="174" t="s">
        <v>2211</v>
      </c>
      <c r="L261" s="173" t="s">
        <v>2322</v>
      </c>
    </row>
    <row r="262" spans="1:12" x14ac:dyDescent="0.2">
      <c r="A262" s="133" t="s">
        <v>2325</v>
      </c>
      <c r="B262" s="238"/>
      <c r="C262" s="174" t="s">
        <v>2327</v>
      </c>
      <c r="D262" s="139" t="s">
        <v>1383</v>
      </c>
      <c r="E262" s="175">
        <v>50</v>
      </c>
      <c r="F262" s="175"/>
      <c r="G262" s="175"/>
      <c r="H262" s="176">
        <v>996.06</v>
      </c>
      <c r="I262" s="177">
        <f t="shared" si="8"/>
        <v>49803</v>
      </c>
      <c r="J262" s="174" t="s">
        <v>1355</v>
      </c>
      <c r="K262" s="174" t="s">
        <v>2211</v>
      </c>
      <c r="L262" s="173" t="s">
        <v>2326</v>
      </c>
    </row>
    <row r="263" spans="1:12" x14ac:dyDescent="0.2">
      <c r="A263" s="133" t="s">
        <v>2329</v>
      </c>
      <c r="B263" s="238"/>
      <c r="C263" s="174" t="s">
        <v>2331</v>
      </c>
      <c r="D263" s="139" t="s">
        <v>1383</v>
      </c>
      <c r="E263" s="175">
        <v>50</v>
      </c>
      <c r="F263" s="175"/>
      <c r="G263" s="175"/>
      <c r="H263" s="176">
        <v>804.82</v>
      </c>
      <c r="I263" s="177">
        <f t="shared" si="8"/>
        <v>40241</v>
      </c>
      <c r="J263" s="174" t="s">
        <v>1355</v>
      </c>
      <c r="K263" s="174" t="s">
        <v>2211</v>
      </c>
      <c r="L263" s="173" t="s">
        <v>2330</v>
      </c>
    </row>
    <row r="264" spans="1:12" x14ac:dyDescent="0.2">
      <c r="A264" s="133" t="s">
        <v>2333</v>
      </c>
      <c r="B264" s="238"/>
      <c r="C264" s="174" t="s">
        <v>2335</v>
      </c>
      <c r="D264" s="139" t="s">
        <v>1383</v>
      </c>
      <c r="E264" s="175">
        <v>20</v>
      </c>
      <c r="F264" s="175"/>
      <c r="G264" s="175"/>
      <c r="H264" s="176">
        <v>804.82</v>
      </c>
      <c r="I264" s="177">
        <f t="shared" si="8"/>
        <v>16096.400000000001</v>
      </c>
      <c r="J264" s="174" t="s">
        <v>1355</v>
      </c>
      <c r="K264" s="174" t="s">
        <v>2211</v>
      </c>
      <c r="L264" s="173" t="s">
        <v>2334</v>
      </c>
    </row>
    <row r="265" spans="1:12" x14ac:dyDescent="0.2">
      <c r="A265" s="133" t="s">
        <v>2337</v>
      </c>
      <c r="B265" s="238"/>
      <c r="C265" s="174" t="s">
        <v>2339</v>
      </c>
      <c r="D265" s="139" t="s">
        <v>1383</v>
      </c>
      <c r="E265" s="175">
        <v>36</v>
      </c>
      <c r="F265" s="175"/>
      <c r="G265" s="175"/>
      <c r="H265" s="176">
        <v>747.67</v>
      </c>
      <c r="I265" s="177">
        <f t="shared" si="8"/>
        <v>26916.12</v>
      </c>
      <c r="J265" s="174" t="s">
        <v>1355</v>
      </c>
      <c r="K265" s="174" t="s">
        <v>2211</v>
      </c>
      <c r="L265" s="173" t="s">
        <v>2338</v>
      </c>
    </row>
    <row r="266" spans="1:12" x14ac:dyDescent="0.2">
      <c r="A266" s="133" t="s">
        <v>2341</v>
      </c>
      <c r="B266" s="238"/>
      <c r="C266" s="174" t="s">
        <v>2343</v>
      </c>
      <c r="D266" s="139" t="s">
        <v>1383</v>
      </c>
      <c r="E266" s="175">
        <v>24</v>
      </c>
      <c r="F266" s="175"/>
      <c r="G266" s="175"/>
      <c r="H266" s="176">
        <v>720.91</v>
      </c>
      <c r="I266" s="177">
        <f t="shared" si="8"/>
        <v>17301.84</v>
      </c>
      <c r="J266" s="174" t="s">
        <v>1355</v>
      </c>
      <c r="K266" s="174" t="s">
        <v>2211</v>
      </c>
      <c r="L266" s="173" t="s">
        <v>2342</v>
      </c>
    </row>
    <row r="267" spans="1:12" x14ac:dyDescent="0.2">
      <c r="A267" s="133" t="s">
        <v>2345</v>
      </c>
      <c r="B267" s="238"/>
      <c r="C267" s="174" t="s">
        <v>2347</v>
      </c>
      <c r="D267" s="139" t="s">
        <v>1383</v>
      </c>
      <c r="E267" s="175">
        <v>16</v>
      </c>
      <c r="F267" s="175"/>
      <c r="G267" s="175"/>
      <c r="H267" s="176">
        <v>812.63</v>
      </c>
      <c r="I267" s="177">
        <f t="shared" si="8"/>
        <v>13002.08</v>
      </c>
      <c r="J267" s="174" t="s">
        <v>1355</v>
      </c>
      <c r="K267" s="174" t="s">
        <v>2211</v>
      </c>
      <c r="L267" s="173" t="s">
        <v>2346</v>
      </c>
    </row>
    <row r="268" spans="1:12" x14ac:dyDescent="0.2">
      <c r="A268" s="133" t="s">
        <v>2349</v>
      </c>
      <c r="B268" s="238"/>
      <c r="C268" s="174" t="s">
        <v>2351</v>
      </c>
      <c r="D268" s="139" t="s">
        <v>1383</v>
      </c>
      <c r="E268" s="175">
        <v>48</v>
      </c>
      <c r="F268" s="175"/>
      <c r="G268" s="175"/>
      <c r="H268" s="176">
        <v>391.69</v>
      </c>
      <c r="I268" s="177">
        <f t="shared" si="8"/>
        <v>18801.12</v>
      </c>
      <c r="J268" s="174" t="s">
        <v>1355</v>
      </c>
      <c r="K268" s="174" t="s">
        <v>2211</v>
      </c>
      <c r="L268" s="173" t="s">
        <v>2350</v>
      </c>
    </row>
    <row r="269" spans="1:12" x14ac:dyDescent="0.2">
      <c r="A269" s="133" t="s">
        <v>2353</v>
      </c>
      <c r="B269" s="238"/>
      <c r="C269" s="174" t="s">
        <v>2355</v>
      </c>
      <c r="D269" s="139" t="s">
        <v>1383</v>
      </c>
      <c r="E269" s="175">
        <v>84</v>
      </c>
      <c r="F269" s="175"/>
      <c r="G269" s="175"/>
      <c r="H269" s="176">
        <v>535.36</v>
      </c>
      <c r="I269" s="177">
        <f t="shared" si="8"/>
        <v>44970.239999999998</v>
      </c>
      <c r="J269" s="174" t="s">
        <v>1355</v>
      </c>
      <c r="K269" s="174" t="s">
        <v>2211</v>
      </c>
      <c r="L269" s="173" t="s">
        <v>2354</v>
      </c>
    </row>
    <row r="270" spans="1:12" x14ac:dyDescent="0.2">
      <c r="A270" s="133" t="s">
        <v>2357</v>
      </c>
      <c r="B270" s="238"/>
      <c r="C270" s="174" t="s">
        <v>2359</v>
      </c>
      <c r="D270" s="139" t="s">
        <v>1383</v>
      </c>
      <c r="E270" s="175">
        <v>50</v>
      </c>
      <c r="F270" s="175"/>
      <c r="G270" s="175"/>
      <c r="H270" s="176">
        <v>535.36</v>
      </c>
      <c r="I270" s="177">
        <f t="shared" si="8"/>
        <v>26768</v>
      </c>
      <c r="J270" s="174" t="s">
        <v>1355</v>
      </c>
      <c r="K270" s="174" t="s">
        <v>2211</v>
      </c>
      <c r="L270" s="173" t="s">
        <v>2358</v>
      </c>
    </row>
    <row r="271" spans="1:12" x14ac:dyDescent="0.2">
      <c r="A271" s="133" t="s">
        <v>2361</v>
      </c>
      <c r="B271" s="238"/>
      <c r="C271" s="174" t="s">
        <v>2363</v>
      </c>
      <c r="D271" s="139" t="s">
        <v>1383</v>
      </c>
      <c r="E271" s="175">
        <v>29.72</v>
      </c>
      <c r="F271" s="175"/>
      <c r="G271" s="175"/>
      <c r="H271" s="176">
        <v>596.11</v>
      </c>
      <c r="I271" s="177">
        <f t="shared" si="8"/>
        <v>17716.389200000001</v>
      </c>
      <c r="J271" s="174" t="s">
        <v>1355</v>
      </c>
      <c r="K271" s="174" t="s">
        <v>2211</v>
      </c>
      <c r="L271" s="173" t="s">
        <v>2362</v>
      </c>
    </row>
    <row r="272" spans="1:12" x14ac:dyDescent="0.2">
      <c r="A272" s="133" t="s">
        <v>2365</v>
      </c>
      <c r="B272" s="238"/>
      <c r="C272" s="174" t="s">
        <v>2367</v>
      </c>
      <c r="D272" s="139" t="s">
        <v>1383</v>
      </c>
      <c r="E272" s="175">
        <v>195.76</v>
      </c>
      <c r="F272" s="175"/>
      <c r="G272" s="175"/>
      <c r="H272" s="176">
        <v>565.91</v>
      </c>
      <c r="I272" s="177">
        <f t="shared" si="8"/>
        <v>110782.54159999998</v>
      </c>
      <c r="J272" s="174" t="s">
        <v>1355</v>
      </c>
      <c r="K272" s="174" t="s">
        <v>2211</v>
      </c>
      <c r="L272" s="173" t="s">
        <v>2366</v>
      </c>
    </row>
    <row r="273" spans="1:12" x14ac:dyDescent="0.2">
      <c r="A273" s="133" t="s">
        <v>2369</v>
      </c>
      <c r="B273" s="238"/>
      <c r="C273" s="174" t="s">
        <v>2371</v>
      </c>
      <c r="D273" s="139" t="s">
        <v>1383</v>
      </c>
      <c r="E273" s="175">
        <v>148</v>
      </c>
      <c r="F273" s="175"/>
      <c r="G273" s="175"/>
      <c r="H273" s="176">
        <v>674.76</v>
      </c>
      <c r="I273" s="177">
        <f t="shared" si="8"/>
        <v>99864.48</v>
      </c>
      <c r="J273" s="174" t="s">
        <v>1355</v>
      </c>
      <c r="K273" s="174" t="s">
        <v>2211</v>
      </c>
      <c r="L273" s="173" t="s">
        <v>2370</v>
      </c>
    </row>
    <row r="274" spans="1:12" x14ac:dyDescent="0.2">
      <c r="A274" s="133" t="s">
        <v>2373</v>
      </c>
      <c r="B274" s="238"/>
      <c r="C274" s="174" t="s">
        <v>2375</v>
      </c>
      <c r="D274" s="139" t="s">
        <v>1383</v>
      </c>
      <c r="E274" s="175">
        <v>33</v>
      </c>
      <c r="F274" s="175"/>
      <c r="G274" s="175"/>
      <c r="H274" s="176">
        <v>833.46</v>
      </c>
      <c r="I274" s="177">
        <f t="shared" si="8"/>
        <v>27504.18</v>
      </c>
      <c r="J274" s="174" t="s">
        <v>1355</v>
      </c>
      <c r="K274" s="174" t="s">
        <v>2211</v>
      </c>
      <c r="L274" s="173" t="s">
        <v>2374</v>
      </c>
    </row>
    <row r="275" spans="1:12" x14ac:dyDescent="0.2">
      <c r="A275" s="133" t="s">
        <v>2377</v>
      </c>
      <c r="B275" s="238"/>
      <c r="C275" s="174" t="s">
        <v>2379</v>
      </c>
      <c r="D275" s="139" t="s">
        <v>1383</v>
      </c>
      <c r="E275" s="175">
        <v>141</v>
      </c>
      <c r="F275" s="175"/>
      <c r="G275" s="175"/>
      <c r="H275" s="176">
        <v>91.94</v>
      </c>
      <c r="I275" s="177">
        <f t="shared" si="8"/>
        <v>12963.539999999999</v>
      </c>
      <c r="J275" s="174" t="s">
        <v>1355</v>
      </c>
      <c r="K275" s="174" t="s">
        <v>2211</v>
      </c>
      <c r="L275" s="173" t="s">
        <v>2378</v>
      </c>
    </row>
    <row r="276" spans="1:12" x14ac:dyDescent="0.2">
      <c r="A276" s="133" t="s">
        <v>2381</v>
      </c>
      <c r="B276" s="238"/>
      <c r="C276" s="174" t="s">
        <v>2383</v>
      </c>
      <c r="D276" s="139" t="s">
        <v>1383</v>
      </c>
      <c r="E276" s="175">
        <v>24</v>
      </c>
      <c r="F276" s="175"/>
      <c r="G276" s="175"/>
      <c r="H276" s="176">
        <v>243.88</v>
      </c>
      <c r="I276" s="177">
        <f t="shared" si="8"/>
        <v>5853.12</v>
      </c>
      <c r="J276" s="174" t="s">
        <v>1355</v>
      </c>
      <c r="K276" s="174" t="s">
        <v>2211</v>
      </c>
      <c r="L276" s="173" t="s">
        <v>2382</v>
      </c>
    </row>
    <row r="277" spans="1:12" x14ac:dyDescent="0.2">
      <c r="A277" s="133" t="s">
        <v>2385</v>
      </c>
      <c r="B277" s="238"/>
      <c r="C277" s="174" t="s">
        <v>2387</v>
      </c>
      <c r="D277" s="139" t="s">
        <v>1627</v>
      </c>
      <c r="E277" s="175">
        <v>8</v>
      </c>
      <c r="F277" s="175"/>
      <c r="G277" s="175"/>
      <c r="H277" s="176">
        <v>7.4</v>
      </c>
      <c r="I277" s="177">
        <f t="shared" si="8"/>
        <v>59.2</v>
      </c>
      <c r="J277" s="174" t="s">
        <v>1355</v>
      </c>
      <c r="K277" s="174" t="s">
        <v>2211</v>
      </c>
      <c r="L277" s="173" t="s">
        <v>2386</v>
      </c>
    </row>
    <row r="278" spans="1:12" x14ac:dyDescent="0.2">
      <c r="A278" s="133" t="s">
        <v>2389</v>
      </c>
      <c r="B278" s="238"/>
      <c r="C278" s="174" t="s">
        <v>2391</v>
      </c>
      <c r="D278" s="139" t="s">
        <v>1627</v>
      </c>
      <c r="E278" s="175">
        <v>16</v>
      </c>
      <c r="F278" s="175"/>
      <c r="G278" s="175"/>
      <c r="H278" s="176">
        <v>309.77</v>
      </c>
      <c r="I278" s="177">
        <f t="shared" si="8"/>
        <v>4956.32</v>
      </c>
      <c r="J278" s="174" t="s">
        <v>1355</v>
      </c>
      <c r="K278" s="174" t="s">
        <v>2211</v>
      </c>
      <c r="L278" s="173" t="s">
        <v>2390</v>
      </c>
    </row>
    <row r="279" spans="1:12" x14ac:dyDescent="0.2">
      <c r="A279" s="133" t="s">
        <v>2393</v>
      </c>
      <c r="B279" s="238"/>
      <c r="C279" s="174" t="s">
        <v>2395</v>
      </c>
      <c r="D279" s="139" t="s">
        <v>1627</v>
      </c>
      <c r="E279" s="175">
        <v>6</v>
      </c>
      <c r="F279" s="175"/>
      <c r="G279" s="175"/>
      <c r="H279" s="176">
        <v>544.85</v>
      </c>
      <c r="I279" s="177">
        <f t="shared" si="8"/>
        <v>3269.1000000000004</v>
      </c>
      <c r="J279" s="174" t="s">
        <v>1355</v>
      </c>
      <c r="K279" s="174" t="s">
        <v>2211</v>
      </c>
      <c r="L279" s="173" t="s">
        <v>2394</v>
      </c>
    </row>
    <row r="280" spans="1:12" x14ac:dyDescent="0.2">
      <c r="A280" s="133" t="s">
        <v>2397</v>
      </c>
      <c r="B280" s="238"/>
      <c r="C280" s="174" t="s">
        <v>2399</v>
      </c>
      <c r="D280" s="139" t="s">
        <v>1627</v>
      </c>
      <c r="E280" s="175">
        <v>8</v>
      </c>
      <c r="F280" s="175"/>
      <c r="G280" s="175"/>
      <c r="H280" s="176">
        <v>715.49</v>
      </c>
      <c r="I280" s="177">
        <f t="shared" si="8"/>
        <v>5723.92</v>
      </c>
      <c r="J280" s="174" t="s">
        <v>1355</v>
      </c>
      <c r="K280" s="174" t="s">
        <v>2211</v>
      </c>
      <c r="L280" s="173" t="s">
        <v>2398</v>
      </c>
    </row>
    <row r="281" spans="1:12" x14ac:dyDescent="0.2">
      <c r="A281" s="133" t="s">
        <v>2401</v>
      </c>
      <c r="B281" s="238"/>
      <c r="C281" s="174" t="s">
        <v>2403</v>
      </c>
      <c r="D281" s="139" t="s">
        <v>1627</v>
      </c>
      <c r="E281" s="175">
        <v>12</v>
      </c>
      <c r="F281" s="175"/>
      <c r="G281" s="175"/>
      <c r="H281" s="176">
        <v>363.74</v>
      </c>
      <c r="I281" s="177">
        <f t="shared" si="8"/>
        <v>4364.88</v>
      </c>
      <c r="J281" s="174" t="s">
        <v>1355</v>
      </c>
      <c r="K281" s="174" t="s">
        <v>2211</v>
      </c>
      <c r="L281" s="173" t="s">
        <v>2402</v>
      </c>
    </row>
    <row r="282" spans="1:12" x14ac:dyDescent="0.2">
      <c r="A282" s="133" t="s">
        <v>2405</v>
      </c>
      <c r="B282" s="238"/>
      <c r="C282" s="174" t="s">
        <v>2407</v>
      </c>
      <c r="D282" s="139" t="s">
        <v>1627</v>
      </c>
      <c r="E282" s="175">
        <v>8</v>
      </c>
      <c r="F282" s="175"/>
      <c r="G282" s="175"/>
      <c r="H282" s="176">
        <v>899.28</v>
      </c>
      <c r="I282" s="177">
        <f t="shared" si="8"/>
        <v>7194.24</v>
      </c>
      <c r="J282" s="174" t="s">
        <v>1355</v>
      </c>
      <c r="K282" s="174" t="s">
        <v>2211</v>
      </c>
      <c r="L282" s="173" t="s">
        <v>2406</v>
      </c>
    </row>
    <row r="283" spans="1:12" x14ac:dyDescent="0.2">
      <c r="A283" s="133" t="s">
        <v>2409</v>
      </c>
      <c r="B283" s="238"/>
      <c r="C283" s="174" t="s">
        <v>2411</v>
      </c>
      <c r="D283" s="139" t="s">
        <v>1627</v>
      </c>
      <c r="E283" s="175">
        <v>12</v>
      </c>
      <c r="F283" s="175"/>
      <c r="G283" s="175"/>
      <c r="H283" s="176">
        <v>302.05</v>
      </c>
      <c r="I283" s="177">
        <f t="shared" si="8"/>
        <v>3624.6000000000004</v>
      </c>
      <c r="J283" s="174" t="s">
        <v>1355</v>
      </c>
      <c r="K283" s="174" t="s">
        <v>2211</v>
      </c>
      <c r="L283" s="173" t="s">
        <v>2410</v>
      </c>
    </row>
    <row r="284" spans="1:12" x14ac:dyDescent="0.2">
      <c r="A284" s="133" t="s">
        <v>2413</v>
      </c>
      <c r="B284" s="238"/>
      <c r="C284" s="174" t="s">
        <v>2415</v>
      </c>
      <c r="D284" s="139" t="s">
        <v>1627</v>
      </c>
      <c r="E284" s="175">
        <v>10</v>
      </c>
      <c r="F284" s="175"/>
      <c r="G284" s="175"/>
      <c r="H284" s="176">
        <v>636.84</v>
      </c>
      <c r="I284" s="177">
        <f t="shared" si="8"/>
        <v>6368.4000000000005</v>
      </c>
      <c r="J284" s="174" t="s">
        <v>1355</v>
      </c>
      <c r="K284" s="174" t="s">
        <v>2211</v>
      </c>
      <c r="L284" s="173" t="s">
        <v>2414</v>
      </c>
    </row>
    <row r="285" spans="1:12" x14ac:dyDescent="0.2">
      <c r="A285" s="133" t="s">
        <v>2417</v>
      </c>
      <c r="B285" s="238"/>
      <c r="C285" s="174" t="s">
        <v>2419</v>
      </c>
      <c r="D285" s="139" t="s">
        <v>1627</v>
      </c>
      <c r="E285" s="175">
        <v>4</v>
      </c>
      <c r="F285" s="175"/>
      <c r="G285" s="175"/>
      <c r="H285" s="176">
        <v>775.24</v>
      </c>
      <c r="I285" s="177">
        <f t="shared" si="8"/>
        <v>3100.96</v>
      </c>
      <c r="J285" s="174" t="s">
        <v>1355</v>
      </c>
      <c r="K285" s="174" t="s">
        <v>2211</v>
      </c>
      <c r="L285" s="173" t="s">
        <v>2418</v>
      </c>
    </row>
    <row r="286" spans="1:12" x14ac:dyDescent="0.2">
      <c r="A286" s="133" t="s">
        <v>2421</v>
      </c>
      <c r="B286" s="238"/>
      <c r="C286" s="174" t="s">
        <v>2423</v>
      </c>
      <c r="D286" s="139" t="s">
        <v>1627</v>
      </c>
      <c r="E286" s="175">
        <v>4</v>
      </c>
      <c r="F286" s="175"/>
      <c r="G286" s="175"/>
      <c r="H286" s="176">
        <v>565.97</v>
      </c>
      <c r="I286" s="177">
        <f t="shared" si="8"/>
        <v>2263.88</v>
      </c>
      <c r="J286" s="174" t="s">
        <v>1355</v>
      </c>
      <c r="K286" s="174" t="s">
        <v>2211</v>
      </c>
      <c r="L286" s="173" t="s">
        <v>2422</v>
      </c>
    </row>
    <row r="287" spans="1:12" x14ac:dyDescent="0.2">
      <c r="A287" s="133" t="s">
        <v>2425</v>
      </c>
      <c r="B287" s="238"/>
      <c r="C287" s="174" t="s">
        <v>2427</v>
      </c>
      <c r="D287" s="139" t="s">
        <v>1627</v>
      </c>
      <c r="E287" s="175">
        <v>4</v>
      </c>
      <c r="F287" s="175"/>
      <c r="G287" s="175"/>
      <c r="H287" s="176">
        <v>681.3</v>
      </c>
      <c r="I287" s="177">
        <f t="shared" si="8"/>
        <v>2725.2</v>
      </c>
      <c r="J287" s="174" t="s">
        <v>1355</v>
      </c>
      <c r="K287" s="174" t="s">
        <v>2211</v>
      </c>
      <c r="L287" s="173" t="s">
        <v>2426</v>
      </c>
    </row>
    <row r="288" spans="1:12" x14ac:dyDescent="0.2">
      <c r="A288" s="133" t="s">
        <v>2429</v>
      </c>
      <c r="B288" s="238"/>
      <c r="C288" s="174" t="s">
        <v>2431</v>
      </c>
      <c r="D288" s="139" t="s">
        <v>1627</v>
      </c>
      <c r="E288" s="175">
        <v>8</v>
      </c>
      <c r="F288" s="175"/>
      <c r="G288" s="175"/>
      <c r="H288" s="176">
        <v>1248.3</v>
      </c>
      <c r="I288" s="177">
        <f t="shared" si="8"/>
        <v>9986.4</v>
      </c>
      <c r="J288" s="174" t="s">
        <v>1355</v>
      </c>
      <c r="K288" s="174" t="s">
        <v>2211</v>
      </c>
      <c r="L288" s="173" t="s">
        <v>2430</v>
      </c>
    </row>
    <row r="289" spans="1:12" x14ac:dyDescent="0.2">
      <c r="A289" s="133" t="s">
        <v>2433</v>
      </c>
      <c r="B289" s="238"/>
      <c r="C289" s="174" t="s">
        <v>2435</v>
      </c>
      <c r="D289" s="139" t="s">
        <v>1627</v>
      </c>
      <c r="E289" s="175">
        <v>8</v>
      </c>
      <c r="F289" s="175"/>
      <c r="G289" s="175"/>
      <c r="H289" s="176">
        <v>206.98</v>
      </c>
      <c r="I289" s="177">
        <f t="shared" si="8"/>
        <v>1655.84</v>
      </c>
      <c r="J289" s="174" t="s">
        <v>1355</v>
      </c>
      <c r="K289" s="174" t="s">
        <v>2211</v>
      </c>
      <c r="L289" s="173" t="s">
        <v>2434</v>
      </c>
    </row>
    <row r="290" spans="1:12" x14ac:dyDescent="0.2">
      <c r="A290" s="133" t="s">
        <v>2437</v>
      </c>
      <c r="B290" s="238"/>
      <c r="C290" s="174" t="s">
        <v>2439</v>
      </c>
      <c r="D290" s="139" t="s">
        <v>1627</v>
      </c>
      <c r="E290" s="175">
        <v>8</v>
      </c>
      <c r="F290" s="175"/>
      <c r="G290" s="175"/>
      <c r="H290" s="176">
        <v>62.91</v>
      </c>
      <c r="I290" s="177">
        <f t="shared" si="8"/>
        <v>503.28</v>
      </c>
      <c r="J290" s="174" t="s">
        <v>1355</v>
      </c>
      <c r="K290" s="174" t="s">
        <v>2211</v>
      </c>
      <c r="L290" s="173" t="s">
        <v>2438</v>
      </c>
    </row>
    <row r="291" spans="1:12" x14ac:dyDescent="0.2">
      <c r="A291" s="133" t="s">
        <v>2441</v>
      </c>
      <c r="B291" s="238"/>
      <c r="C291" s="174" t="s">
        <v>2443</v>
      </c>
      <c r="D291" s="139" t="s">
        <v>1627</v>
      </c>
      <c r="E291" s="175">
        <v>4</v>
      </c>
      <c r="F291" s="175"/>
      <c r="G291" s="175"/>
      <c r="H291" s="176">
        <v>65.989999999999995</v>
      </c>
      <c r="I291" s="177">
        <f t="shared" si="8"/>
        <v>263.95999999999998</v>
      </c>
      <c r="J291" s="174" t="s">
        <v>1355</v>
      </c>
      <c r="K291" s="174" t="s">
        <v>2211</v>
      </c>
      <c r="L291" s="173" t="s">
        <v>2442</v>
      </c>
    </row>
    <row r="292" spans="1:12" x14ac:dyDescent="0.2">
      <c r="A292" s="133" t="s">
        <v>2445</v>
      </c>
      <c r="B292" s="238"/>
      <c r="C292" s="174" t="s">
        <v>2447</v>
      </c>
      <c r="D292" s="139" t="s">
        <v>1627</v>
      </c>
      <c r="E292" s="175">
        <v>32</v>
      </c>
      <c r="F292" s="175"/>
      <c r="G292" s="175"/>
      <c r="H292" s="176">
        <v>68.92</v>
      </c>
      <c r="I292" s="177">
        <f t="shared" si="8"/>
        <v>2205.44</v>
      </c>
      <c r="J292" s="174" t="s">
        <v>1355</v>
      </c>
      <c r="K292" s="174" t="s">
        <v>2211</v>
      </c>
      <c r="L292" s="173" t="s">
        <v>2446</v>
      </c>
    </row>
    <row r="293" spans="1:12" x14ac:dyDescent="0.2">
      <c r="A293" s="133" t="s">
        <v>2449</v>
      </c>
      <c r="B293" s="238"/>
      <c r="C293" s="174" t="s">
        <v>2451</v>
      </c>
      <c r="D293" s="139" t="s">
        <v>1627</v>
      </c>
      <c r="E293" s="175">
        <v>20</v>
      </c>
      <c r="F293" s="175"/>
      <c r="G293" s="175"/>
      <c r="H293" s="176">
        <v>270.45</v>
      </c>
      <c r="I293" s="177">
        <f t="shared" si="8"/>
        <v>5409</v>
      </c>
      <c r="J293" s="174" t="s">
        <v>1355</v>
      </c>
      <c r="K293" s="174" t="s">
        <v>2211</v>
      </c>
      <c r="L293" s="173" t="s">
        <v>2450</v>
      </c>
    </row>
    <row r="294" spans="1:12" x14ac:dyDescent="0.2">
      <c r="A294" s="133" t="s">
        <v>2453</v>
      </c>
      <c r="B294" s="238"/>
      <c r="C294" s="174" t="s">
        <v>2455</v>
      </c>
      <c r="D294" s="139" t="s">
        <v>1627</v>
      </c>
      <c r="E294" s="175">
        <v>8</v>
      </c>
      <c r="F294" s="175"/>
      <c r="G294" s="175"/>
      <c r="H294" s="176">
        <v>61.33</v>
      </c>
      <c r="I294" s="177">
        <f t="shared" si="8"/>
        <v>490.64</v>
      </c>
      <c r="J294" s="174" t="s">
        <v>1355</v>
      </c>
      <c r="K294" s="174" t="s">
        <v>2211</v>
      </c>
      <c r="L294" s="173" t="s">
        <v>2454</v>
      </c>
    </row>
    <row r="295" spans="1:12" x14ac:dyDescent="0.2">
      <c r="A295" s="133" t="s">
        <v>2457</v>
      </c>
      <c r="B295" s="238"/>
      <c r="C295" s="174" t="s">
        <v>2459</v>
      </c>
      <c r="D295" s="129" t="s">
        <v>1361</v>
      </c>
      <c r="E295" s="175">
        <v>10</v>
      </c>
      <c r="F295" s="175"/>
      <c r="G295" s="175"/>
      <c r="H295" s="176">
        <v>70.05</v>
      </c>
      <c r="I295" s="177">
        <f t="shared" si="8"/>
        <v>700.5</v>
      </c>
      <c r="J295" s="174" t="s">
        <v>1355</v>
      </c>
      <c r="K295" s="174" t="s">
        <v>2211</v>
      </c>
      <c r="L295" s="173" t="s">
        <v>2458</v>
      </c>
    </row>
    <row r="296" spans="1:12" x14ac:dyDescent="0.2">
      <c r="A296" s="133" t="s">
        <v>2461</v>
      </c>
      <c r="B296" s="238"/>
      <c r="C296" s="174" t="s">
        <v>2463</v>
      </c>
      <c r="D296" s="139" t="s">
        <v>1383</v>
      </c>
      <c r="E296" s="175">
        <v>9.6</v>
      </c>
      <c r="F296" s="175"/>
      <c r="G296" s="175"/>
      <c r="H296" s="176">
        <v>526.59</v>
      </c>
      <c r="I296" s="177">
        <f t="shared" si="8"/>
        <v>5055.2640000000001</v>
      </c>
      <c r="J296" s="174" t="s">
        <v>1355</v>
      </c>
      <c r="K296" s="174" t="s">
        <v>2211</v>
      </c>
      <c r="L296" s="173" t="s">
        <v>2462</v>
      </c>
    </row>
    <row r="297" spans="1:12" x14ac:dyDescent="0.2">
      <c r="A297" s="133" t="s">
        <v>2465</v>
      </c>
      <c r="B297" s="238"/>
      <c r="C297" s="174" t="s">
        <v>2467</v>
      </c>
      <c r="D297" s="139" t="s">
        <v>1383</v>
      </c>
      <c r="E297" s="175">
        <v>200</v>
      </c>
      <c r="F297" s="175"/>
      <c r="G297" s="175"/>
      <c r="H297" s="176">
        <v>12.95</v>
      </c>
      <c r="I297" s="177">
        <f t="shared" si="8"/>
        <v>2590</v>
      </c>
      <c r="J297" s="174" t="s">
        <v>1355</v>
      </c>
      <c r="K297" s="174" t="s">
        <v>2211</v>
      </c>
      <c r="L297" s="173" t="s">
        <v>2466</v>
      </c>
    </row>
    <row r="298" spans="1:12" x14ac:dyDescent="0.2">
      <c r="A298" s="133" t="s">
        <v>2469</v>
      </c>
      <c r="B298" s="238"/>
      <c r="C298" s="174" t="s">
        <v>2471</v>
      </c>
      <c r="D298" s="139" t="s">
        <v>1383</v>
      </c>
      <c r="E298" s="175">
        <v>200</v>
      </c>
      <c r="F298" s="175"/>
      <c r="G298" s="175"/>
      <c r="H298" s="176">
        <v>35.49</v>
      </c>
      <c r="I298" s="177">
        <f t="shared" si="8"/>
        <v>7098</v>
      </c>
      <c r="J298" s="174" t="s">
        <v>1355</v>
      </c>
      <c r="K298" s="174" t="s">
        <v>2211</v>
      </c>
      <c r="L298" s="173" t="s">
        <v>2470</v>
      </c>
    </row>
    <row r="299" spans="1:12" x14ac:dyDescent="0.2">
      <c r="A299" s="133" t="s">
        <v>2473</v>
      </c>
      <c r="B299" s="238"/>
      <c r="C299" s="174" t="s">
        <v>2475</v>
      </c>
      <c r="D299" s="139" t="s">
        <v>1383</v>
      </c>
      <c r="E299" s="175">
        <v>200</v>
      </c>
      <c r="F299" s="175"/>
      <c r="G299" s="175"/>
      <c r="H299" s="176">
        <v>36.1</v>
      </c>
      <c r="I299" s="177">
        <f t="shared" ref="I299:I362" si="9">E299*H299</f>
        <v>7220</v>
      </c>
      <c r="J299" s="174" t="s">
        <v>1355</v>
      </c>
      <c r="K299" s="174" t="s">
        <v>2211</v>
      </c>
      <c r="L299" s="173" t="s">
        <v>2474</v>
      </c>
    </row>
    <row r="300" spans="1:12" x14ac:dyDescent="0.2">
      <c r="A300" s="133" t="s">
        <v>2477</v>
      </c>
      <c r="B300" s="238"/>
      <c r="C300" s="174" t="s">
        <v>2479</v>
      </c>
      <c r="D300" s="139" t="s">
        <v>1383</v>
      </c>
      <c r="E300" s="175">
        <v>8225</v>
      </c>
      <c r="F300" s="175"/>
      <c r="G300" s="175"/>
      <c r="H300" s="176">
        <v>6.64</v>
      </c>
      <c r="I300" s="177">
        <f t="shared" si="9"/>
        <v>54614</v>
      </c>
      <c r="J300" s="174" t="s">
        <v>1355</v>
      </c>
      <c r="K300" s="174" t="s">
        <v>2211</v>
      </c>
      <c r="L300" s="173" t="s">
        <v>2478</v>
      </c>
    </row>
    <row r="301" spans="1:12" x14ac:dyDescent="0.2">
      <c r="A301" s="133" t="s">
        <v>2481</v>
      </c>
      <c r="B301" s="238"/>
      <c r="C301" s="174" t="s">
        <v>2483</v>
      </c>
      <c r="D301" s="139" t="s">
        <v>1383</v>
      </c>
      <c r="E301" s="175">
        <v>8225</v>
      </c>
      <c r="F301" s="175"/>
      <c r="G301" s="175"/>
      <c r="H301" s="176">
        <v>32.700000000000003</v>
      </c>
      <c r="I301" s="177">
        <f t="shared" si="9"/>
        <v>268957.5</v>
      </c>
      <c r="J301" s="174" t="s">
        <v>1355</v>
      </c>
      <c r="K301" s="174" t="s">
        <v>2211</v>
      </c>
      <c r="L301" s="173" t="s">
        <v>2482</v>
      </c>
    </row>
    <row r="302" spans="1:12" x14ac:dyDescent="0.2">
      <c r="A302" s="133" t="s">
        <v>2485</v>
      </c>
      <c r="B302" s="238"/>
      <c r="C302" s="174" t="s">
        <v>2487</v>
      </c>
      <c r="D302" s="139" t="s">
        <v>1383</v>
      </c>
      <c r="E302" s="175">
        <v>4485</v>
      </c>
      <c r="F302" s="175"/>
      <c r="G302" s="175"/>
      <c r="H302" s="176">
        <v>32.28</v>
      </c>
      <c r="I302" s="177">
        <f t="shared" si="9"/>
        <v>144775.80000000002</v>
      </c>
      <c r="J302" s="174" t="s">
        <v>1355</v>
      </c>
      <c r="K302" s="174" t="s">
        <v>2211</v>
      </c>
      <c r="L302" s="173" t="s">
        <v>2486</v>
      </c>
    </row>
    <row r="303" spans="1:12" x14ac:dyDescent="0.2">
      <c r="A303" s="133" t="s">
        <v>2489</v>
      </c>
      <c r="B303" s="238"/>
      <c r="C303" s="174" t="s">
        <v>2491</v>
      </c>
      <c r="D303" s="139" t="s">
        <v>1383</v>
      </c>
      <c r="E303" s="175">
        <v>450</v>
      </c>
      <c r="F303" s="175"/>
      <c r="G303" s="175"/>
      <c r="H303" s="176">
        <v>38.65</v>
      </c>
      <c r="I303" s="177">
        <f t="shared" si="9"/>
        <v>17392.5</v>
      </c>
      <c r="J303" s="174" t="s">
        <v>1355</v>
      </c>
      <c r="K303" s="174" t="s">
        <v>2211</v>
      </c>
      <c r="L303" s="173" t="s">
        <v>2490</v>
      </c>
    </row>
    <row r="304" spans="1:12" x14ac:dyDescent="0.2">
      <c r="A304" s="133" t="s">
        <v>2493</v>
      </c>
      <c r="B304" s="238"/>
      <c r="C304" s="174" t="s">
        <v>2495</v>
      </c>
      <c r="D304" s="139" t="s">
        <v>1383</v>
      </c>
      <c r="E304" s="175">
        <v>7810</v>
      </c>
      <c r="F304" s="175"/>
      <c r="G304" s="175"/>
      <c r="H304" s="176">
        <v>6.64</v>
      </c>
      <c r="I304" s="177">
        <f t="shared" si="9"/>
        <v>51858.399999999994</v>
      </c>
      <c r="J304" s="174" t="s">
        <v>1355</v>
      </c>
      <c r="K304" s="174" t="s">
        <v>2211</v>
      </c>
      <c r="L304" s="173" t="s">
        <v>2494</v>
      </c>
    </row>
    <row r="305" spans="1:12" x14ac:dyDescent="0.2">
      <c r="A305" s="133" t="s">
        <v>2497</v>
      </c>
      <c r="B305" s="238"/>
      <c r="C305" s="174" t="s">
        <v>2499</v>
      </c>
      <c r="D305" s="139" t="s">
        <v>1383</v>
      </c>
      <c r="E305" s="175">
        <v>7810</v>
      </c>
      <c r="F305" s="175"/>
      <c r="G305" s="175"/>
      <c r="H305" s="176">
        <v>34.24</v>
      </c>
      <c r="I305" s="177">
        <f t="shared" si="9"/>
        <v>267414.40000000002</v>
      </c>
      <c r="J305" s="174" t="s">
        <v>1355</v>
      </c>
      <c r="K305" s="174" t="s">
        <v>2211</v>
      </c>
      <c r="L305" s="173" t="s">
        <v>2498</v>
      </c>
    </row>
    <row r="306" spans="1:12" x14ac:dyDescent="0.2">
      <c r="A306" s="133" t="s">
        <v>2501</v>
      </c>
      <c r="B306" s="238"/>
      <c r="C306" s="174" t="s">
        <v>2503</v>
      </c>
      <c r="D306" s="139" t="s">
        <v>1383</v>
      </c>
      <c r="E306" s="175">
        <v>600</v>
      </c>
      <c r="F306" s="175"/>
      <c r="G306" s="175"/>
      <c r="H306" s="176">
        <v>32.14</v>
      </c>
      <c r="I306" s="177">
        <f t="shared" si="9"/>
        <v>19284</v>
      </c>
      <c r="J306" s="174" t="s">
        <v>1355</v>
      </c>
      <c r="K306" s="174" t="s">
        <v>2211</v>
      </c>
      <c r="L306" s="173" t="s">
        <v>2502</v>
      </c>
    </row>
    <row r="307" spans="1:12" x14ac:dyDescent="0.2">
      <c r="A307" s="133" t="s">
        <v>2505</v>
      </c>
      <c r="B307" s="238"/>
      <c r="C307" s="174" t="s">
        <v>2507</v>
      </c>
      <c r="D307" s="129" t="s">
        <v>1361</v>
      </c>
      <c r="E307" s="175">
        <v>700</v>
      </c>
      <c r="F307" s="175"/>
      <c r="G307" s="175"/>
      <c r="H307" s="176">
        <v>77.52</v>
      </c>
      <c r="I307" s="177">
        <f t="shared" si="9"/>
        <v>54264</v>
      </c>
      <c r="J307" s="174" t="s">
        <v>1355</v>
      </c>
      <c r="K307" s="174" t="s">
        <v>2211</v>
      </c>
      <c r="L307" s="173" t="s">
        <v>2506</v>
      </c>
    </row>
    <row r="308" spans="1:12" x14ac:dyDescent="0.2">
      <c r="A308" s="133" t="s">
        <v>2509</v>
      </c>
      <c r="B308" s="238"/>
      <c r="C308" s="174" t="s">
        <v>2511</v>
      </c>
      <c r="D308" s="139" t="s">
        <v>1383</v>
      </c>
      <c r="E308" s="175">
        <v>12495</v>
      </c>
      <c r="F308" s="175"/>
      <c r="G308" s="175"/>
      <c r="H308" s="176">
        <v>67.180000000000007</v>
      </c>
      <c r="I308" s="177">
        <f t="shared" si="9"/>
        <v>839414.10000000009</v>
      </c>
      <c r="J308" s="174" t="s">
        <v>1355</v>
      </c>
      <c r="K308" s="174" t="s">
        <v>2211</v>
      </c>
      <c r="L308" s="178" t="s">
        <v>2510</v>
      </c>
    </row>
    <row r="309" spans="1:12" s="125" customFormat="1" x14ac:dyDescent="0.2">
      <c r="A309" s="133" t="s">
        <v>2513</v>
      </c>
      <c r="B309" s="238"/>
      <c r="C309" s="174" t="s">
        <v>2515</v>
      </c>
      <c r="D309" s="139" t="s">
        <v>1383</v>
      </c>
      <c r="E309" s="175">
        <v>250</v>
      </c>
      <c r="F309" s="175"/>
      <c r="G309" s="175"/>
      <c r="H309" s="176">
        <v>72.08</v>
      </c>
      <c r="I309" s="177">
        <f t="shared" si="9"/>
        <v>18020</v>
      </c>
      <c r="J309" s="174" t="s">
        <v>1355</v>
      </c>
      <c r="K309" s="174" t="s">
        <v>2211</v>
      </c>
      <c r="L309" s="178" t="s">
        <v>2514</v>
      </c>
    </row>
    <row r="310" spans="1:12" s="125" customFormat="1" x14ac:dyDescent="0.2">
      <c r="A310" s="133" t="s">
        <v>2517</v>
      </c>
      <c r="B310" s="238"/>
      <c r="C310" s="174" t="s">
        <v>2519</v>
      </c>
      <c r="D310" s="139" t="s">
        <v>1383</v>
      </c>
      <c r="E310" s="175">
        <v>600</v>
      </c>
      <c r="F310" s="175"/>
      <c r="G310" s="175"/>
      <c r="H310" s="176">
        <v>52.65</v>
      </c>
      <c r="I310" s="177">
        <f t="shared" si="9"/>
        <v>31590</v>
      </c>
      <c r="J310" s="174" t="s">
        <v>1355</v>
      </c>
      <c r="K310" s="174" t="s">
        <v>2211</v>
      </c>
      <c r="L310" s="178" t="s">
        <v>2518</v>
      </c>
    </row>
    <row r="311" spans="1:12" s="125" customFormat="1" x14ac:dyDescent="0.2">
      <c r="A311" s="133" t="s">
        <v>2521</v>
      </c>
      <c r="B311" s="238"/>
      <c r="C311" s="174" t="s">
        <v>2523</v>
      </c>
      <c r="D311" s="139" t="s">
        <v>1383</v>
      </c>
      <c r="E311" s="175">
        <v>220</v>
      </c>
      <c r="F311" s="175"/>
      <c r="G311" s="175"/>
      <c r="H311" s="176">
        <v>58.27</v>
      </c>
      <c r="I311" s="177">
        <f t="shared" si="9"/>
        <v>12819.400000000001</v>
      </c>
      <c r="J311" s="174" t="s">
        <v>1355</v>
      </c>
      <c r="K311" s="174" t="s">
        <v>2211</v>
      </c>
      <c r="L311" s="178" t="s">
        <v>2522</v>
      </c>
    </row>
    <row r="312" spans="1:12" s="125" customFormat="1" x14ac:dyDescent="0.2">
      <c r="A312" s="133" t="s">
        <v>2525</v>
      </c>
      <c r="B312" s="238"/>
      <c r="C312" s="174" t="s">
        <v>2527</v>
      </c>
      <c r="D312" s="139" t="s">
        <v>1383</v>
      </c>
      <c r="E312" s="175">
        <v>579.32000000000005</v>
      </c>
      <c r="F312" s="175"/>
      <c r="G312" s="175"/>
      <c r="H312" s="176">
        <v>44.97</v>
      </c>
      <c r="I312" s="177">
        <f t="shared" si="9"/>
        <v>26052.020400000001</v>
      </c>
      <c r="J312" s="174" t="s">
        <v>1355</v>
      </c>
      <c r="K312" s="174" t="s">
        <v>2211</v>
      </c>
      <c r="L312" s="178" t="s">
        <v>2526</v>
      </c>
    </row>
    <row r="313" spans="1:12" s="125" customFormat="1" x14ac:dyDescent="0.2">
      <c r="A313" s="133" t="s">
        <v>2529</v>
      </c>
      <c r="B313" s="238"/>
      <c r="C313" s="174" t="s">
        <v>2531</v>
      </c>
      <c r="D313" s="139" t="s">
        <v>1383</v>
      </c>
      <c r="E313" s="175">
        <v>1200</v>
      </c>
      <c r="F313" s="175"/>
      <c r="G313" s="175"/>
      <c r="H313" s="176">
        <v>47.1</v>
      </c>
      <c r="I313" s="177">
        <f t="shared" si="9"/>
        <v>56520</v>
      </c>
      <c r="J313" s="174" t="s">
        <v>1355</v>
      </c>
      <c r="K313" s="174" t="s">
        <v>2211</v>
      </c>
      <c r="L313" s="178" t="s">
        <v>2530</v>
      </c>
    </row>
    <row r="314" spans="1:12" s="125" customFormat="1" x14ac:dyDescent="0.2">
      <c r="A314" s="133" t="s">
        <v>2533</v>
      </c>
      <c r="B314" s="238"/>
      <c r="C314" s="174" t="s">
        <v>2535</v>
      </c>
      <c r="D314" s="139" t="s">
        <v>1383</v>
      </c>
      <c r="E314" s="175">
        <v>1700</v>
      </c>
      <c r="F314" s="175"/>
      <c r="G314" s="175"/>
      <c r="H314" s="176">
        <v>97.42</v>
      </c>
      <c r="I314" s="177">
        <f t="shared" si="9"/>
        <v>165614</v>
      </c>
      <c r="J314" s="174" t="s">
        <v>1355</v>
      </c>
      <c r="K314" s="174" t="s">
        <v>2211</v>
      </c>
      <c r="L314" s="178" t="s">
        <v>2534</v>
      </c>
    </row>
    <row r="315" spans="1:12" s="125" customFormat="1" x14ac:dyDescent="0.2">
      <c r="A315" s="133" t="s">
        <v>2537</v>
      </c>
      <c r="B315" s="238"/>
      <c r="C315" s="174" t="s">
        <v>2539</v>
      </c>
      <c r="D315" s="139" t="s">
        <v>1383</v>
      </c>
      <c r="E315" s="175">
        <v>1500</v>
      </c>
      <c r="F315" s="175"/>
      <c r="G315" s="175"/>
      <c r="H315" s="176">
        <v>52.37</v>
      </c>
      <c r="I315" s="177">
        <f t="shared" si="9"/>
        <v>78555</v>
      </c>
      <c r="J315" s="174" t="s">
        <v>1355</v>
      </c>
      <c r="K315" s="174" t="s">
        <v>2211</v>
      </c>
      <c r="L315" s="178" t="s">
        <v>2538</v>
      </c>
    </row>
    <row r="316" spans="1:12" s="125" customFormat="1" x14ac:dyDescent="0.2">
      <c r="A316" s="133" t="s">
        <v>2541</v>
      </c>
      <c r="B316" s="238"/>
      <c r="C316" s="174" t="s">
        <v>2543</v>
      </c>
      <c r="D316" s="139" t="s">
        <v>1383</v>
      </c>
      <c r="E316" s="175">
        <v>400</v>
      </c>
      <c r="F316" s="175"/>
      <c r="G316" s="175"/>
      <c r="H316" s="176">
        <v>63.56</v>
      </c>
      <c r="I316" s="177">
        <f t="shared" si="9"/>
        <v>25424</v>
      </c>
      <c r="J316" s="174" t="s">
        <v>1355</v>
      </c>
      <c r="K316" s="174" t="s">
        <v>2211</v>
      </c>
      <c r="L316" s="178" t="s">
        <v>2542</v>
      </c>
    </row>
    <row r="317" spans="1:12" s="125" customFormat="1" x14ac:dyDescent="0.2">
      <c r="A317" s="133" t="s">
        <v>2545</v>
      </c>
      <c r="B317" s="238"/>
      <c r="C317" s="174" t="s">
        <v>2547</v>
      </c>
      <c r="D317" s="139" t="s">
        <v>1383</v>
      </c>
      <c r="E317" s="175">
        <v>25</v>
      </c>
      <c r="F317" s="175"/>
      <c r="G317" s="175"/>
      <c r="H317" s="176">
        <v>178.27</v>
      </c>
      <c r="I317" s="177">
        <f t="shared" si="9"/>
        <v>4456.75</v>
      </c>
      <c r="J317" s="174" t="s">
        <v>1355</v>
      </c>
      <c r="K317" s="174" t="s">
        <v>2211</v>
      </c>
      <c r="L317" s="178" t="s">
        <v>2546</v>
      </c>
    </row>
    <row r="318" spans="1:12" s="125" customFormat="1" x14ac:dyDescent="0.2">
      <c r="A318" s="133" t="s">
        <v>2549</v>
      </c>
      <c r="B318" s="238"/>
      <c r="C318" s="174" t="s">
        <v>2551</v>
      </c>
      <c r="D318" s="139" t="s">
        <v>1383</v>
      </c>
      <c r="E318" s="175">
        <v>25</v>
      </c>
      <c r="F318" s="175"/>
      <c r="G318" s="175"/>
      <c r="H318" s="176">
        <v>229.31</v>
      </c>
      <c r="I318" s="177">
        <f t="shared" si="9"/>
        <v>5732.75</v>
      </c>
      <c r="J318" s="174" t="s">
        <v>1355</v>
      </c>
      <c r="K318" s="174" t="s">
        <v>2211</v>
      </c>
      <c r="L318" s="178" t="s">
        <v>2550</v>
      </c>
    </row>
    <row r="319" spans="1:12" s="125" customFormat="1" x14ac:dyDescent="0.2">
      <c r="A319" s="133" t="s">
        <v>2553</v>
      </c>
      <c r="B319" s="238"/>
      <c r="C319" s="174" t="s">
        <v>2555</v>
      </c>
      <c r="D319" s="139" t="s">
        <v>1383</v>
      </c>
      <c r="E319" s="175">
        <v>217</v>
      </c>
      <c r="F319" s="175"/>
      <c r="G319" s="175"/>
      <c r="H319" s="176">
        <v>328.9</v>
      </c>
      <c r="I319" s="177">
        <f t="shared" si="9"/>
        <v>71371.299999999988</v>
      </c>
      <c r="J319" s="174" t="s">
        <v>1355</v>
      </c>
      <c r="K319" s="174" t="s">
        <v>2211</v>
      </c>
      <c r="L319" s="178" t="s">
        <v>2554</v>
      </c>
    </row>
    <row r="320" spans="1:12" s="125" customFormat="1" x14ac:dyDescent="0.2">
      <c r="A320" s="133" t="s">
        <v>2557</v>
      </c>
      <c r="B320" s="238"/>
      <c r="C320" s="174" t="s">
        <v>2559</v>
      </c>
      <c r="D320" s="139" t="s">
        <v>1383</v>
      </c>
      <c r="E320" s="175">
        <v>300</v>
      </c>
      <c r="F320" s="175"/>
      <c r="G320" s="175"/>
      <c r="H320" s="176">
        <v>95.32</v>
      </c>
      <c r="I320" s="177">
        <f t="shared" si="9"/>
        <v>28595.999999999996</v>
      </c>
      <c r="J320" s="174" t="s">
        <v>1355</v>
      </c>
      <c r="K320" s="174" t="s">
        <v>2211</v>
      </c>
      <c r="L320" s="178" t="s">
        <v>2558</v>
      </c>
    </row>
    <row r="321" spans="1:12" s="125" customFormat="1" x14ac:dyDescent="0.2">
      <c r="A321" s="133" t="s">
        <v>2561</v>
      </c>
      <c r="B321" s="238"/>
      <c r="C321" s="174" t="s">
        <v>2563</v>
      </c>
      <c r="D321" s="139" t="s">
        <v>1383</v>
      </c>
      <c r="E321" s="175">
        <v>900</v>
      </c>
      <c r="F321" s="175"/>
      <c r="G321" s="175"/>
      <c r="H321" s="176">
        <v>191.5</v>
      </c>
      <c r="I321" s="177">
        <f t="shared" si="9"/>
        <v>172350</v>
      </c>
      <c r="J321" s="174" t="s">
        <v>1355</v>
      </c>
      <c r="K321" s="174" t="s">
        <v>2211</v>
      </c>
      <c r="L321" s="178" t="s">
        <v>2562</v>
      </c>
    </row>
    <row r="322" spans="1:12" s="125" customFormat="1" x14ac:dyDescent="0.2">
      <c r="A322" s="133" t="s">
        <v>2565</v>
      </c>
      <c r="B322" s="238"/>
      <c r="C322" s="174" t="s">
        <v>2567</v>
      </c>
      <c r="D322" s="139" t="s">
        <v>1383</v>
      </c>
      <c r="E322" s="175">
        <v>240</v>
      </c>
      <c r="F322" s="175"/>
      <c r="G322" s="175"/>
      <c r="H322" s="176">
        <v>186.6</v>
      </c>
      <c r="I322" s="177">
        <f t="shared" si="9"/>
        <v>44784</v>
      </c>
      <c r="J322" s="174" t="s">
        <v>1355</v>
      </c>
      <c r="K322" s="174" t="s">
        <v>2211</v>
      </c>
      <c r="L322" s="178" t="s">
        <v>2566</v>
      </c>
    </row>
    <row r="323" spans="1:12" s="125" customFormat="1" x14ac:dyDescent="0.2">
      <c r="A323" s="133" t="s">
        <v>2569</v>
      </c>
      <c r="B323" s="238"/>
      <c r="C323" s="174" t="s">
        <v>2571</v>
      </c>
      <c r="D323" s="129" t="s">
        <v>1361</v>
      </c>
      <c r="E323" s="175">
        <v>90</v>
      </c>
      <c r="F323" s="175"/>
      <c r="G323" s="175"/>
      <c r="H323" s="176">
        <v>159.93</v>
      </c>
      <c r="I323" s="177">
        <f t="shared" si="9"/>
        <v>14393.7</v>
      </c>
      <c r="J323" s="174" t="s">
        <v>1355</v>
      </c>
      <c r="K323" s="174" t="s">
        <v>2211</v>
      </c>
      <c r="L323" s="178" t="s">
        <v>2570</v>
      </c>
    </row>
    <row r="324" spans="1:12" s="125" customFormat="1" x14ac:dyDescent="0.2">
      <c r="A324" s="133" t="s">
        <v>2573</v>
      </c>
      <c r="B324" s="238"/>
      <c r="C324" s="174" t="s">
        <v>2575</v>
      </c>
      <c r="D324" s="129" t="s">
        <v>1361</v>
      </c>
      <c r="E324" s="175">
        <v>36</v>
      </c>
      <c r="F324" s="175"/>
      <c r="G324" s="175"/>
      <c r="H324" s="176">
        <v>158.61000000000001</v>
      </c>
      <c r="I324" s="177">
        <f t="shared" si="9"/>
        <v>5709.9600000000009</v>
      </c>
      <c r="J324" s="174" t="s">
        <v>1355</v>
      </c>
      <c r="K324" s="174" t="s">
        <v>2211</v>
      </c>
      <c r="L324" s="178" t="s">
        <v>2574</v>
      </c>
    </row>
    <row r="325" spans="1:12" s="125" customFormat="1" x14ac:dyDescent="0.2">
      <c r="A325" s="133" t="s">
        <v>2577</v>
      </c>
      <c r="B325" s="238"/>
      <c r="C325" s="174" t="s">
        <v>2579</v>
      </c>
      <c r="D325" s="139" t="s">
        <v>1383</v>
      </c>
      <c r="E325" s="175">
        <v>160</v>
      </c>
      <c r="F325" s="175"/>
      <c r="G325" s="175"/>
      <c r="H325" s="176">
        <v>150.31</v>
      </c>
      <c r="I325" s="177">
        <f t="shared" si="9"/>
        <v>24049.599999999999</v>
      </c>
      <c r="J325" s="174" t="s">
        <v>1355</v>
      </c>
      <c r="K325" s="174" t="s">
        <v>2211</v>
      </c>
      <c r="L325" s="178" t="s">
        <v>2578</v>
      </c>
    </row>
    <row r="326" spans="1:12" s="125" customFormat="1" x14ac:dyDescent="0.2">
      <c r="A326" s="133" t="s">
        <v>2581</v>
      </c>
      <c r="B326" s="238"/>
      <c r="C326" s="174" t="s">
        <v>2583</v>
      </c>
      <c r="D326" s="139" t="s">
        <v>1383</v>
      </c>
      <c r="E326" s="175">
        <v>210</v>
      </c>
      <c r="F326" s="175"/>
      <c r="G326" s="175"/>
      <c r="H326" s="176">
        <v>268.33</v>
      </c>
      <c r="I326" s="177">
        <f t="shared" si="9"/>
        <v>56349.299999999996</v>
      </c>
      <c r="J326" s="174" t="s">
        <v>1355</v>
      </c>
      <c r="K326" s="174" t="s">
        <v>2211</v>
      </c>
      <c r="L326" s="178" t="s">
        <v>2582</v>
      </c>
    </row>
    <row r="327" spans="1:12" s="125" customFormat="1" x14ac:dyDescent="0.2">
      <c r="A327" s="133" t="s">
        <v>2585</v>
      </c>
      <c r="B327" s="238"/>
      <c r="C327" s="174" t="s">
        <v>2587</v>
      </c>
      <c r="D327" s="139" t="s">
        <v>1383</v>
      </c>
      <c r="E327" s="175">
        <v>49.12</v>
      </c>
      <c r="F327" s="175"/>
      <c r="G327" s="175"/>
      <c r="H327" s="176">
        <v>499.05</v>
      </c>
      <c r="I327" s="177">
        <f t="shared" si="9"/>
        <v>24513.335999999999</v>
      </c>
      <c r="J327" s="174" t="s">
        <v>1355</v>
      </c>
      <c r="K327" s="174" t="s">
        <v>2211</v>
      </c>
      <c r="L327" s="178" t="s">
        <v>2586</v>
      </c>
    </row>
    <row r="328" spans="1:12" s="125" customFormat="1" x14ac:dyDescent="0.2">
      <c r="A328" s="133" t="s">
        <v>2589</v>
      </c>
      <c r="B328" s="238"/>
      <c r="C328" s="174" t="s">
        <v>2591</v>
      </c>
      <c r="D328" s="139" t="s">
        <v>1383</v>
      </c>
      <c r="E328" s="175">
        <v>206</v>
      </c>
      <c r="F328" s="175"/>
      <c r="G328" s="175"/>
      <c r="H328" s="176">
        <v>27.19</v>
      </c>
      <c r="I328" s="177">
        <f t="shared" si="9"/>
        <v>5601.14</v>
      </c>
      <c r="J328" s="174" t="s">
        <v>1355</v>
      </c>
      <c r="K328" s="174" t="s">
        <v>2211</v>
      </c>
      <c r="L328" s="178" t="s">
        <v>2590</v>
      </c>
    </row>
    <row r="329" spans="1:12" s="125" customFormat="1" x14ac:dyDescent="0.2">
      <c r="A329" s="133" t="s">
        <v>2593</v>
      </c>
      <c r="B329" s="238"/>
      <c r="C329" s="174" t="s">
        <v>2595</v>
      </c>
      <c r="D329" s="139" t="s">
        <v>1383</v>
      </c>
      <c r="E329" s="175">
        <v>720</v>
      </c>
      <c r="F329" s="175"/>
      <c r="G329" s="175"/>
      <c r="H329" s="176">
        <v>18.5</v>
      </c>
      <c r="I329" s="177">
        <f t="shared" si="9"/>
        <v>13320</v>
      </c>
      <c r="J329" s="174" t="s">
        <v>1355</v>
      </c>
      <c r="K329" s="174" t="s">
        <v>2211</v>
      </c>
      <c r="L329" s="178" t="s">
        <v>2594</v>
      </c>
    </row>
    <row r="330" spans="1:12" s="125" customFormat="1" x14ac:dyDescent="0.2">
      <c r="A330" s="133" t="s">
        <v>2597</v>
      </c>
      <c r="B330" s="238"/>
      <c r="C330" s="174" t="s">
        <v>2598</v>
      </c>
      <c r="D330" s="139" t="s">
        <v>1383</v>
      </c>
      <c r="E330" s="175">
        <v>2400</v>
      </c>
      <c r="F330" s="175"/>
      <c r="G330" s="175"/>
      <c r="H330" s="176">
        <v>30.09</v>
      </c>
      <c r="I330" s="177">
        <f t="shared" si="9"/>
        <v>72216</v>
      </c>
      <c r="J330" s="174" t="s">
        <v>1355</v>
      </c>
      <c r="K330" s="174" t="s">
        <v>2211</v>
      </c>
      <c r="L330" s="178" t="s">
        <v>2590</v>
      </c>
    </row>
    <row r="331" spans="1:12" s="125" customFormat="1" x14ac:dyDescent="0.2">
      <c r="A331" s="133" t="s">
        <v>2600</v>
      </c>
      <c r="B331" s="238"/>
      <c r="C331" s="174" t="s">
        <v>2602</v>
      </c>
      <c r="D331" s="139" t="s">
        <v>1383</v>
      </c>
      <c r="E331" s="175">
        <v>600</v>
      </c>
      <c r="F331" s="175"/>
      <c r="G331" s="175"/>
      <c r="H331" s="176">
        <v>17.2</v>
      </c>
      <c r="I331" s="177">
        <f t="shared" si="9"/>
        <v>10320</v>
      </c>
      <c r="J331" s="174" t="s">
        <v>1355</v>
      </c>
      <c r="K331" s="174" t="s">
        <v>2211</v>
      </c>
      <c r="L331" s="178" t="s">
        <v>2601</v>
      </c>
    </row>
    <row r="332" spans="1:12" s="125" customFormat="1" x14ac:dyDescent="0.2">
      <c r="A332" s="133" t="s">
        <v>2604</v>
      </c>
      <c r="B332" s="238"/>
      <c r="C332" s="174" t="s">
        <v>2606</v>
      </c>
      <c r="D332" s="139" t="s">
        <v>1383</v>
      </c>
      <c r="E332" s="175">
        <v>10960</v>
      </c>
      <c r="F332" s="175"/>
      <c r="G332" s="175"/>
      <c r="H332" s="176">
        <v>41.61</v>
      </c>
      <c r="I332" s="177">
        <f t="shared" si="9"/>
        <v>456045.6</v>
      </c>
      <c r="J332" s="174" t="s">
        <v>1355</v>
      </c>
      <c r="K332" s="174" t="s">
        <v>2211</v>
      </c>
      <c r="L332" s="178" t="s">
        <v>2605</v>
      </c>
    </row>
    <row r="333" spans="1:12" s="125" customFormat="1" x14ac:dyDescent="0.2">
      <c r="A333" s="133" t="s">
        <v>2608</v>
      </c>
      <c r="B333" s="238"/>
      <c r="C333" s="174" t="s">
        <v>2610</v>
      </c>
      <c r="D333" s="139" t="s">
        <v>1383</v>
      </c>
      <c r="E333" s="175">
        <v>2730</v>
      </c>
      <c r="F333" s="175"/>
      <c r="G333" s="175"/>
      <c r="H333" s="176">
        <v>23.72</v>
      </c>
      <c r="I333" s="177">
        <f t="shared" si="9"/>
        <v>64755.6</v>
      </c>
      <c r="J333" s="174" t="s">
        <v>1355</v>
      </c>
      <c r="K333" s="174" t="s">
        <v>2211</v>
      </c>
      <c r="L333" s="178" t="s">
        <v>2609</v>
      </c>
    </row>
    <row r="334" spans="1:12" s="125" customFormat="1" x14ac:dyDescent="0.2">
      <c r="A334" s="133" t="s">
        <v>2612</v>
      </c>
      <c r="B334" s="238"/>
      <c r="C334" s="174" t="s">
        <v>2614</v>
      </c>
      <c r="D334" s="139" t="s">
        <v>1383</v>
      </c>
      <c r="E334" s="175">
        <v>2790</v>
      </c>
      <c r="F334" s="175"/>
      <c r="G334" s="175"/>
      <c r="H334" s="176">
        <v>35.6</v>
      </c>
      <c r="I334" s="177">
        <f t="shared" si="9"/>
        <v>99324</v>
      </c>
      <c r="J334" s="174" t="s">
        <v>1355</v>
      </c>
      <c r="K334" s="174" t="s">
        <v>2211</v>
      </c>
      <c r="L334" s="178" t="s">
        <v>2613</v>
      </c>
    </row>
    <row r="335" spans="1:12" s="125" customFormat="1" x14ac:dyDescent="0.2">
      <c r="A335" s="133" t="s">
        <v>2616</v>
      </c>
      <c r="B335" s="238"/>
      <c r="C335" s="174" t="s">
        <v>2618</v>
      </c>
      <c r="D335" s="139" t="s">
        <v>1383</v>
      </c>
      <c r="E335" s="175">
        <v>390</v>
      </c>
      <c r="F335" s="175"/>
      <c r="G335" s="175"/>
      <c r="H335" s="176">
        <v>35.6</v>
      </c>
      <c r="I335" s="177">
        <f t="shared" si="9"/>
        <v>13884</v>
      </c>
      <c r="J335" s="174" t="s">
        <v>1355</v>
      </c>
      <c r="K335" s="174" t="s">
        <v>2211</v>
      </c>
      <c r="L335" s="178" t="s">
        <v>2617</v>
      </c>
    </row>
    <row r="336" spans="1:12" s="125" customFormat="1" x14ac:dyDescent="0.2">
      <c r="A336" s="133" t="s">
        <v>2620</v>
      </c>
      <c r="B336" s="238"/>
      <c r="C336" s="174" t="s">
        <v>2622</v>
      </c>
      <c r="D336" s="139" t="s">
        <v>1383</v>
      </c>
      <c r="E336" s="175">
        <v>85.14</v>
      </c>
      <c r="F336" s="175"/>
      <c r="G336" s="175"/>
      <c r="H336" s="176">
        <v>36.46</v>
      </c>
      <c r="I336" s="177">
        <f t="shared" si="9"/>
        <v>3104.2044000000001</v>
      </c>
      <c r="J336" s="174" t="s">
        <v>1355</v>
      </c>
      <c r="K336" s="174" t="s">
        <v>2211</v>
      </c>
      <c r="L336" s="178" t="s">
        <v>2621</v>
      </c>
    </row>
    <row r="337" spans="1:12" s="125" customFormat="1" x14ac:dyDescent="0.2">
      <c r="A337" s="133" t="s">
        <v>2624</v>
      </c>
      <c r="B337" s="238"/>
      <c r="C337" s="174" t="s">
        <v>2626</v>
      </c>
      <c r="D337" s="139" t="s">
        <v>1557</v>
      </c>
      <c r="E337" s="175">
        <v>5565</v>
      </c>
      <c r="F337" s="175"/>
      <c r="G337" s="175"/>
      <c r="H337" s="176">
        <v>16.07</v>
      </c>
      <c r="I337" s="177">
        <f t="shared" si="9"/>
        <v>89429.55</v>
      </c>
      <c r="J337" s="174" t="s">
        <v>1355</v>
      </c>
      <c r="K337" s="174" t="s">
        <v>2211</v>
      </c>
      <c r="L337" s="178" t="s">
        <v>2625</v>
      </c>
    </row>
    <row r="338" spans="1:12" s="125" customFormat="1" x14ac:dyDescent="0.2">
      <c r="A338" s="133" t="s">
        <v>2628</v>
      </c>
      <c r="B338" s="238"/>
      <c r="C338" s="174" t="s">
        <v>2630</v>
      </c>
      <c r="D338" s="139" t="s">
        <v>1383</v>
      </c>
      <c r="E338" s="175">
        <v>495</v>
      </c>
      <c r="F338" s="175"/>
      <c r="G338" s="175"/>
      <c r="H338" s="176">
        <v>43.83</v>
      </c>
      <c r="I338" s="177">
        <f t="shared" si="9"/>
        <v>21695.85</v>
      </c>
      <c r="J338" s="174" t="s">
        <v>1355</v>
      </c>
      <c r="K338" s="174" t="s">
        <v>2211</v>
      </c>
      <c r="L338" s="178" t="s">
        <v>2629</v>
      </c>
    </row>
    <row r="339" spans="1:12" s="125" customFormat="1" x14ac:dyDescent="0.2">
      <c r="A339" s="133" t="s">
        <v>2632</v>
      </c>
      <c r="B339" s="238"/>
      <c r="C339" s="174" t="s">
        <v>2634</v>
      </c>
      <c r="D339" s="129" t="s">
        <v>1361</v>
      </c>
      <c r="E339" s="175">
        <v>200</v>
      </c>
      <c r="F339" s="175"/>
      <c r="G339" s="175"/>
      <c r="H339" s="176">
        <v>844.7</v>
      </c>
      <c r="I339" s="177">
        <f t="shared" si="9"/>
        <v>168940</v>
      </c>
      <c r="J339" s="174" t="s">
        <v>1355</v>
      </c>
      <c r="K339" s="174" t="s">
        <v>2211</v>
      </c>
      <c r="L339" s="178" t="s">
        <v>2633</v>
      </c>
    </row>
    <row r="340" spans="1:12" s="125" customFormat="1" x14ac:dyDescent="0.2">
      <c r="A340" s="133" t="s">
        <v>2636</v>
      </c>
      <c r="B340" s="238"/>
      <c r="C340" s="174" t="s">
        <v>2638</v>
      </c>
      <c r="D340" s="129" t="s">
        <v>1361</v>
      </c>
      <c r="E340" s="175">
        <v>60</v>
      </c>
      <c r="F340" s="175"/>
      <c r="G340" s="175"/>
      <c r="H340" s="176">
        <v>959.86</v>
      </c>
      <c r="I340" s="177">
        <f t="shared" si="9"/>
        <v>57591.6</v>
      </c>
      <c r="J340" s="174" t="s">
        <v>1355</v>
      </c>
      <c r="K340" s="174" t="s">
        <v>2211</v>
      </c>
      <c r="L340" s="178" t="s">
        <v>2637</v>
      </c>
    </row>
    <row r="341" spans="1:12" s="125" customFormat="1" x14ac:dyDescent="0.2">
      <c r="A341" s="133" t="s">
        <v>2640</v>
      </c>
      <c r="B341" s="238"/>
      <c r="C341" s="174" t="s">
        <v>2642</v>
      </c>
      <c r="D341" s="129" t="s">
        <v>1361</v>
      </c>
      <c r="E341" s="175">
        <v>90</v>
      </c>
      <c r="F341" s="175"/>
      <c r="G341" s="175"/>
      <c r="H341" s="176">
        <v>208.53</v>
      </c>
      <c r="I341" s="177">
        <f t="shared" si="9"/>
        <v>18767.7</v>
      </c>
      <c r="J341" s="174" t="s">
        <v>1355</v>
      </c>
      <c r="K341" s="174" t="s">
        <v>2211</v>
      </c>
      <c r="L341" s="178" t="s">
        <v>2641</v>
      </c>
    </row>
    <row r="342" spans="1:12" s="125" customFormat="1" x14ac:dyDescent="0.2">
      <c r="A342" s="133" t="s">
        <v>2644</v>
      </c>
      <c r="B342" s="238"/>
      <c r="C342" s="174" t="s">
        <v>2646</v>
      </c>
      <c r="D342" s="139" t="s">
        <v>1627</v>
      </c>
      <c r="E342" s="175">
        <v>4</v>
      </c>
      <c r="F342" s="175"/>
      <c r="G342" s="175"/>
      <c r="H342" s="176">
        <v>2336.88</v>
      </c>
      <c r="I342" s="177">
        <f t="shared" si="9"/>
        <v>9347.52</v>
      </c>
      <c r="J342" s="174" t="s">
        <v>1355</v>
      </c>
      <c r="K342" s="174" t="s">
        <v>2211</v>
      </c>
      <c r="L342" s="178" t="s">
        <v>2645</v>
      </c>
    </row>
    <row r="343" spans="1:12" x14ac:dyDescent="0.2">
      <c r="A343" s="133">
        <v>11110</v>
      </c>
      <c r="B343" s="238"/>
      <c r="C343" s="174" t="s">
        <v>2650</v>
      </c>
      <c r="D343" s="139" t="s">
        <v>1627</v>
      </c>
      <c r="E343" s="175">
        <v>4</v>
      </c>
      <c r="F343" s="175"/>
      <c r="G343" s="175"/>
      <c r="H343" s="176">
        <v>3157.57</v>
      </c>
      <c r="I343" s="177">
        <f t="shared" si="9"/>
        <v>12630.28</v>
      </c>
      <c r="J343" s="174" t="s">
        <v>1355</v>
      </c>
      <c r="K343" s="174" t="s">
        <v>2211</v>
      </c>
      <c r="L343" s="178" t="s">
        <v>2649</v>
      </c>
    </row>
    <row r="344" spans="1:12" x14ac:dyDescent="0.2">
      <c r="A344" s="133" t="s">
        <v>2652</v>
      </c>
      <c r="B344" s="238"/>
      <c r="C344" s="174" t="s">
        <v>2654</v>
      </c>
      <c r="D344" s="139" t="s">
        <v>1383</v>
      </c>
      <c r="E344" s="175">
        <v>90</v>
      </c>
      <c r="F344" s="175"/>
      <c r="G344" s="175"/>
      <c r="H344" s="176">
        <v>197.56</v>
      </c>
      <c r="I344" s="177">
        <f t="shared" si="9"/>
        <v>17780.400000000001</v>
      </c>
      <c r="J344" s="174" t="s">
        <v>1355</v>
      </c>
      <c r="K344" s="174" t="s">
        <v>2211</v>
      </c>
      <c r="L344" s="173" t="s">
        <v>2653</v>
      </c>
    </row>
    <row r="345" spans="1:12" x14ac:dyDescent="0.2">
      <c r="A345" s="133" t="s">
        <v>2656</v>
      </c>
      <c r="B345" s="238"/>
      <c r="C345" s="174" t="s">
        <v>2658</v>
      </c>
      <c r="D345" s="139" t="s">
        <v>1383</v>
      </c>
      <c r="E345" s="175">
        <v>3048</v>
      </c>
      <c r="F345" s="175"/>
      <c r="G345" s="175"/>
      <c r="H345" s="176">
        <v>49.65</v>
      </c>
      <c r="I345" s="177">
        <f t="shared" si="9"/>
        <v>151333.19999999998</v>
      </c>
      <c r="J345" s="174" t="s">
        <v>1355</v>
      </c>
      <c r="K345" s="174" t="s">
        <v>2211</v>
      </c>
      <c r="L345" s="173" t="s">
        <v>2657</v>
      </c>
    </row>
    <row r="346" spans="1:12" x14ac:dyDescent="0.2">
      <c r="A346" s="133" t="s">
        <v>2660</v>
      </c>
      <c r="B346" s="238"/>
      <c r="C346" s="174" t="s">
        <v>2662</v>
      </c>
      <c r="D346" s="139" t="s">
        <v>1383</v>
      </c>
      <c r="E346" s="175">
        <v>1524</v>
      </c>
      <c r="F346" s="175"/>
      <c r="G346" s="175"/>
      <c r="H346" s="176">
        <v>116.87</v>
      </c>
      <c r="I346" s="177">
        <f t="shared" si="9"/>
        <v>178109.88</v>
      </c>
      <c r="J346" s="174" t="s">
        <v>1355</v>
      </c>
      <c r="K346" s="174" t="s">
        <v>2211</v>
      </c>
      <c r="L346" s="173" t="s">
        <v>2661</v>
      </c>
    </row>
    <row r="347" spans="1:12" x14ac:dyDescent="0.2">
      <c r="A347" s="133" t="s">
        <v>2664</v>
      </c>
      <c r="B347" s="238"/>
      <c r="C347" s="174" t="s">
        <v>2666</v>
      </c>
      <c r="D347" s="139" t="s">
        <v>1383</v>
      </c>
      <c r="E347" s="175">
        <v>980</v>
      </c>
      <c r="F347" s="175"/>
      <c r="G347" s="175"/>
      <c r="H347" s="176">
        <v>69.73</v>
      </c>
      <c r="I347" s="177">
        <f t="shared" si="9"/>
        <v>68335.400000000009</v>
      </c>
      <c r="J347" s="174" t="s">
        <v>1355</v>
      </c>
      <c r="K347" s="174" t="s">
        <v>2211</v>
      </c>
      <c r="L347" s="173" t="s">
        <v>2665</v>
      </c>
    </row>
    <row r="348" spans="1:12" x14ac:dyDescent="0.2">
      <c r="A348" s="133" t="s">
        <v>2668</v>
      </c>
      <c r="B348" s="238"/>
      <c r="C348" s="174" t="s">
        <v>2670</v>
      </c>
      <c r="D348" s="139" t="s">
        <v>1383</v>
      </c>
      <c r="E348" s="175">
        <v>4846</v>
      </c>
      <c r="F348" s="175"/>
      <c r="G348" s="175"/>
      <c r="H348" s="176">
        <v>80.22</v>
      </c>
      <c r="I348" s="177">
        <f t="shared" si="9"/>
        <v>388746.12</v>
      </c>
      <c r="J348" s="174" t="s">
        <v>1355</v>
      </c>
      <c r="K348" s="174" t="s">
        <v>2211</v>
      </c>
      <c r="L348" s="173" t="s">
        <v>2669</v>
      </c>
    </row>
    <row r="349" spans="1:12" x14ac:dyDescent="0.2">
      <c r="A349" s="133" t="s">
        <v>2672</v>
      </c>
      <c r="B349" s="238"/>
      <c r="C349" s="174" t="s">
        <v>2674</v>
      </c>
      <c r="D349" s="139" t="s">
        <v>1383</v>
      </c>
      <c r="E349" s="175">
        <v>2012</v>
      </c>
      <c r="F349" s="175"/>
      <c r="G349" s="175"/>
      <c r="H349" s="176">
        <v>110.5</v>
      </c>
      <c r="I349" s="177">
        <f t="shared" si="9"/>
        <v>222326</v>
      </c>
      <c r="J349" s="174" t="s">
        <v>1355</v>
      </c>
      <c r="K349" s="174" t="s">
        <v>2211</v>
      </c>
      <c r="L349" s="173" t="s">
        <v>2673</v>
      </c>
    </row>
    <row r="350" spans="1:12" x14ac:dyDescent="0.2">
      <c r="A350" s="133" t="s">
        <v>2676</v>
      </c>
      <c r="B350" s="238"/>
      <c r="C350" s="174" t="s">
        <v>2678</v>
      </c>
      <c r="D350" s="139" t="s">
        <v>1383</v>
      </c>
      <c r="E350" s="175">
        <v>3048</v>
      </c>
      <c r="F350" s="175"/>
      <c r="G350" s="175"/>
      <c r="H350" s="176">
        <v>55.24</v>
      </c>
      <c r="I350" s="177">
        <f t="shared" si="9"/>
        <v>168371.52000000002</v>
      </c>
      <c r="J350" s="174" t="s">
        <v>1355</v>
      </c>
      <c r="K350" s="174" t="s">
        <v>2211</v>
      </c>
      <c r="L350" s="173" t="s">
        <v>2677</v>
      </c>
    </row>
    <row r="351" spans="1:12" x14ac:dyDescent="0.2">
      <c r="A351" s="133" t="s">
        <v>2680</v>
      </c>
      <c r="B351" s="238"/>
      <c r="C351" s="174" t="s">
        <v>2682</v>
      </c>
      <c r="D351" s="139" t="s">
        <v>1383</v>
      </c>
      <c r="E351" s="175">
        <v>762</v>
      </c>
      <c r="F351" s="175"/>
      <c r="G351" s="175"/>
      <c r="H351" s="176">
        <v>180.4</v>
      </c>
      <c r="I351" s="177">
        <f t="shared" si="9"/>
        <v>137464.80000000002</v>
      </c>
      <c r="J351" s="174" t="s">
        <v>1355</v>
      </c>
      <c r="K351" s="174" t="s">
        <v>2211</v>
      </c>
      <c r="L351" s="173" t="s">
        <v>2681</v>
      </c>
    </row>
    <row r="352" spans="1:12" x14ac:dyDescent="0.2">
      <c r="A352" s="133" t="s">
        <v>2684</v>
      </c>
      <c r="B352" s="238"/>
      <c r="C352" s="174" t="s">
        <v>2686</v>
      </c>
      <c r="D352" s="129" t="s">
        <v>1361</v>
      </c>
      <c r="E352" s="175">
        <v>585</v>
      </c>
      <c r="F352" s="175"/>
      <c r="G352" s="175"/>
      <c r="H352" s="176">
        <v>28.28</v>
      </c>
      <c r="I352" s="177">
        <f t="shared" si="9"/>
        <v>16543.8</v>
      </c>
      <c r="J352" s="174" t="s">
        <v>1355</v>
      </c>
      <c r="K352" s="174" t="s">
        <v>2211</v>
      </c>
      <c r="L352" s="173" t="s">
        <v>2685</v>
      </c>
    </row>
    <row r="353" spans="1:12" x14ac:dyDescent="0.2">
      <c r="A353" s="133" t="s">
        <v>2688</v>
      </c>
      <c r="B353" s="238"/>
      <c r="C353" s="174" t="s">
        <v>2690</v>
      </c>
      <c r="D353" s="139" t="s">
        <v>1627</v>
      </c>
      <c r="E353" s="175">
        <v>8</v>
      </c>
      <c r="F353" s="175"/>
      <c r="G353" s="175"/>
      <c r="H353" s="176">
        <v>465.55</v>
      </c>
      <c r="I353" s="177">
        <f t="shared" si="9"/>
        <v>3724.4</v>
      </c>
      <c r="J353" s="174" t="s">
        <v>1355</v>
      </c>
      <c r="K353" s="174" t="s">
        <v>2211</v>
      </c>
      <c r="L353" s="173" t="s">
        <v>2689</v>
      </c>
    </row>
    <row r="354" spans="1:12" x14ac:dyDescent="0.2">
      <c r="A354" s="133" t="s">
        <v>2692</v>
      </c>
      <c r="B354" s="238"/>
      <c r="C354" s="174" t="s">
        <v>2694</v>
      </c>
      <c r="D354" s="139" t="s">
        <v>1627</v>
      </c>
      <c r="E354" s="175">
        <v>8</v>
      </c>
      <c r="F354" s="175"/>
      <c r="G354" s="175"/>
      <c r="H354" s="176">
        <v>158.22</v>
      </c>
      <c r="I354" s="177">
        <f t="shared" si="9"/>
        <v>1265.76</v>
      </c>
      <c r="J354" s="174" t="s">
        <v>1355</v>
      </c>
      <c r="K354" s="174" t="s">
        <v>2211</v>
      </c>
      <c r="L354" s="173" t="s">
        <v>2693</v>
      </c>
    </row>
    <row r="355" spans="1:12" x14ac:dyDescent="0.2">
      <c r="A355" s="133" t="s">
        <v>2696</v>
      </c>
      <c r="B355" s="238"/>
      <c r="C355" s="174" t="s">
        <v>2698</v>
      </c>
      <c r="D355" s="139" t="s">
        <v>1627</v>
      </c>
      <c r="E355" s="175">
        <v>8</v>
      </c>
      <c r="F355" s="175"/>
      <c r="G355" s="175"/>
      <c r="H355" s="176">
        <v>194.37</v>
      </c>
      <c r="I355" s="177">
        <f t="shared" si="9"/>
        <v>1554.96</v>
      </c>
      <c r="J355" s="174" t="s">
        <v>1355</v>
      </c>
      <c r="K355" s="174" t="s">
        <v>2211</v>
      </c>
      <c r="L355" s="173" t="s">
        <v>2697</v>
      </c>
    </row>
    <row r="356" spans="1:12" x14ac:dyDescent="0.2">
      <c r="A356" s="133" t="s">
        <v>2700</v>
      </c>
      <c r="B356" s="238"/>
      <c r="C356" s="174" t="s">
        <v>2702</v>
      </c>
      <c r="D356" s="139" t="s">
        <v>1627</v>
      </c>
      <c r="E356" s="175">
        <v>8</v>
      </c>
      <c r="F356" s="175"/>
      <c r="G356" s="175"/>
      <c r="H356" s="176">
        <v>204.34</v>
      </c>
      <c r="I356" s="177">
        <f t="shared" si="9"/>
        <v>1634.72</v>
      </c>
      <c r="J356" s="174" t="s">
        <v>1355</v>
      </c>
      <c r="K356" s="174" t="s">
        <v>2211</v>
      </c>
      <c r="L356" s="173" t="s">
        <v>2701</v>
      </c>
    </row>
    <row r="357" spans="1:12" x14ac:dyDescent="0.2">
      <c r="A357" s="133" t="s">
        <v>2704</v>
      </c>
      <c r="B357" s="238"/>
      <c r="C357" s="174" t="s">
        <v>2706</v>
      </c>
      <c r="D357" s="129" t="s">
        <v>1361</v>
      </c>
      <c r="E357" s="175">
        <v>3419</v>
      </c>
      <c r="F357" s="175"/>
      <c r="G357" s="175"/>
      <c r="H357" s="176">
        <v>58.48</v>
      </c>
      <c r="I357" s="177">
        <f t="shared" si="9"/>
        <v>199943.12</v>
      </c>
      <c r="J357" s="174" t="s">
        <v>1355</v>
      </c>
      <c r="K357" s="174" t="s">
        <v>2211</v>
      </c>
      <c r="L357" s="173" t="s">
        <v>2705</v>
      </c>
    </row>
    <row r="358" spans="1:12" x14ac:dyDescent="0.2">
      <c r="A358" s="133" t="s">
        <v>2708</v>
      </c>
      <c r="B358" s="238"/>
      <c r="C358" s="174" t="s">
        <v>2710</v>
      </c>
      <c r="D358" s="129" t="s">
        <v>1361</v>
      </c>
      <c r="E358" s="175">
        <v>3437</v>
      </c>
      <c r="F358" s="175"/>
      <c r="G358" s="175"/>
      <c r="H358" s="176">
        <v>298.98</v>
      </c>
      <c r="I358" s="177">
        <f t="shared" si="9"/>
        <v>1027594.26</v>
      </c>
      <c r="J358" s="174" t="s">
        <v>1355</v>
      </c>
      <c r="K358" s="174" t="s">
        <v>2211</v>
      </c>
      <c r="L358" s="173" t="s">
        <v>2709</v>
      </c>
    </row>
    <row r="359" spans="1:12" x14ac:dyDescent="0.2">
      <c r="A359" s="133" t="s">
        <v>2712</v>
      </c>
      <c r="B359" s="238"/>
      <c r="C359" s="174" t="s">
        <v>2714</v>
      </c>
      <c r="D359" s="139" t="s">
        <v>1627</v>
      </c>
      <c r="E359" s="175">
        <v>8</v>
      </c>
      <c r="F359" s="175"/>
      <c r="G359" s="175"/>
      <c r="H359" s="176">
        <v>479.05</v>
      </c>
      <c r="I359" s="177">
        <f t="shared" si="9"/>
        <v>3832.4</v>
      </c>
      <c r="J359" s="174" t="s">
        <v>1355</v>
      </c>
      <c r="K359" s="174" t="s">
        <v>2211</v>
      </c>
      <c r="L359" s="173" t="s">
        <v>2713</v>
      </c>
    </row>
    <row r="360" spans="1:12" x14ac:dyDescent="0.2">
      <c r="A360" s="133" t="s">
        <v>2716</v>
      </c>
      <c r="B360" s="238"/>
      <c r="C360" s="174" t="s">
        <v>2718</v>
      </c>
      <c r="D360" s="139" t="s">
        <v>1627</v>
      </c>
      <c r="E360" s="175">
        <v>2</v>
      </c>
      <c r="F360" s="175"/>
      <c r="G360" s="175"/>
      <c r="H360" s="176">
        <v>120609</v>
      </c>
      <c r="I360" s="177">
        <f t="shared" si="9"/>
        <v>241218</v>
      </c>
      <c r="J360" s="174" t="s">
        <v>1355</v>
      </c>
      <c r="K360" s="174" t="s">
        <v>2211</v>
      </c>
      <c r="L360" s="173" t="s">
        <v>2717</v>
      </c>
    </row>
    <row r="361" spans="1:12" x14ac:dyDescent="0.2">
      <c r="A361" s="133" t="s">
        <v>2720</v>
      </c>
      <c r="B361" s="238"/>
      <c r="C361" s="174" t="s">
        <v>2721</v>
      </c>
      <c r="D361" s="139" t="s">
        <v>1383</v>
      </c>
      <c r="E361" s="175">
        <v>1200</v>
      </c>
      <c r="F361" s="175"/>
      <c r="G361" s="175"/>
      <c r="H361" s="176">
        <v>308.60000000000002</v>
      </c>
      <c r="I361" s="177">
        <f t="shared" si="9"/>
        <v>370320</v>
      </c>
      <c r="J361" s="174" t="s">
        <v>1355</v>
      </c>
      <c r="K361" s="174" t="s">
        <v>2211</v>
      </c>
      <c r="L361" s="173">
        <v>220402</v>
      </c>
    </row>
    <row r="362" spans="1:12" x14ac:dyDescent="0.2">
      <c r="A362" s="133" t="s">
        <v>2723</v>
      </c>
      <c r="B362" s="238"/>
      <c r="C362" s="174" t="s">
        <v>2724</v>
      </c>
      <c r="D362" s="139" t="s">
        <v>1627</v>
      </c>
      <c r="E362" s="175">
        <v>2</v>
      </c>
      <c r="F362" s="175"/>
      <c r="G362" s="175"/>
      <c r="H362" s="176">
        <v>519.22</v>
      </c>
      <c r="I362" s="177">
        <f t="shared" si="9"/>
        <v>1038.44</v>
      </c>
      <c r="J362" s="174" t="s">
        <v>1355</v>
      </c>
      <c r="K362" s="174" t="s">
        <v>2211</v>
      </c>
      <c r="L362" s="173">
        <v>240204</v>
      </c>
    </row>
    <row r="363" spans="1:12" x14ac:dyDescent="0.2">
      <c r="A363" s="133" t="s">
        <v>2726</v>
      </c>
      <c r="B363" s="238"/>
      <c r="C363" s="174" t="s">
        <v>2727</v>
      </c>
      <c r="D363" s="129" t="s">
        <v>1361</v>
      </c>
      <c r="E363" s="175">
        <v>12</v>
      </c>
      <c r="F363" s="175"/>
      <c r="G363" s="175"/>
      <c r="H363" s="176">
        <v>844.02</v>
      </c>
      <c r="I363" s="177">
        <f t="shared" ref="I363:I395" si="10">E363*H363</f>
        <v>10128.24</v>
      </c>
      <c r="J363" s="174" t="s">
        <v>1355</v>
      </c>
      <c r="K363" s="174" t="s">
        <v>2211</v>
      </c>
      <c r="L363" s="173">
        <v>240308</v>
      </c>
    </row>
    <row r="364" spans="1:12" x14ac:dyDescent="0.2">
      <c r="A364" s="133" t="s">
        <v>2729</v>
      </c>
      <c r="B364" s="238"/>
      <c r="C364" s="174" t="s">
        <v>2730</v>
      </c>
      <c r="D364" s="139" t="s">
        <v>1627</v>
      </c>
      <c r="E364" s="175">
        <v>4</v>
      </c>
      <c r="F364" s="175"/>
      <c r="G364" s="175"/>
      <c r="H364" s="176">
        <v>1167.5899999999999</v>
      </c>
      <c r="I364" s="177">
        <f t="shared" si="10"/>
        <v>4670.3599999999997</v>
      </c>
      <c r="J364" s="174" t="s">
        <v>1355</v>
      </c>
      <c r="K364" s="174" t="s">
        <v>2211</v>
      </c>
      <c r="L364" s="173">
        <v>240310</v>
      </c>
    </row>
    <row r="365" spans="1:12" x14ac:dyDescent="0.2">
      <c r="A365" s="133" t="s">
        <v>2732</v>
      </c>
      <c r="B365" s="238"/>
      <c r="C365" s="174" t="s">
        <v>2733</v>
      </c>
      <c r="D365" s="139" t="s">
        <v>1383</v>
      </c>
      <c r="E365" s="175">
        <v>155.46</v>
      </c>
      <c r="F365" s="175"/>
      <c r="G365" s="175"/>
      <c r="H365" s="176">
        <v>36.630000000000003</v>
      </c>
      <c r="I365" s="177">
        <f t="shared" si="10"/>
        <v>5694.4998000000005</v>
      </c>
      <c r="J365" s="174" t="s">
        <v>1355</v>
      </c>
      <c r="K365" s="174" t="s">
        <v>2211</v>
      </c>
      <c r="L365" s="173">
        <v>321704</v>
      </c>
    </row>
    <row r="366" spans="1:12" x14ac:dyDescent="0.2">
      <c r="A366" s="133" t="s">
        <v>2735</v>
      </c>
      <c r="B366" s="238"/>
      <c r="C366" s="174" t="s">
        <v>2736</v>
      </c>
      <c r="D366" s="129" t="s">
        <v>1361</v>
      </c>
      <c r="E366" s="175">
        <v>96</v>
      </c>
      <c r="F366" s="175"/>
      <c r="G366" s="175"/>
      <c r="H366" s="176">
        <v>62.38</v>
      </c>
      <c r="I366" s="177">
        <f t="shared" si="10"/>
        <v>5988.4800000000005</v>
      </c>
      <c r="J366" s="174" t="s">
        <v>1355</v>
      </c>
      <c r="K366" s="174" t="s">
        <v>2211</v>
      </c>
      <c r="L366" s="173">
        <v>460305</v>
      </c>
    </row>
    <row r="367" spans="1:12" x14ac:dyDescent="0.2">
      <c r="A367" s="133" t="s">
        <v>2738</v>
      </c>
      <c r="B367" s="238"/>
      <c r="C367" s="174" t="s">
        <v>2739</v>
      </c>
      <c r="D367" s="139" t="s">
        <v>1383</v>
      </c>
      <c r="E367" s="175">
        <v>393.08</v>
      </c>
      <c r="F367" s="175"/>
      <c r="G367" s="175"/>
      <c r="H367" s="176">
        <v>63.25</v>
      </c>
      <c r="I367" s="177">
        <f t="shared" si="10"/>
        <v>24862.309999999998</v>
      </c>
      <c r="J367" s="174" t="s">
        <v>1355</v>
      </c>
      <c r="K367" s="174" t="s">
        <v>2211</v>
      </c>
      <c r="L367" s="173">
        <v>540713</v>
      </c>
    </row>
    <row r="368" spans="1:12" x14ac:dyDescent="0.2">
      <c r="A368" s="133" t="s">
        <v>2741</v>
      </c>
      <c r="B368" s="238"/>
      <c r="C368" s="174" t="s">
        <v>2743</v>
      </c>
      <c r="D368" s="139" t="s">
        <v>1383</v>
      </c>
      <c r="E368" s="175">
        <v>700</v>
      </c>
      <c r="F368" s="175"/>
      <c r="G368" s="175"/>
      <c r="H368" s="176">
        <v>62.22</v>
      </c>
      <c r="I368" s="177">
        <f t="shared" si="10"/>
        <v>43554</v>
      </c>
      <c r="J368" s="174" t="s">
        <v>1355</v>
      </c>
      <c r="K368" s="174" t="s">
        <v>2211</v>
      </c>
      <c r="L368" s="173" t="s">
        <v>2742</v>
      </c>
    </row>
    <row r="369" spans="1:12" x14ac:dyDescent="0.2">
      <c r="A369" s="133" t="s">
        <v>2745</v>
      </c>
      <c r="B369" s="238"/>
      <c r="C369" s="174" t="s">
        <v>2747</v>
      </c>
      <c r="D369" s="139" t="s">
        <v>1383</v>
      </c>
      <c r="E369" s="175">
        <v>200</v>
      </c>
      <c r="F369" s="175"/>
      <c r="G369" s="175"/>
      <c r="H369" s="176">
        <v>164.7</v>
      </c>
      <c r="I369" s="177">
        <f t="shared" si="10"/>
        <v>32940</v>
      </c>
      <c r="J369" s="174" t="s">
        <v>1355</v>
      </c>
      <c r="K369" s="174" t="s">
        <v>2211</v>
      </c>
      <c r="L369" s="173" t="s">
        <v>2746</v>
      </c>
    </row>
    <row r="370" spans="1:12" x14ac:dyDescent="0.2">
      <c r="A370" s="133" t="s">
        <v>2749</v>
      </c>
      <c r="B370" s="238"/>
      <c r="C370" s="174" t="s">
        <v>2751</v>
      </c>
      <c r="D370" s="139" t="s">
        <v>1383</v>
      </c>
      <c r="E370" s="175">
        <v>2682.36</v>
      </c>
      <c r="F370" s="175"/>
      <c r="G370" s="175"/>
      <c r="H370" s="176">
        <v>18.5</v>
      </c>
      <c r="I370" s="177">
        <f t="shared" si="10"/>
        <v>49623.66</v>
      </c>
      <c r="J370" s="174" t="s">
        <v>1355</v>
      </c>
      <c r="K370" s="174" t="s">
        <v>2211</v>
      </c>
      <c r="L370" s="173" t="s">
        <v>2750</v>
      </c>
    </row>
    <row r="371" spans="1:12" x14ac:dyDescent="0.2">
      <c r="A371" s="133" t="s">
        <v>2753</v>
      </c>
      <c r="B371" s="238"/>
      <c r="C371" s="174" t="s">
        <v>2755</v>
      </c>
      <c r="D371" s="139" t="s">
        <v>1627</v>
      </c>
      <c r="E371" s="175">
        <v>2</v>
      </c>
      <c r="F371" s="175"/>
      <c r="G371" s="175"/>
      <c r="H371" s="176">
        <v>8320.34</v>
      </c>
      <c r="I371" s="177">
        <f t="shared" si="10"/>
        <v>16640.68</v>
      </c>
      <c r="J371" s="174" t="s">
        <v>1355</v>
      </c>
      <c r="K371" s="174" t="s">
        <v>2211</v>
      </c>
      <c r="L371" s="173" t="s">
        <v>2754</v>
      </c>
    </row>
    <row r="372" spans="1:12" x14ac:dyDescent="0.2">
      <c r="A372" s="133" t="s">
        <v>2757</v>
      </c>
      <c r="B372" s="238"/>
      <c r="C372" s="174" t="s">
        <v>2759</v>
      </c>
      <c r="D372" s="139" t="s">
        <v>1627</v>
      </c>
      <c r="E372" s="175">
        <v>12</v>
      </c>
      <c r="F372" s="175"/>
      <c r="G372" s="175"/>
      <c r="H372" s="176">
        <v>525150</v>
      </c>
      <c r="I372" s="177">
        <f t="shared" si="10"/>
        <v>6301800</v>
      </c>
      <c r="J372" s="174" t="s">
        <v>1355</v>
      </c>
      <c r="K372" s="174" t="s">
        <v>2211</v>
      </c>
      <c r="L372" s="173" t="s">
        <v>2758</v>
      </c>
    </row>
    <row r="373" spans="1:12" x14ac:dyDescent="0.2">
      <c r="A373" s="133" t="s">
        <v>2761</v>
      </c>
      <c r="B373" s="238"/>
      <c r="C373" s="174" t="s">
        <v>2763</v>
      </c>
      <c r="D373" s="179" t="s">
        <v>2764</v>
      </c>
      <c r="E373" s="175">
        <v>8</v>
      </c>
      <c r="F373" s="175"/>
      <c r="G373" s="175"/>
      <c r="H373" s="176">
        <v>282.29000000000002</v>
      </c>
      <c r="I373" s="177">
        <f t="shared" si="10"/>
        <v>2258.3200000000002</v>
      </c>
      <c r="J373" s="174" t="s">
        <v>1355</v>
      </c>
      <c r="K373" s="174" t="s">
        <v>2211</v>
      </c>
      <c r="L373" s="173" t="s">
        <v>2762</v>
      </c>
    </row>
    <row r="374" spans="1:12" x14ac:dyDescent="0.2">
      <c r="A374" s="133" t="s">
        <v>2766</v>
      </c>
      <c r="B374" s="238"/>
      <c r="C374" s="174" t="s">
        <v>2768</v>
      </c>
      <c r="D374" s="129" t="s">
        <v>1361</v>
      </c>
      <c r="E374" s="175">
        <v>258</v>
      </c>
      <c r="F374" s="175"/>
      <c r="G374" s="175"/>
      <c r="H374" s="176">
        <v>432.08</v>
      </c>
      <c r="I374" s="177">
        <f t="shared" si="10"/>
        <v>111476.64</v>
      </c>
      <c r="J374" s="174" t="s">
        <v>1355</v>
      </c>
      <c r="K374" s="174" t="s">
        <v>2211</v>
      </c>
      <c r="L374" s="173" t="s">
        <v>2767</v>
      </c>
    </row>
    <row r="375" spans="1:12" x14ac:dyDescent="0.2">
      <c r="A375" s="133" t="s">
        <v>2770</v>
      </c>
      <c r="B375" s="238"/>
      <c r="C375" s="174" t="s">
        <v>2772</v>
      </c>
      <c r="D375" s="139" t="s">
        <v>1383</v>
      </c>
      <c r="E375" s="175">
        <v>85</v>
      </c>
      <c r="F375" s="175"/>
      <c r="G375" s="175"/>
      <c r="H375" s="176">
        <v>31.37</v>
      </c>
      <c r="I375" s="177">
        <f t="shared" si="10"/>
        <v>2666.4500000000003</v>
      </c>
      <c r="J375" s="174" t="s">
        <v>1355</v>
      </c>
      <c r="K375" s="174" t="s">
        <v>2211</v>
      </c>
      <c r="L375" s="173" t="s">
        <v>2771</v>
      </c>
    </row>
    <row r="376" spans="1:12" x14ac:dyDescent="0.2">
      <c r="A376" s="133" t="s">
        <v>2774</v>
      </c>
      <c r="B376" s="238"/>
      <c r="C376" s="174" t="s">
        <v>1536</v>
      </c>
      <c r="D376" s="139" t="s">
        <v>1374</v>
      </c>
      <c r="E376" s="175">
        <v>96042.36</v>
      </c>
      <c r="F376" s="175"/>
      <c r="G376" s="175"/>
      <c r="H376" s="176">
        <v>10.92</v>
      </c>
      <c r="I376" s="177">
        <f t="shared" si="10"/>
        <v>1048782.5711999999</v>
      </c>
      <c r="J376" s="174" t="s">
        <v>1355</v>
      </c>
      <c r="K376" s="174" t="s">
        <v>2211</v>
      </c>
      <c r="L376" s="173" t="s">
        <v>2775</v>
      </c>
    </row>
    <row r="377" spans="1:12" x14ac:dyDescent="0.2">
      <c r="A377" s="133" t="s">
        <v>2777</v>
      </c>
      <c r="B377" s="238"/>
      <c r="C377" s="174" t="s">
        <v>1552</v>
      </c>
      <c r="D377" s="139" t="s">
        <v>1383</v>
      </c>
      <c r="E377" s="175">
        <v>42010.74</v>
      </c>
      <c r="F377" s="175"/>
      <c r="G377" s="175"/>
      <c r="H377" s="176">
        <v>80.069999999999993</v>
      </c>
      <c r="I377" s="177">
        <f t="shared" si="10"/>
        <v>3363799.9517999995</v>
      </c>
      <c r="J377" s="174" t="s">
        <v>1355</v>
      </c>
      <c r="K377" s="174" t="s">
        <v>2211</v>
      </c>
      <c r="L377" s="173" t="s">
        <v>2778</v>
      </c>
    </row>
    <row r="378" spans="1:12" x14ac:dyDescent="0.2">
      <c r="A378" s="133" t="s">
        <v>2780</v>
      </c>
      <c r="B378" s="238"/>
      <c r="C378" s="174" t="s">
        <v>1556</v>
      </c>
      <c r="D378" s="139" t="s">
        <v>1557</v>
      </c>
      <c r="E378" s="175">
        <v>4166324.98</v>
      </c>
      <c r="F378" s="175"/>
      <c r="G378" s="175"/>
      <c r="H378" s="176">
        <v>8.52</v>
      </c>
      <c r="I378" s="177">
        <f t="shared" si="10"/>
        <v>35497088.829599999</v>
      </c>
      <c r="J378" s="174" t="s">
        <v>1355</v>
      </c>
      <c r="K378" s="174" t="s">
        <v>2211</v>
      </c>
      <c r="L378" s="173" t="s">
        <v>2781</v>
      </c>
    </row>
    <row r="379" spans="1:12" x14ac:dyDescent="0.2">
      <c r="A379" s="133" t="s">
        <v>2783</v>
      </c>
      <c r="B379" s="238"/>
      <c r="C379" s="174" t="s">
        <v>1561</v>
      </c>
      <c r="D379" s="139" t="s">
        <v>1374</v>
      </c>
      <c r="E379" s="175">
        <v>759.98</v>
      </c>
      <c r="F379" s="175"/>
      <c r="G379" s="175"/>
      <c r="H379" s="176">
        <v>386.3</v>
      </c>
      <c r="I379" s="177">
        <f t="shared" si="10"/>
        <v>293580.27400000003</v>
      </c>
      <c r="J379" s="174" t="s">
        <v>1355</v>
      </c>
      <c r="K379" s="174" t="s">
        <v>2211</v>
      </c>
      <c r="L379" s="173" t="s">
        <v>2784</v>
      </c>
    </row>
    <row r="380" spans="1:12" x14ac:dyDescent="0.2">
      <c r="A380" s="133" t="s">
        <v>2786</v>
      </c>
      <c r="B380" s="238"/>
      <c r="C380" s="174" t="s">
        <v>1881</v>
      </c>
      <c r="D380" s="139" t="s">
        <v>1374</v>
      </c>
      <c r="E380" s="175">
        <v>5542.88</v>
      </c>
      <c r="F380" s="175"/>
      <c r="G380" s="175"/>
      <c r="H380" s="176">
        <v>483.41</v>
      </c>
      <c r="I380" s="177">
        <f t="shared" si="10"/>
        <v>2679483.6208000001</v>
      </c>
      <c r="J380" s="174" t="s">
        <v>1355</v>
      </c>
      <c r="K380" s="174" t="s">
        <v>2211</v>
      </c>
      <c r="L380" s="173" t="s">
        <v>2787</v>
      </c>
    </row>
    <row r="381" spans="1:12" x14ac:dyDescent="0.2">
      <c r="A381" s="133" t="s">
        <v>2789</v>
      </c>
      <c r="B381" s="238"/>
      <c r="C381" s="174" t="s">
        <v>1889</v>
      </c>
      <c r="D381" s="139" t="s">
        <v>1374</v>
      </c>
      <c r="E381" s="175">
        <v>26659.64</v>
      </c>
      <c r="F381" s="175"/>
      <c r="G381" s="175"/>
      <c r="H381" s="176">
        <v>493.31</v>
      </c>
      <c r="I381" s="177">
        <f t="shared" si="10"/>
        <v>13151467.008400001</v>
      </c>
      <c r="J381" s="174" t="s">
        <v>1355</v>
      </c>
      <c r="K381" s="174" t="s">
        <v>2211</v>
      </c>
      <c r="L381" s="173" t="s">
        <v>2790</v>
      </c>
    </row>
    <row r="382" spans="1:12" x14ac:dyDescent="0.2">
      <c r="A382" s="133" t="s">
        <v>2792</v>
      </c>
      <c r="B382" s="238"/>
      <c r="C382" s="174" t="s">
        <v>1585</v>
      </c>
      <c r="D382" s="139" t="s">
        <v>1383</v>
      </c>
      <c r="E382" s="175">
        <v>365.59</v>
      </c>
      <c r="F382" s="175"/>
      <c r="G382" s="175"/>
      <c r="H382" s="176">
        <v>34.409999999999997</v>
      </c>
      <c r="I382" s="177">
        <f t="shared" si="10"/>
        <v>12579.951899999998</v>
      </c>
      <c r="J382" s="174" t="s">
        <v>1355</v>
      </c>
      <c r="K382" s="174" t="s">
        <v>2211</v>
      </c>
      <c r="L382" s="173" t="s">
        <v>2793</v>
      </c>
    </row>
    <row r="383" spans="1:12" x14ac:dyDescent="0.2">
      <c r="A383" s="133" t="s">
        <v>2795</v>
      </c>
      <c r="B383" s="238"/>
      <c r="C383" s="174" t="s">
        <v>1593</v>
      </c>
      <c r="D383" s="139" t="s">
        <v>1374</v>
      </c>
      <c r="E383" s="175">
        <v>697.6</v>
      </c>
      <c r="F383" s="175"/>
      <c r="G383" s="175"/>
      <c r="H383" s="176">
        <v>24.16</v>
      </c>
      <c r="I383" s="177">
        <f t="shared" si="10"/>
        <v>16854.016</v>
      </c>
      <c r="J383" s="174" t="s">
        <v>1355</v>
      </c>
      <c r="K383" s="174" t="s">
        <v>2211</v>
      </c>
      <c r="L383" s="173" t="s">
        <v>2796</v>
      </c>
    </row>
    <row r="384" spans="1:12" x14ac:dyDescent="0.2">
      <c r="A384" s="133" t="s">
        <v>2798</v>
      </c>
      <c r="B384" s="238"/>
      <c r="C384" s="174" t="s">
        <v>2800</v>
      </c>
      <c r="D384" s="139" t="s">
        <v>1383</v>
      </c>
      <c r="E384" s="175">
        <v>1382.74</v>
      </c>
      <c r="F384" s="175"/>
      <c r="G384" s="175"/>
      <c r="H384" s="176">
        <v>87.57</v>
      </c>
      <c r="I384" s="177">
        <f t="shared" si="10"/>
        <v>121086.54179999999</v>
      </c>
      <c r="J384" s="174" t="s">
        <v>1355</v>
      </c>
      <c r="K384" s="174" t="s">
        <v>2211</v>
      </c>
      <c r="L384" s="173" t="s">
        <v>2799</v>
      </c>
    </row>
    <row r="385" spans="1:12" x14ac:dyDescent="0.2">
      <c r="A385" s="133" t="s">
        <v>2802</v>
      </c>
      <c r="B385" s="238"/>
      <c r="C385" s="174" t="s">
        <v>2804</v>
      </c>
      <c r="D385" s="139" t="s">
        <v>1383</v>
      </c>
      <c r="E385" s="175">
        <v>628.91</v>
      </c>
      <c r="F385" s="175"/>
      <c r="G385" s="175"/>
      <c r="H385" s="176">
        <v>86.79</v>
      </c>
      <c r="I385" s="177">
        <f t="shared" si="10"/>
        <v>54583.098900000005</v>
      </c>
      <c r="J385" s="174" t="s">
        <v>1355</v>
      </c>
      <c r="K385" s="174" t="s">
        <v>2211</v>
      </c>
      <c r="L385" s="173" t="s">
        <v>2803</v>
      </c>
    </row>
    <row r="386" spans="1:12" x14ac:dyDescent="0.2">
      <c r="A386" s="133" t="s">
        <v>2806</v>
      </c>
      <c r="B386" s="238"/>
      <c r="C386" s="174" t="s">
        <v>2808</v>
      </c>
      <c r="D386" s="129" t="s">
        <v>1361</v>
      </c>
      <c r="E386" s="175">
        <v>38</v>
      </c>
      <c r="F386" s="175"/>
      <c r="G386" s="175"/>
      <c r="H386" s="176">
        <v>88.2</v>
      </c>
      <c r="I386" s="177">
        <f t="shared" si="10"/>
        <v>3351.6</v>
      </c>
      <c r="J386" s="174" t="s">
        <v>1355</v>
      </c>
      <c r="K386" s="174" t="s">
        <v>2211</v>
      </c>
      <c r="L386" s="173" t="s">
        <v>2807</v>
      </c>
    </row>
    <row r="387" spans="1:12" x14ac:dyDescent="0.2">
      <c r="A387" s="133" t="s">
        <v>2810</v>
      </c>
      <c r="B387" s="238"/>
      <c r="C387" s="174" t="s">
        <v>2812</v>
      </c>
      <c r="D387" s="139" t="s">
        <v>1557</v>
      </c>
      <c r="E387" s="175">
        <v>1012428</v>
      </c>
      <c r="F387" s="175"/>
      <c r="G387" s="175"/>
      <c r="H387" s="176">
        <v>9.17</v>
      </c>
      <c r="I387" s="177">
        <f t="shared" si="10"/>
        <v>9283964.7599999998</v>
      </c>
      <c r="J387" s="174" t="s">
        <v>1355</v>
      </c>
      <c r="K387" s="174" t="s">
        <v>2211</v>
      </c>
      <c r="L387" s="173" t="s">
        <v>2811</v>
      </c>
    </row>
    <row r="388" spans="1:12" x14ac:dyDescent="0.2">
      <c r="A388" s="133" t="s">
        <v>2814</v>
      </c>
      <c r="B388" s="238"/>
      <c r="C388" s="174" t="s">
        <v>2816</v>
      </c>
      <c r="D388" s="139" t="s">
        <v>1374</v>
      </c>
      <c r="E388" s="175">
        <v>4301.74</v>
      </c>
      <c r="F388" s="175"/>
      <c r="G388" s="175"/>
      <c r="H388" s="176">
        <v>885.01</v>
      </c>
      <c r="I388" s="177">
        <f t="shared" si="10"/>
        <v>3807082.9173999997</v>
      </c>
      <c r="J388" s="174" t="s">
        <v>1355</v>
      </c>
      <c r="K388" s="174" t="s">
        <v>2211</v>
      </c>
      <c r="L388" s="173" t="s">
        <v>2815</v>
      </c>
    </row>
    <row r="389" spans="1:12" x14ac:dyDescent="0.2">
      <c r="A389" s="133" t="s">
        <v>2818</v>
      </c>
      <c r="B389" s="238"/>
      <c r="C389" s="174" t="s">
        <v>1784</v>
      </c>
      <c r="D389" s="129" t="s">
        <v>1361</v>
      </c>
      <c r="E389" s="175">
        <v>3876</v>
      </c>
      <c r="F389" s="175"/>
      <c r="G389" s="175"/>
      <c r="H389" s="176">
        <v>49.95</v>
      </c>
      <c r="I389" s="177">
        <f t="shared" si="10"/>
        <v>193606.2</v>
      </c>
      <c r="J389" s="174" t="s">
        <v>1355</v>
      </c>
      <c r="K389" s="174" t="s">
        <v>2211</v>
      </c>
      <c r="L389" s="173" t="s">
        <v>2819</v>
      </c>
    </row>
    <row r="390" spans="1:12" x14ac:dyDescent="0.2">
      <c r="A390" s="133" t="s">
        <v>2821</v>
      </c>
      <c r="B390" s="238"/>
      <c r="C390" s="174" t="s">
        <v>1788</v>
      </c>
      <c r="D390" s="129" t="s">
        <v>1361</v>
      </c>
      <c r="E390" s="175">
        <v>3876</v>
      </c>
      <c r="F390" s="175"/>
      <c r="G390" s="175"/>
      <c r="H390" s="176">
        <v>618.6</v>
      </c>
      <c r="I390" s="177">
        <f t="shared" si="10"/>
        <v>2397693.6</v>
      </c>
      <c r="J390" s="174" t="s">
        <v>1355</v>
      </c>
      <c r="K390" s="174" t="s">
        <v>2211</v>
      </c>
      <c r="L390" s="173" t="s">
        <v>2822</v>
      </c>
    </row>
    <row r="391" spans="1:12" x14ac:dyDescent="0.2">
      <c r="A391" s="133" t="s">
        <v>2824</v>
      </c>
      <c r="B391" s="238"/>
      <c r="C391" s="174" t="s">
        <v>2826</v>
      </c>
      <c r="D391" s="139" t="s">
        <v>1557</v>
      </c>
      <c r="E391" s="175">
        <v>240000</v>
      </c>
      <c r="F391" s="175"/>
      <c r="G391" s="175"/>
      <c r="H391" s="176">
        <v>4.9800000000000004</v>
      </c>
      <c r="I391" s="177">
        <f t="shared" si="10"/>
        <v>1195200</v>
      </c>
      <c r="J391" s="174" t="s">
        <v>1355</v>
      </c>
      <c r="K391" s="174" t="s">
        <v>2211</v>
      </c>
      <c r="L391" s="173" t="s">
        <v>2825</v>
      </c>
    </row>
    <row r="392" spans="1:12" x14ac:dyDescent="0.2">
      <c r="A392" s="133" t="s">
        <v>2828</v>
      </c>
      <c r="B392" s="238"/>
      <c r="C392" s="174" t="s">
        <v>2830</v>
      </c>
      <c r="D392" s="139" t="s">
        <v>1557</v>
      </c>
      <c r="E392" s="175">
        <v>240000</v>
      </c>
      <c r="F392" s="175"/>
      <c r="G392" s="175"/>
      <c r="H392" s="176">
        <v>1.67</v>
      </c>
      <c r="I392" s="177">
        <f t="shared" si="10"/>
        <v>400800</v>
      </c>
      <c r="J392" s="174" t="s">
        <v>1355</v>
      </c>
      <c r="K392" s="174" t="s">
        <v>2211</v>
      </c>
      <c r="L392" s="173" t="s">
        <v>2829</v>
      </c>
    </row>
    <row r="393" spans="1:12" x14ac:dyDescent="0.2">
      <c r="A393" s="133" t="s">
        <v>2832</v>
      </c>
      <c r="B393" s="238"/>
      <c r="C393" s="174" t="s">
        <v>2834</v>
      </c>
      <c r="D393" s="139" t="s">
        <v>1383</v>
      </c>
      <c r="E393" s="175">
        <v>7750</v>
      </c>
      <c r="F393" s="175"/>
      <c r="G393" s="175"/>
      <c r="H393" s="176">
        <v>240.45</v>
      </c>
      <c r="I393" s="177">
        <f t="shared" si="10"/>
        <v>1863487.5</v>
      </c>
      <c r="J393" s="174" t="s">
        <v>1355</v>
      </c>
      <c r="K393" s="174" t="s">
        <v>2211</v>
      </c>
      <c r="L393" s="173" t="s">
        <v>2833</v>
      </c>
    </row>
    <row r="394" spans="1:12" x14ac:dyDescent="0.2">
      <c r="A394" s="133" t="s">
        <v>2836</v>
      </c>
      <c r="B394" s="238"/>
      <c r="C394" s="174" t="s">
        <v>2837</v>
      </c>
      <c r="D394" s="129" t="s">
        <v>1361</v>
      </c>
      <c r="E394" s="175">
        <v>3600</v>
      </c>
      <c r="F394" s="175"/>
      <c r="G394" s="175"/>
      <c r="H394" s="176">
        <v>200</v>
      </c>
      <c r="I394" s="177">
        <f t="shared" si="10"/>
        <v>720000</v>
      </c>
      <c r="J394" s="174" t="s">
        <v>1355</v>
      </c>
      <c r="K394" s="174" t="s">
        <v>2211</v>
      </c>
      <c r="L394" s="173" t="s">
        <v>3613</v>
      </c>
    </row>
    <row r="395" spans="1:12" ht="13.5" thickBot="1" x14ac:dyDescent="0.25">
      <c r="A395" s="140" t="s">
        <v>2839</v>
      </c>
      <c r="B395" s="239"/>
      <c r="C395" s="181" t="s">
        <v>2841</v>
      </c>
      <c r="D395" s="139" t="s">
        <v>1557</v>
      </c>
      <c r="E395" s="182">
        <v>4366</v>
      </c>
      <c r="F395" s="182"/>
      <c r="G395" s="182"/>
      <c r="H395" s="183">
        <v>25.15</v>
      </c>
      <c r="I395" s="184">
        <f t="shared" si="10"/>
        <v>109804.9</v>
      </c>
      <c r="J395" s="181" t="s">
        <v>1355</v>
      </c>
      <c r="K395" s="181" t="s">
        <v>2211</v>
      </c>
      <c r="L395" s="180" t="s">
        <v>2840</v>
      </c>
    </row>
    <row r="396" spans="1:12" ht="13.5" thickBot="1" x14ac:dyDescent="0.25">
      <c r="A396" s="147">
        <v>12</v>
      </c>
      <c r="B396" s="240"/>
      <c r="C396" s="150" t="str">
        <f>K396</f>
        <v xml:space="preserve"> ELÉTRICA / ILUMINAÇÃO (INFRA-ESTRUTURA)  </v>
      </c>
      <c r="D396" s="150"/>
      <c r="E396" s="151"/>
      <c r="F396" s="151"/>
      <c r="G396" s="151"/>
      <c r="H396" s="152"/>
      <c r="I396" s="153"/>
      <c r="J396" s="149" t="s">
        <v>1355</v>
      </c>
      <c r="K396" s="149" t="s">
        <v>2843</v>
      </c>
      <c r="L396" s="166" t="s">
        <v>3613</v>
      </c>
    </row>
    <row r="397" spans="1:12" x14ac:dyDescent="0.2">
      <c r="A397" s="154" t="s">
        <v>2845</v>
      </c>
      <c r="B397" s="241"/>
      <c r="C397" s="128" t="s">
        <v>2846</v>
      </c>
      <c r="D397" s="179" t="s">
        <v>2764</v>
      </c>
      <c r="E397" s="155">
        <v>7</v>
      </c>
      <c r="F397" s="155"/>
      <c r="G397" s="155"/>
      <c r="H397" s="156">
        <v>43351.4</v>
      </c>
      <c r="I397" s="157">
        <f>E397*H397</f>
        <v>303459.8</v>
      </c>
      <c r="J397" s="128" t="s">
        <v>1355</v>
      </c>
      <c r="K397" s="128" t="s">
        <v>2843</v>
      </c>
      <c r="L397" s="127" t="s">
        <v>3613</v>
      </c>
    </row>
    <row r="398" spans="1:12" x14ac:dyDescent="0.2">
      <c r="A398" s="158" t="s">
        <v>2848</v>
      </c>
      <c r="B398" s="242"/>
      <c r="C398" s="135" t="s">
        <v>2850</v>
      </c>
      <c r="D398" s="129" t="s">
        <v>1361</v>
      </c>
      <c r="E398" s="159">
        <v>1340</v>
      </c>
      <c r="F398" s="159"/>
      <c r="G398" s="159"/>
      <c r="H398" s="160">
        <v>21.34</v>
      </c>
      <c r="I398" s="161">
        <f t="shared" ref="I398:I461" si="11">E398*H398</f>
        <v>28595.599999999999</v>
      </c>
      <c r="J398" s="135" t="s">
        <v>1355</v>
      </c>
      <c r="K398" s="135" t="s">
        <v>2843</v>
      </c>
      <c r="L398" s="134" t="s">
        <v>2849</v>
      </c>
    </row>
    <row r="399" spans="1:12" x14ac:dyDescent="0.2">
      <c r="A399" s="158" t="s">
        <v>2852</v>
      </c>
      <c r="B399" s="242"/>
      <c r="C399" s="135" t="s">
        <v>2854</v>
      </c>
      <c r="D399" s="129" t="s">
        <v>1361</v>
      </c>
      <c r="E399" s="159">
        <v>170</v>
      </c>
      <c r="F399" s="159"/>
      <c r="G399" s="159"/>
      <c r="H399" s="160">
        <v>8.19</v>
      </c>
      <c r="I399" s="161">
        <f t="shared" si="11"/>
        <v>1392.3</v>
      </c>
      <c r="J399" s="135" t="s">
        <v>1355</v>
      </c>
      <c r="K399" s="135" t="s">
        <v>2843</v>
      </c>
      <c r="L399" s="134" t="s">
        <v>2853</v>
      </c>
    </row>
    <row r="400" spans="1:12" x14ac:dyDescent="0.2">
      <c r="A400" s="158" t="s">
        <v>2856</v>
      </c>
      <c r="B400" s="242"/>
      <c r="C400" s="135" t="s">
        <v>2857</v>
      </c>
      <c r="D400" s="179" t="s">
        <v>2764</v>
      </c>
      <c r="E400" s="159">
        <v>7</v>
      </c>
      <c r="F400" s="159"/>
      <c r="G400" s="159"/>
      <c r="H400" s="160">
        <v>113.58</v>
      </c>
      <c r="I400" s="161">
        <f t="shared" si="11"/>
        <v>795.06</v>
      </c>
      <c r="J400" s="135" t="s">
        <v>1355</v>
      </c>
      <c r="K400" s="135" t="s">
        <v>2843</v>
      </c>
      <c r="L400" s="134" t="s">
        <v>3613</v>
      </c>
    </row>
    <row r="401" spans="1:12" x14ac:dyDescent="0.2">
      <c r="A401" s="158" t="s">
        <v>2859</v>
      </c>
      <c r="B401" s="242"/>
      <c r="C401" s="135" t="s">
        <v>2861</v>
      </c>
      <c r="D401" s="129" t="s">
        <v>1361</v>
      </c>
      <c r="E401" s="159">
        <v>2720</v>
      </c>
      <c r="F401" s="159"/>
      <c r="G401" s="159"/>
      <c r="H401" s="160">
        <v>8.6</v>
      </c>
      <c r="I401" s="161">
        <f t="shared" si="11"/>
        <v>23392</v>
      </c>
      <c r="J401" s="135" t="s">
        <v>1355</v>
      </c>
      <c r="K401" s="135" t="s">
        <v>2843</v>
      </c>
      <c r="L401" s="134" t="s">
        <v>2860</v>
      </c>
    </row>
    <row r="402" spans="1:12" x14ac:dyDescent="0.2">
      <c r="A402" s="158" t="s">
        <v>2863</v>
      </c>
      <c r="B402" s="242"/>
      <c r="C402" s="135" t="s">
        <v>2865</v>
      </c>
      <c r="D402" s="129" t="s">
        <v>1361</v>
      </c>
      <c r="E402" s="159">
        <v>500</v>
      </c>
      <c r="F402" s="159"/>
      <c r="G402" s="159"/>
      <c r="H402" s="160">
        <v>74.709999999999994</v>
      </c>
      <c r="I402" s="161">
        <f t="shared" si="11"/>
        <v>37355</v>
      </c>
      <c r="J402" s="135" t="s">
        <v>1355</v>
      </c>
      <c r="K402" s="135" t="s">
        <v>2843</v>
      </c>
      <c r="L402" s="134" t="s">
        <v>2864</v>
      </c>
    </row>
    <row r="403" spans="1:12" x14ac:dyDescent="0.2">
      <c r="A403" s="158" t="s">
        <v>2867</v>
      </c>
      <c r="B403" s="242"/>
      <c r="C403" s="135" t="s">
        <v>2869</v>
      </c>
      <c r="D403" s="129" t="s">
        <v>1361</v>
      </c>
      <c r="E403" s="159">
        <v>3200</v>
      </c>
      <c r="F403" s="159"/>
      <c r="G403" s="159"/>
      <c r="H403" s="160">
        <v>11.61</v>
      </c>
      <c r="I403" s="161">
        <f t="shared" si="11"/>
        <v>37152</v>
      </c>
      <c r="J403" s="135" t="s">
        <v>1355</v>
      </c>
      <c r="K403" s="135" t="s">
        <v>2843</v>
      </c>
      <c r="L403" s="134" t="s">
        <v>2868</v>
      </c>
    </row>
    <row r="404" spans="1:12" x14ac:dyDescent="0.2">
      <c r="A404" s="158" t="s">
        <v>2871</v>
      </c>
      <c r="B404" s="242"/>
      <c r="C404" s="135" t="s">
        <v>2873</v>
      </c>
      <c r="D404" s="129" t="s">
        <v>1361</v>
      </c>
      <c r="E404" s="159">
        <v>860</v>
      </c>
      <c r="F404" s="159"/>
      <c r="G404" s="159"/>
      <c r="H404" s="160">
        <v>16.48</v>
      </c>
      <c r="I404" s="161">
        <f t="shared" si="11"/>
        <v>14172.800000000001</v>
      </c>
      <c r="J404" s="135" t="s">
        <v>1355</v>
      </c>
      <c r="K404" s="135" t="s">
        <v>2843</v>
      </c>
      <c r="L404" s="134" t="s">
        <v>2872</v>
      </c>
    </row>
    <row r="405" spans="1:12" x14ac:dyDescent="0.2">
      <c r="A405" s="158" t="s">
        <v>2875</v>
      </c>
      <c r="B405" s="242"/>
      <c r="C405" s="135" t="s">
        <v>2877</v>
      </c>
      <c r="D405" s="129" t="s">
        <v>1361</v>
      </c>
      <c r="E405" s="159">
        <v>2610</v>
      </c>
      <c r="F405" s="159"/>
      <c r="G405" s="159"/>
      <c r="H405" s="160">
        <v>33.25</v>
      </c>
      <c r="I405" s="161">
        <f t="shared" si="11"/>
        <v>86782.5</v>
      </c>
      <c r="J405" s="135" t="s">
        <v>1355</v>
      </c>
      <c r="K405" s="135" t="s">
        <v>2843</v>
      </c>
      <c r="L405" s="134" t="s">
        <v>2876</v>
      </c>
    </row>
    <row r="406" spans="1:12" x14ac:dyDescent="0.2">
      <c r="A406" s="158" t="s">
        <v>2879</v>
      </c>
      <c r="B406" s="242"/>
      <c r="C406" s="135" t="s">
        <v>2881</v>
      </c>
      <c r="D406" s="129" t="s">
        <v>1361</v>
      </c>
      <c r="E406" s="159">
        <v>80</v>
      </c>
      <c r="F406" s="159"/>
      <c r="G406" s="159"/>
      <c r="H406" s="160">
        <v>45.94</v>
      </c>
      <c r="I406" s="161">
        <f t="shared" si="11"/>
        <v>3675.2</v>
      </c>
      <c r="J406" s="135" t="s">
        <v>1355</v>
      </c>
      <c r="K406" s="135" t="s">
        <v>2843</v>
      </c>
      <c r="L406" s="134" t="s">
        <v>2880</v>
      </c>
    </row>
    <row r="407" spans="1:12" x14ac:dyDescent="0.2">
      <c r="A407" s="158" t="s">
        <v>2883</v>
      </c>
      <c r="B407" s="242"/>
      <c r="C407" s="135" t="s">
        <v>2885</v>
      </c>
      <c r="D407" s="129" t="s">
        <v>1361</v>
      </c>
      <c r="E407" s="159">
        <v>320</v>
      </c>
      <c r="F407" s="159"/>
      <c r="G407" s="159"/>
      <c r="H407" s="160">
        <v>8.2899999999999991</v>
      </c>
      <c r="I407" s="161">
        <f t="shared" si="11"/>
        <v>2652.7999999999997</v>
      </c>
      <c r="J407" s="135" t="s">
        <v>1355</v>
      </c>
      <c r="K407" s="135" t="s">
        <v>2843</v>
      </c>
      <c r="L407" s="134" t="s">
        <v>2884</v>
      </c>
    </row>
    <row r="408" spans="1:12" x14ac:dyDescent="0.2">
      <c r="A408" s="158" t="s">
        <v>2887</v>
      </c>
      <c r="B408" s="242"/>
      <c r="C408" s="135" t="s">
        <v>2889</v>
      </c>
      <c r="D408" s="129" t="s">
        <v>1361</v>
      </c>
      <c r="E408" s="159">
        <v>1320</v>
      </c>
      <c r="F408" s="159"/>
      <c r="G408" s="159"/>
      <c r="H408" s="160">
        <v>73.599999999999994</v>
      </c>
      <c r="I408" s="161">
        <f t="shared" si="11"/>
        <v>97151.999999999985</v>
      </c>
      <c r="J408" s="135" t="s">
        <v>1355</v>
      </c>
      <c r="K408" s="135" t="s">
        <v>2843</v>
      </c>
      <c r="L408" s="134" t="s">
        <v>2888</v>
      </c>
    </row>
    <row r="409" spans="1:12" x14ac:dyDescent="0.2">
      <c r="A409" s="158" t="s">
        <v>2891</v>
      </c>
      <c r="B409" s="242"/>
      <c r="C409" s="135" t="s">
        <v>2893</v>
      </c>
      <c r="D409" s="129" t="s">
        <v>1361</v>
      </c>
      <c r="E409" s="159">
        <v>200</v>
      </c>
      <c r="F409" s="159"/>
      <c r="G409" s="159"/>
      <c r="H409" s="160">
        <v>11.46</v>
      </c>
      <c r="I409" s="161">
        <f t="shared" si="11"/>
        <v>2292</v>
      </c>
      <c r="J409" s="135" t="s">
        <v>1355</v>
      </c>
      <c r="K409" s="135" t="s">
        <v>2843</v>
      </c>
      <c r="L409" s="134" t="s">
        <v>2892</v>
      </c>
    </row>
    <row r="410" spans="1:12" x14ac:dyDescent="0.2">
      <c r="A410" s="158" t="s">
        <v>2895</v>
      </c>
      <c r="B410" s="242"/>
      <c r="C410" s="135" t="s">
        <v>2897</v>
      </c>
      <c r="D410" s="129" t="s">
        <v>1361</v>
      </c>
      <c r="E410" s="159">
        <v>800</v>
      </c>
      <c r="F410" s="159"/>
      <c r="G410" s="159"/>
      <c r="H410" s="160">
        <v>137.86000000000001</v>
      </c>
      <c r="I410" s="161">
        <f t="shared" si="11"/>
        <v>110288.00000000001</v>
      </c>
      <c r="J410" s="135" t="s">
        <v>1355</v>
      </c>
      <c r="K410" s="135" t="s">
        <v>2843</v>
      </c>
      <c r="L410" s="134" t="s">
        <v>2896</v>
      </c>
    </row>
    <row r="411" spans="1:12" x14ac:dyDescent="0.2">
      <c r="A411" s="158" t="s">
        <v>2899</v>
      </c>
      <c r="B411" s="242"/>
      <c r="C411" s="135" t="s">
        <v>2901</v>
      </c>
      <c r="D411" s="129" t="s">
        <v>1361</v>
      </c>
      <c r="E411" s="159">
        <v>1500</v>
      </c>
      <c r="F411" s="159"/>
      <c r="G411" s="159"/>
      <c r="H411" s="160">
        <v>138.94</v>
      </c>
      <c r="I411" s="161">
        <f t="shared" si="11"/>
        <v>208410</v>
      </c>
      <c r="J411" s="135" t="s">
        <v>1355</v>
      </c>
      <c r="K411" s="135" t="s">
        <v>2843</v>
      </c>
      <c r="L411" s="134" t="s">
        <v>2900</v>
      </c>
    </row>
    <row r="412" spans="1:12" x14ac:dyDescent="0.2">
      <c r="A412" s="158" t="s">
        <v>2903</v>
      </c>
      <c r="B412" s="242"/>
      <c r="C412" s="135" t="s">
        <v>2905</v>
      </c>
      <c r="D412" s="129" t="s">
        <v>1361</v>
      </c>
      <c r="E412" s="159">
        <v>400</v>
      </c>
      <c r="F412" s="159"/>
      <c r="G412" s="159"/>
      <c r="H412" s="160">
        <v>15.58</v>
      </c>
      <c r="I412" s="161">
        <f t="shared" si="11"/>
        <v>6232</v>
      </c>
      <c r="J412" s="135" t="s">
        <v>1355</v>
      </c>
      <c r="K412" s="135" t="s">
        <v>2843</v>
      </c>
      <c r="L412" s="134" t="s">
        <v>2904</v>
      </c>
    </row>
    <row r="413" spans="1:12" x14ac:dyDescent="0.2">
      <c r="A413" s="158" t="s">
        <v>2907</v>
      </c>
      <c r="B413" s="242"/>
      <c r="C413" s="135" t="s">
        <v>2909</v>
      </c>
      <c r="D413" s="129" t="s">
        <v>1361</v>
      </c>
      <c r="E413" s="159">
        <v>1000</v>
      </c>
      <c r="F413" s="159"/>
      <c r="G413" s="159"/>
      <c r="H413" s="160">
        <v>24.06</v>
      </c>
      <c r="I413" s="161">
        <f t="shared" si="11"/>
        <v>24060</v>
      </c>
      <c r="J413" s="135" t="s">
        <v>1355</v>
      </c>
      <c r="K413" s="135" t="s">
        <v>2843</v>
      </c>
      <c r="L413" s="134" t="s">
        <v>2908</v>
      </c>
    </row>
    <row r="414" spans="1:12" x14ac:dyDescent="0.2">
      <c r="A414" s="158" t="s">
        <v>2911</v>
      </c>
      <c r="B414" s="242"/>
      <c r="C414" s="135" t="s">
        <v>2913</v>
      </c>
      <c r="D414" s="129" t="s">
        <v>1361</v>
      </c>
      <c r="E414" s="159">
        <v>400</v>
      </c>
      <c r="F414" s="159"/>
      <c r="G414" s="159"/>
      <c r="H414" s="160">
        <v>21.99</v>
      </c>
      <c r="I414" s="161">
        <f t="shared" si="11"/>
        <v>8796</v>
      </c>
      <c r="J414" s="135" t="s">
        <v>1355</v>
      </c>
      <c r="K414" s="135" t="s">
        <v>2843</v>
      </c>
      <c r="L414" s="134" t="s">
        <v>2912</v>
      </c>
    </row>
    <row r="415" spans="1:12" x14ac:dyDescent="0.2">
      <c r="A415" s="158" t="s">
        <v>2915</v>
      </c>
      <c r="B415" s="242"/>
      <c r="C415" s="135" t="s">
        <v>2917</v>
      </c>
      <c r="D415" s="129" t="s">
        <v>1361</v>
      </c>
      <c r="E415" s="159">
        <v>430</v>
      </c>
      <c r="F415" s="159"/>
      <c r="G415" s="159"/>
      <c r="H415" s="160">
        <v>31.12</v>
      </c>
      <c r="I415" s="161">
        <f t="shared" si="11"/>
        <v>13381.6</v>
      </c>
      <c r="J415" s="135" t="s">
        <v>1355</v>
      </c>
      <c r="K415" s="135" t="s">
        <v>2843</v>
      </c>
      <c r="L415" s="134" t="s">
        <v>2916</v>
      </c>
    </row>
    <row r="416" spans="1:12" x14ac:dyDescent="0.2">
      <c r="A416" s="158" t="s">
        <v>2919</v>
      </c>
      <c r="B416" s="242"/>
      <c r="C416" s="135" t="s">
        <v>2921</v>
      </c>
      <c r="D416" s="129" t="s">
        <v>1361</v>
      </c>
      <c r="E416" s="159">
        <v>430</v>
      </c>
      <c r="F416" s="159"/>
      <c r="G416" s="159"/>
      <c r="H416" s="160">
        <v>54.57</v>
      </c>
      <c r="I416" s="161">
        <f t="shared" si="11"/>
        <v>23465.1</v>
      </c>
      <c r="J416" s="135" t="s">
        <v>1355</v>
      </c>
      <c r="K416" s="135" t="s">
        <v>2843</v>
      </c>
      <c r="L416" s="134" t="s">
        <v>2920</v>
      </c>
    </row>
    <row r="417" spans="1:12" x14ac:dyDescent="0.2">
      <c r="A417" s="158" t="s">
        <v>2923</v>
      </c>
      <c r="B417" s="242"/>
      <c r="C417" s="135" t="s">
        <v>2925</v>
      </c>
      <c r="D417" s="129" t="s">
        <v>1361</v>
      </c>
      <c r="E417" s="159">
        <v>400</v>
      </c>
      <c r="F417" s="159"/>
      <c r="G417" s="159"/>
      <c r="H417" s="160">
        <v>4.79</v>
      </c>
      <c r="I417" s="161">
        <f t="shared" si="11"/>
        <v>1916</v>
      </c>
      <c r="J417" s="135" t="s">
        <v>1355</v>
      </c>
      <c r="K417" s="135" t="s">
        <v>2843</v>
      </c>
      <c r="L417" s="134" t="s">
        <v>2924</v>
      </c>
    </row>
    <row r="418" spans="1:12" x14ac:dyDescent="0.2">
      <c r="A418" s="158" t="s">
        <v>2927</v>
      </c>
      <c r="B418" s="242"/>
      <c r="C418" s="135" t="s">
        <v>2929</v>
      </c>
      <c r="D418" s="129" t="s">
        <v>1361</v>
      </c>
      <c r="E418" s="159">
        <v>100</v>
      </c>
      <c r="F418" s="159"/>
      <c r="G418" s="159"/>
      <c r="H418" s="160">
        <v>6.03</v>
      </c>
      <c r="I418" s="161">
        <f t="shared" si="11"/>
        <v>603</v>
      </c>
      <c r="J418" s="135" t="s">
        <v>1355</v>
      </c>
      <c r="K418" s="135" t="s">
        <v>2843</v>
      </c>
      <c r="L418" s="134" t="s">
        <v>2928</v>
      </c>
    </row>
    <row r="419" spans="1:12" x14ac:dyDescent="0.2">
      <c r="A419" s="158" t="s">
        <v>2931</v>
      </c>
      <c r="B419" s="242"/>
      <c r="C419" s="135" t="s">
        <v>2933</v>
      </c>
      <c r="D419" s="129" t="s">
        <v>1361</v>
      </c>
      <c r="E419" s="159">
        <v>1000</v>
      </c>
      <c r="F419" s="159"/>
      <c r="G419" s="159"/>
      <c r="H419" s="160">
        <v>15.12</v>
      </c>
      <c r="I419" s="161">
        <f t="shared" si="11"/>
        <v>15120</v>
      </c>
      <c r="J419" s="135" t="s">
        <v>1355</v>
      </c>
      <c r="K419" s="135" t="s">
        <v>2843</v>
      </c>
      <c r="L419" s="134" t="s">
        <v>2932</v>
      </c>
    </row>
    <row r="420" spans="1:12" x14ac:dyDescent="0.2">
      <c r="A420" s="158" t="s">
        <v>2935</v>
      </c>
      <c r="B420" s="242"/>
      <c r="C420" s="135" t="s">
        <v>2937</v>
      </c>
      <c r="D420" s="129" t="s">
        <v>1361</v>
      </c>
      <c r="E420" s="159">
        <v>13750</v>
      </c>
      <c r="F420" s="159"/>
      <c r="G420" s="159"/>
      <c r="H420" s="160">
        <v>47.05</v>
      </c>
      <c r="I420" s="161">
        <f t="shared" si="11"/>
        <v>646937.5</v>
      </c>
      <c r="J420" s="135" t="s">
        <v>1355</v>
      </c>
      <c r="K420" s="135" t="s">
        <v>2843</v>
      </c>
      <c r="L420" s="134" t="s">
        <v>2936</v>
      </c>
    </row>
    <row r="421" spans="1:12" x14ac:dyDescent="0.2">
      <c r="A421" s="158" t="s">
        <v>2939</v>
      </c>
      <c r="B421" s="242"/>
      <c r="C421" s="135" t="s">
        <v>2940</v>
      </c>
      <c r="D421" s="129" t="s">
        <v>1361</v>
      </c>
      <c r="E421" s="159">
        <v>1800</v>
      </c>
      <c r="F421" s="159"/>
      <c r="G421" s="159"/>
      <c r="H421" s="160">
        <v>19.13</v>
      </c>
      <c r="I421" s="161">
        <f t="shared" si="11"/>
        <v>34434</v>
      </c>
      <c r="J421" s="135" t="s">
        <v>1355</v>
      </c>
      <c r="K421" s="135" t="s">
        <v>2843</v>
      </c>
      <c r="L421" s="134">
        <v>390407</v>
      </c>
    </row>
    <row r="422" spans="1:12" x14ac:dyDescent="0.2">
      <c r="A422" s="158" t="s">
        <v>2942</v>
      </c>
      <c r="B422" s="242"/>
      <c r="C422" s="135" t="s">
        <v>2944</v>
      </c>
      <c r="D422" s="129" t="s">
        <v>1361</v>
      </c>
      <c r="E422" s="159">
        <v>41000</v>
      </c>
      <c r="F422" s="159"/>
      <c r="G422" s="159"/>
      <c r="H422" s="160">
        <v>3.24</v>
      </c>
      <c r="I422" s="161">
        <f t="shared" si="11"/>
        <v>132840</v>
      </c>
      <c r="J422" s="135" t="s">
        <v>1355</v>
      </c>
      <c r="K422" s="135" t="s">
        <v>2843</v>
      </c>
      <c r="L422" s="134" t="s">
        <v>2943</v>
      </c>
    </row>
    <row r="423" spans="1:12" x14ac:dyDescent="0.2">
      <c r="A423" s="158" t="s">
        <v>2946</v>
      </c>
      <c r="B423" s="242"/>
      <c r="C423" s="135" t="s">
        <v>2948</v>
      </c>
      <c r="D423" s="129" t="s">
        <v>1361</v>
      </c>
      <c r="E423" s="159">
        <v>450</v>
      </c>
      <c r="F423" s="159"/>
      <c r="G423" s="159"/>
      <c r="H423" s="160">
        <v>3.29</v>
      </c>
      <c r="I423" s="161">
        <f t="shared" si="11"/>
        <v>1480.5</v>
      </c>
      <c r="J423" s="135" t="s">
        <v>1355</v>
      </c>
      <c r="K423" s="135" t="s">
        <v>2843</v>
      </c>
      <c r="L423" s="134" t="s">
        <v>2947</v>
      </c>
    </row>
    <row r="424" spans="1:12" x14ac:dyDescent="0.2">
      <c r="A424" s="158" t="s">
        <v>2950</v>
      </c>
      <c r="B424" s="242"/>
      <c r="C424" s="135" t="s">
        <v>2952</v>
      </c>
      <c r="D424" s="129" t="s">
        <v>1361</v>
      </c>
      <c r="E424" s="159">
        <v>10</v>
      </c>
      <c r="F424" s="159"/>
      <c r="G424" s="159"/>
      <c r="H424" s="160">
        <v>5.74</v>
      </c>
      <c r="I424" s="161">
        <f t="shared" si="11"/>
        <v>57.400000000000006</v>
      </c>
      <c r="J424" s="135" t="s">
        <v>1355</v>
      </c>
      <c r="K424" s="135" t="s">
        <v>2843</v>
      </c>
      <c r="L424" s="134" t="s">
        <v>2951</v>
      </c>
    </row>
    <row r="425" spans="1:12" x14ac:dyDescent="0.2">
      <c r="A425" s="158" t="s">
        <v>2954</v>
      </c>
      <c r="B425" s="242"/>
      <c r="C425" s="135" t="s">
        <v>2956</v>
      </c>
      <c r="D425" s="129" t="s">
        <v>1361</v>
      </c>
      <c r="E425" s="159">
        <v>41000</v>
      </c>
      <c r="F425" s="159"/>
      <c r="G425" s="159"/>
      <c r="H425" s="160">
        <v>3.29</v>
      </c>
      <c r="I425" s="161">
        <f t="shared" si="11"/>
        <v>134890</v>
      </c>
      <c r="J425" s="135" t="s">
        <v>1355</v>
      </c>
      <c r="K425" s="135" t="s">
        <v>2843</v>
      </c>
      <c r="L425" s="134" t="s">
        <v>2955</v>
      </c>
    </row>
    <row r="426" spans="1:12" x14ac:dyDescent="0.2">
      <c r="A426" s="158" t="s">
        <v>2958</v>
      </c>
      <c r="B426" s="242"/>
      <c r="C426" s="135" t="s">
        <v>2960</v>
      </c>
      <c r="D426" s="129" t="s">
        <v>1361</v>
      </c>
      <c r="E426" s="159">
        <v>2600</v>
      </c>
      <c r="F426" s="159"/>
      <c r="G426" s="159"/>
      <c r="H426" s="160">
        <v>6.62</v>
      </c>
      <c r="I426" s="161">
        <f t="shared" si="11"/>
        <v>17212</v>
      </c>
      <c r="J426" s="135" t="s">
        <v>1355</v>
      </c>
      <c r="K426" s="135" t="s">
        <v>2843</v>
      </c>
      <c r="L426" s="134" t="s">
        <v>2959</v>
      </c>
    </row>
    <row r="427" spans="1:12" x14ac:dyDescent="0.2">
      <c r="A427" s="158" t="s">
        <v>2962</v>
      </c>
      <c r="B427" s="242"/>
      <c r="C427" s="135" t="s">
        <v>2963</v>
      </c>
      <c r="D427" s="129" t="s">
        <v>1361</v>
      </c>
      <c r="E427" s="159">
        <v>29500</v>
      </c>
      <c r="F427" s="159"/>
      <c r="G427" s="159"/>
      <c r="H427" s="160">
        <v>11.46</v>
      </c>
      <c r="I427" s="161">
        <f t="shared" si="11"/>
        <v>338070</v>
      </c>
      <c r="J427" s="135" t="s">
        <v>1355</v>
      </c>
      <c r="K427" s="135" t="s">
        <v>2843</v>
      </c>
      <c r="L427" s="134" t="s">
        <v>2892</v>
      </c>
    </row>
    <row r="428" spans="1:12" x14ac:dyDescent="0.2">
      <c r="A428" s="158" t="s">
        <v>2965</v>
      </c>
      <c r="B428" s="242"/>
      <c r="C428" s="135" t="s">
        <v>2966</v>
      </c>
      <c r="D428" s="129" t="s">
        <v>1361</v>
      </c>
      <c r="E428" s="159">
        <v>260</v>
      </c>
      <c r="F428" s="159"/>
      <c r="G428" s="159"/>
      <c r="H428" s="160">
        <v>31.75</v>
      </c>
      <c r="I428" s="161">
        <f t="shared" si="11"/>
        <v>8255</v>
      </c>
      <c r="J428" s="135" t="s">
        <v>1355</v>
      </c>
      <c r="K428" s="135" t="s">
        <v>2843</v>
      </c>
      <c r="L428" s="134">
        <v>39260102</v>
      </c>
    </row>
    <row r="429" spans="1:12" x14ac:dyDescent="0.2">
      <c r="A429" s="158" t="s">
        <v>2968</v>
      </c>
      <c r="B429" s="242"/>
      <c r="C429" s="135" t="s">
        <v>2969</v>
      </c>
      <c r="D429" s="129" t="s">
        <v>1361</v>
      </c>
      <c r="E429" s="159">
        <v>1950</v>
      </c>
      <c r="F429" s="159"/>
      <c r="G429" s="159"/>
      <c r="H429" s="160">
        <v>15.88</v>
      </c>
      <c r="I429" s="161">
        <f t="shared" si="11"/>
        <v>30966</v>
      </c>
      <c r="J429" s="135" t="s">
        <v>1355</v>
      </c>
      <c r="K429" s="135" t="s">
        <v>2843</v>
      </c>
      <c r="L429" s="134">
        <v>39260101</v>
      </c>
    </row>
    <row r="430" spans="1:12" x14ac:dyDescent="0.2">
      <c r="A430" s="158" t="s">
        <v>2971</v>
      </c>
      <c r="B430" s="242"/>
      <c r="C430" s="135" t="s">
        <v>2972</v>
      </c>
      <c r="D430" s="179" t="s">
        <v>2764</v>
      </c>
      <c r="E430" s="159">
        <v>42</v>
      </c>
      <c r="F430" s="159"/>
      <c r="G430" s="159"/>
      <c r="H430" s="160">
        <v>1368.25</v>
      </c>
      <c r="I430" s="161">
        <f t="shared" si="11"/>
        <v>57466.5</v>
      </c>
      <c r="J430" s="135" t="s">
        <v>1355</v>
      </c>
      <c r="K430" s="135" t="s">
        <v>2843</v>
      </c>
      <c r="L430" s="134" t="s">
        <v>3613</v>
      </c>
    </row>
    <row r="431" spans="1:12" x14ac:dyDescent="0.2">
      <c r="A431" s="158" t="s">
        <v>2974</v>
      </c>
      <c r="B431" s="242"/>
      <c r="C431" s="135" t="s">
        <v>2975</v>
      </c>
      <c r="D431" s="179" t="s">
        <v>2764</v>
      </c>
      <c r="E431" s="159">
        <v>12</v>
      </c>
      <c r="F431" s="159"/>
      <c r="G431" s="159"/>
      <c r="H431" s="160">
        <v>1307.07</v>
      </c>
      <c r="I431" s="161">
        <f t="shared" si="11"/>
        <v>15684.84</v>
      </c>
      <c r="J431" s="135" t="s">
        <v>1355</v>
      </c>
      <c r="K431" s="135" t="s">
        <v>2843</v>
      </c>
      <c r="L431" s="134" t="s">
        <v>3613</v>
      </c>
    </row>
    <row r="432" spans="1:12" x14ac:dyDescent="0.2">
      <c r="A432" s="158" t="s">
        <v>2977</v>
      </c>
      <c r="B432" s="242"/>
      <c r="C432" s="135" t="s">
        <v>2978</v>
      </c>
      <c r="D432" s="179" t="s">
        <v>2764</v>
      </c>
      <c r="E432" s="159">
        <v>194</v>
      </c>
      <c r="F432" s="159"/>
      <c r="G432" s="159"/>
      <c r="H432" s="160">
        <v>755.06</v>
      </c>
      <c r="I432" s="161">
        <f t="shared" si="11"/>
        <v>146481.63999999998</v>
      </c>
      <c r="J432" s="135" t="s">
        <v>1355</v>
      </c>
      <c r="K432" s="135" t="s">
        <v>2843</v>
      </c>
      <c r="L432" s="134" t="s">
        <v>3613</v>
      </c>
    </row>
    <row r="433" spans="1:12" x14ac:dyDescent="0.2">
      <c r="A433" s="158" t="s">
        <v>2980</v>
      </c>
      <c r="B433" s="242"/>
      <c r="C433" s="135" t="s">
        <v>2982</v>
      </c>
      <c r="D433" s="139" t="s">
        <v>2983</v>
      </c>
      <c r="E433" s="159">
        <v>105</v>
      </c>
      <c r="F433" s="159"/>
      <c r="G433" s="159"/>
      <c r="H433" s="160">
        <v>47.33</v>
      </c>
      <c r="I433" s="161">
        <f t="shared" si="11"/>
        <v>4969.6499999999996</v>
      </c>
      <c r="J433" s="135" t="s">
        <v>1355</v>
      </c>
      <c r="K433" s="135" t="s">
        <v>2843</v>
      </c>
      <c r="L433" s="134" t="s">
        <v>2981</v>
      </c>
    </row>
    <row r="434" spans="1:12" x14ac:dyDescent="0.2">
      <c r="A434" s="158" t="s">
        <v>2985</v>
      </c>
      <c r="B434" s="242"/>
      <c r="C434" s="135" t="s">
        <v>2987</v>
      </c>
      <c r="D434" s="129" t="s">
        <v>1361</v>
      </c>
      <c r="E434" s="159">
        <v>5600</v>
      </c>
      <c r="F434" s="159"/>
      <c r="G434" s="159"/>
      <c r="H434" s="160">
        <v>54.59</v>
      </c>
      <c r="I434" s="161">
        <f t="shared" si="11"/>
        <v>305704</v>
      </c>
      <c r="J434" s="135" t="s">
        <v>1355</v>
      </c>
      <c r="K434" s="135" t="s">
        <v>2843</v>
      </c>
      <c r="L434" s="134" t="s">
        <v>2986</v>
      </c>
    </row>
    <row r="435" spans="1:12" x14ac:dyDescent="0.2">
      <c r="A435" s="158" t="s">
        <v>2989</v>
      </c>
      <c r="B435" s="242"/>
      <c r="C435" s="135" t="s">
        <v>2990</v>
      </c>
      <c r="D435" s="179" t="s">
        <v>2764</v>
      </c>
      <c r="E435" s="159">
        <v>1</v>
      </c>
      <c r="F435" s="159"/>
      <c r="G435" s="159"/>
      <c r="H435" s="160">
        <v>58.12</v>
      </c>
      <c r="I435" s="161">
        <f t="shared" si="11"/>
        <v>58.12</v>
      </c>
      <c r="J435" s="135" t="s">
        <v>1355</v>
      </c>
      <c r="K435" s="135" t="s">
        <v>2843</v>
      </c>
      <c r="L435" s="134" t="s">
        <v>3613</v>
      </c>
    </row>
    <row r="436" spans="1:12" x14ac:dyDescent="0.2">
      <c r="A436" s="158" t="s">
        <v>2992</v>
      </c>
      <c r="B436" s="242"/>
      <c r="C436" s="135" t="s">
        <v>2993</v>
      </c>
      <c r="D436" s="179" t="s">
        <v>2764</v>
      </c>
      <c r="E436" s="159">
        <v>109</v>
      </c>
      <c r="F436" s="159"/>
      <c r="G436" s="159"/>
      <c r="H436" s="160">
        <v>66.62</v>
      </c>
      <c r="I436" s="161">
        <f t="shared" si="11"/>
        <v>7261.5800000000008</v>
      </c>
      <c r="J436" s="135" t="s">
        <v>1355</v>
      </c>
      <c r="K436" s="135" t="s">
        <v>2843</v>
      </c>
      <c r="L436" s="134" t="s">
        <v>3613</v>
      </c>
    </row>
    <row r="437" spans="1:12" x14ac:dyDescent="0.2">
      <c r="A437" s="158" t="s">
        <v>2995</v>
      </c>
      <c r="B437" s="242"/>
      <c r="C437" s="135" t="s">
        <v>2996</v>
      </c>
      <c r="D437" s="179" t="s">
        <v>2764</v>
      </c>
      <c r="E437" s="159">
        <v>58</v>
      </c>
      <c r="F437" s="159"/>
      <c r="G437" s="159"/>
      <c r="H437" s="160">
        <v>37.6</v>
      </c>
      <c r="I437" s="161">
        <f t="shared" si="11"/>
        <v>2180.8000000000002</v>
      </c>
      <c r="J437" s="135" t="s">
        <v>1355</v>
      </c>
      <c r="K437" s="135" t="s">
        <v>2843</v>
      </c>
      <c r="L437" s="134" t="s">
        <v>3613</v>
      </c>
    </row>
    <row r="438" spans="1:12" x14ac:dyDescent="0.2">
      <c r="A438" s="158" t="s">
        <v>2998</v>
      </c>
      <c r="B438" s="242"/>
      <c r="C438" s="135" t="s">
        <v>2999</v>
      </c>
      <c r="D438" s="179" t="s">
        <v>2764</v>
      </c>
      <c r="E438" s="159">
        <v>132</v>
      </c>
      <c r="F438" s="159"/>
      <c r="G438" s="159"/>
      <c r="H438" s="160">
        <v>31.25</v>
      </c>
      <c r="I438" s="161">
        <f t="shared" si="11"/>
        <v>4125</v>
      </c>
      <c r="J438" s="135" t="s">
        <v>1355</v>
      </c>
      <c r="K438" s="135" t="s">
        <v>2843</v>
      </c>
      <c r="L438" s="134" t="s">
        <v>3613</v>
      </c>
    </row>
    <row r="439" spans="1:12" x14ac:dyDescent="0.2">
      <c r="A439" s="158" t="s">
        <v>3001</v>
      </c>
      <c r="B439" s="242"/>
      <c r="C439" s="135" t="s">
        <v>3002</v>
      </c>
      <c r="D439" s="179" t="s">
        <v>2764</v>
      </c>
      <c r="E439" s="159">
        <v>75</v>
      </c>
      <c r="F439" s="159"/>
      <c r="G439" s="159"/>
      <c r="H439" s="160">
        <v>43.94</v>
      </c>
      <c r="I439" s="161">
        <f t="shared" si="11"/>
        <v>3295.5</v>
      </c>
      <c r="J439" s="135" t="s">
        <v>1355</v>
      </c>
      <c r="K439" s="135" t="s">
        <v>2843</v>
      </c>
      <c r="L439" s="134" t="s">
        <v>3613</v>
      </c>
    </row>
    <row r="440" spans="1:12" x14ac:dyDescent="0.2">
      <c r="A440" s="158" t="s">
        <v>3004</v>
      </c>
      <c r="B440" s="242"/>
      <c r="C440" s="135" t="s">
        <v>3005</v>
      </c>
      <c r="D440" s="179" t="s">
        <v>2764</v>
      </c>
      <c r="E440" s="159">
        <v>68</v>
      </c>
      <c r="F440" s="159"/>
      <c r="G440" s="159"/>
      <c r="H440" s="160">
        <v>50.29</v>
      </c>
      <c r="I440" s="161">
        <f t="shared" si="11"/>
        <v>3419.72</v>
      </c>
      <c r="J440" s="135" t="s">
        <v>1355</v>
      </c>
      <c r="K440" s="135" t="s">
        <v>2843</v>
      </c>
      <c r="L440" s="134" t="s">
        <v>3613</v>
      </c>
    </row>
    <row r="441" spans="1:12" x14ac:dyDescent="0.2">
      <c r="A441" s="158" t="s">
        <v>3007</v>
      </c>
      <c r="B441" s="242"/>
      <c r="C441" s="135" t="s">
        <v>3008</v>
      </c>
      <c r="D441" s="179" t="s">
        <v>2764</v>
      </c>
      <c r="E441" s="159">
        <v>23</v>
      </c>
      <c r="F441" s="159"/>
      <c r="G441" s="159"/>
      <c r="H441" s="160">
        <v>74.25</v>
      </c>
      <c r="I441" s="161">
        <f t="shared" si="11"/>
        <v>1707.75</v>
      </c>
      <c r="J441" s="135" t="s">
        <v>1355</v>
      </c>
      <c r="K441" s="135" t="s">
        <v>2843</v>
      </c>
      <c r="L441" s="134" t="s">
        <v>3613</v>
      </c>
    </row>
    <row r="442" spans="1:12" x14ac:dyDescent="0.2">
      <c r="A442" s="158" t="s">
        <v>3010</v>
      </c>
      <c r="B442" s="242"/>
      <c r="C442" s="135" t="s">
        <v>3011</v>
      </c>
      <c r="D442" s="179" t="s">
        <v>2764</v>
      </c>
      <c r="E442" s="159">
        <v>11</v>
      </c>
      <c r="F442" s="159"/>
      <c r="G442" s="159"/>
      <c r="H442" s="160">
        <v>66.62</v>
      </c>
      <c r="I442" s="161">
        <f t="shared" si="11"/>
        <v>732.82</v>
      </c>
      <c r="J442" s="135" t="s">
        <v>1355</v>
      </c>
      <c r="K442" s="135" t="s">
        <v>2843</v>
      </c>
      <c r="L442" s="134" t="s">
        <v>3613</v>
      </c>
    </row>
    <row r="443" spans="1:12" x14ac:dyDescent="0.2">
      <c r="A443" s="158" t="s">
        <v>3013</v>
      </c>
      <c r="B443" s="242"/>
      <c r="C443" s="135" t="s">
        <v>3014</v>
      </c>
      <c r="D443" s="179" t="s">
        <v>2764</v>
      </c>
      <c r="E443" s="159">
        <v>51</v>
      </c>
      <c r="F443" s="159"/>
      <c r="G443" s="159"/>
      <c r="H443" s="160">
        <v>74.25</v>
      </c>
      <c r="I443" s="161">
        <f t="shared" si="11"/>
        <v>3786.75</v>
      </c>
      <c r="J443" s="135" t="s">
        <v>1355</v>
      </c>
      <c r="K443" s="135" t="s">
        <v>2843</v>
      </c>
      <c r="L443" s="134" t="s">
        <v>3613</v>
      </c>
    </row>
    <row r="444" spans="1:12" x14ac:dyDescent="0.2">
      <c r="A444" s="158" t="s">
        <v>3016</v>
      </c>
      <c r="B444" s="242"/>
      <c r="C444" s="135" t="s">
        <v>3017</v>
      </c>
      <c r="D444" s="179" t="s">
        <v>2764</v>
      </c>
      <c r="E444" s="159">
        <v>105</v>
      </c>
      <c r="F444" s="159"/>
      <c r="G444" s="159"/>
      <c r="H444" s="160">
        <v>43.94</v>
      </c>
      <c r="I444" s="161">
        <f t="shared" si="11"/>
        <v>4613.7</v>
      </c>
      <c r="J444" s="135" t="s">
        <v>1355</v>
      </c>
      <c r="K444" s="135" t="s">
        <v>2843</v>
      </c>
      <c r="L444" s="134" t="s">
        <v>3613</v>
      </c>
    </row>
    <row r="445" spans="1:12" x14ac:dyDescent="0.2">
      <c r="A445" s="158" t="s">
        <v>3019</v>
      </c>
      <c r="B445" s="242"/>
      <c r="C445" s="135" t="s">
        <v>3020</v>
      </c>
      <c r="D445" s="129" t="s">
        <v>1361</v>
      </c>
      <c r="E445" s="159">
        <v>2750</v>
      </c>
      <c r="F445" s="159"/>
      <c r="G445" s="159"/>
      <c r="H445" s="160">
        <v>12.69</v>
      </c>
      <c r="I445" s="161">
        <f t="shared" si="11"/>
        <v>34897.5</v>
      </c>
      <c r="J445" s="135" t="s">
        <v>1355</v>
      </c>
      <c r="K445" s="135" t="s">
        <v>2843</v>
      </c>
      <c r="L445" s="134">
        <v>392606</v>
      </c>
    </row>
    <row r="446" spans="1:12" x14ac:dyDescent="0.2">
      <c r="A446" s="158" t="s">
        <v>3022</v>
      </c>
      <c r="B446" s="242"/>
      <c r="C446" s="135" t="s">
        <v>3023</v>
      </c>
      <c r="D446" s="129" t="s">
        <v>1361</v>
      </c>
      <c r="E446" s="159">
        <v>1100</v>
      </c>
      <c r="F446" s="159"/>
      <c r="G446" s="159"/>
      <c r="H446" s="160">
        <v>17.79</v>
      </c>
      <c r="I446" s="161">
        <f t="shared" si="11"/>
        <v>19569</v>
      </c>
      <c r="J446" s="135" t="s">
        <v>1355</v>
      </c>
      <c r="K446" s="135" t="s">
        <v>2843</v>
      </c>
      <c r="L446" s="134">
        <v>392607</v>
      </c>
    </row>
    <row r="447" spans="1:12" x14ac:dyDescent="0.2">
      <c r="A447" s="158" t="s">
        <v>3025</v>
      </c>
      <c r="B447" s="242"/>
      <c r="C447" s="135" t="s">
        <v>3026</v>
      </c>
      <c r="D447" s="129" t="s">
        <v>1361</v>
      </c>
      <c r="E447" s="159">
        <v>82600</v>
      </c>
      <c r="F447" s="159"/>
      <c r="G447" s="159"/>
      <c r="H447" s="160">
        <v>23.95</v>
      </c>
      <c r="I447" s="161">
        <f t="shared" si="11"/>
        <v>1978270</v>
      </c>
      <c r="J447" s="135" t="s">
        <v>1355</v>
      </c>
      <c r="K447" s="135" t="s">
        <v>2843</v>
      </c>
      <c r="L447" s="134">
        <v>392608</v>
      </c>
    </row>
    <row r="448" spans="1:12" x14ac:dyDescent="0.2">
      <c r="A448" s="158" t="s">
        <v>3028</v>
      </c>
      <c r="B448" s="242"/>
      <c r="C448" s="135" t="s">
        <v>3030</v>
      </c>
      <c r="D448" s="139" t="s">
        <v>1614</v>
      </c>
      <c r="E448" s="159">
        <v>3100</v>
      </c>
      <c r="F448" s="159"/>
      <c r="G448" s="159"/>
      <c r="H448" s="160">
        <v>34.159999999999997</v>
      </c>
      <c r="I448" s="161">
        <f t="shared" si="11"/>
        <v>105895.99999999999</v>
      </c>
      <c r="J448" s="135" t="s">
        <v>1355</v>
      </c>
      <c r="K448" s="135" t="s">
        <v>2843</v>
      </c>
      <c r="L448" s="134" t="s">
        <v>3029</v>
      </c>
    </row>
    <row r="449" spans="1:12" x14ac:dyDescent="0.2">
      <c r="A449" s="158" t="s">
        <v>3032</v>
      </c>
      <c r="B449" s="242"/>
      <c r="C449" s="135" t="s">
        <v>3033</v>
      </c>
      <c r="D449" s="129" t="s">
        <v>1361</v>
      </c>
      <c r="E449" s="159">
        <v>5000</v>
      </c>
      <c r="F449" s="159"/>
      <c r="G449" s="159"/>
      <c r="H449" s="160">
        <v>60.25</v>
      </c>
      <c r="I449" s="161">
        <f t="shared" si="11"/>
        <v>301250</v>
      </c>
      <c r="J449" s="135" t="s">
        <v>1355</v>
      </c>
      <c r="K449" s="135" t="s">
        <v>2843</v>
      </c>
      <c r="L449" s="134">
        <v>392611</v>
      </c>
    </row>
    <row r="450" spans="1:12" x14ac:dyDescent="0.2">
      <c r="A450" s="158" t="s">
        <v>3035</v>
      </c>
      <c r="B450" s="242"/>
      <c r="C450" s="135" t="s">
        <v>3036</v>
      </c>
      <c r="D450" s="139" t="s">
        <v>2983</v>
      </c>
      <c r="E450" s="159">
        <v>194</v>
      </c>
      <c r="F450" s="159"/>
      <c r="G450" s="159"/>
      <c r="H450" s="160">
        <v>380.7</v>
      </c>
      <c r="I450" s="161">
        <f t="shared" si="11"/>
        <v>73855.8</v>
      </c>
      <c r="J450" s="135" t="s">
        <v>1355</v>
      </c>
      <c r="K450" s="135" t="s">
        <v>2843</v>
      </c>
      <c r="L450" s="134" t="s">
        <v>3613</v>
      </c>
    </row>
    <row r="451" spans="1:12" x14ac:dyDescent="0.2">
      <c r="A451" s="158" t="s">
        <v>3038</v>
      </c>
      <c r="B451" s="242"/>
      <c r="C451" s="135" t="s">
        <v>3039</v>
      </c>
      <c r="D451" s="139" t="s">
        <v>2983</v>
      </c>
      <c r="E451" s="159">
        <v>388</v>
      </c>
      <c r="F451" s="159"/>
      <c r="G451" s="159"/>
      <c r="H451" s="160">
        <v>228.42</v>
      </c>
      <c r="I451" s="161">
        <f t="shared" si="11"/>
        <v>88626.959999999992</v>
      </c>
      <c r="J451" s="135" t="s">
        <v>1355</v>
      </c>
      <c r="K451" s="135" t="s">
        <v>2843</v>
      </c>
      <c r="L451" s="134" t="s">
        <v>3613</v>
      </c>
    </row>
    <row r="452" spans="1:12" x14ac:dyDescent="0.2">
      <c r="A452" s="158" t="s">
        <v>3041</v>
      </c>
      <c r="B452" s="242"/>
      <c r="C452" s="135" t="s">
        <v>3042</v>
      </c>
      <c r="D452" s="139" t="s">
        <v>2983</v>
      </c>
      <c r="E452" s="159">
        <v>9</v>
      </c>
      <c r="F452" s="159"/>
      <c r="G452" s="159"/>
      <c r="H452" s="160">
        <v>283446</v>
      </c>
      <c r="I452" s="161">
        <f t="shared" si="11"/>
        <v>2551014</v>
      </c>
      <c r="J452" s="135" t="s">
        <v>1355</v>
      </c>
      <c r="K452" s="135" t="s">
        <v>2843</v>
      </c>
      <c r="L452" s="134" t="s">
        <v>3613</v>
      </c>
    </row>
    <row r="453" spans="1:12" x14ac:dyDescent="0.2">
      <c r="A453" s="158" t="s">
        <v>3044</v>
      </c>
      <c r="B453" s="242"/>
      <c r="C453" s="135" t="s">
        <v>3045</v>
      </c>
      <c r="D453" s="139" t="s">
        <v>2983</v>
      </c>
      <c r="E453" s="159">
        <v>3</v>
      </c>
      <c r="F453" s="159"/>
      <c r="G453" s="159"/>
      <c r="H453" s="160">
        <v>283446</v>
      </c>
      <c r="I453" s="161">
        <f t="shared" si="11"/>
        <v>850338</v>
      </c>
      <c r="J453" s="135" t="s">
        <v>1355</v>
      </c>
      <c r="K453" s="135" t="s">
        <v>2843</v>
      </c>
      <c r="L453" s="134" t="s">
        <v>3613</v>
      </c>
    </row>
    <row r="454" spans="1:12" x14ac:dyDescent="0.2">
      <c r="A454" s="158" t="s">
        <v>3047</v>
      </c>
      <c r="B454" s="242"/>
      <c r="C454" s="135" t="s">
        <v>3048</v>
      </c>
      <c r="D454" s="139" t="s">
        <v>1627</v>
      </c>
      <c r="E454" s="159">
        <v>8</v>
      </c>
      <c r="F454" s="159"/>
      <c r="G454" s="159"/>
      <c r="H454" s="160">
        <v>73.709999999999994</v>
      </c>
      <c r="I454" s="161">
        <f t="shared" si="11"/>
        <v>589.67999999999995</v>
      </c>
      <c r="J454" s="135" t="s">
        <v>1355</v>
      </c>
      <c r="K454" s="135" t="s">
        <v>2843</v>
      </c>
      <c r="L454" s="134" t="s">
        <v>3613</v>
      </c>
    </row>
    <row r="455" spans="1:12" x14ac:dyDescent="0.2">
      <c r="A455" s="158" t="s">
        <v>3050</v>
      </c>
      <c r="B455" s="242"/>
      <c r="C455" s="135" t="s">
        <v>3051</v>
      </c>
      <c r="D455" s="139" t="s">
        <v>1627</v>
      </c>
      <c r="E455" s="159">
        <v>23</v>
      </c>
      <c r="F455" s="159"/>
      <c r="G455" s="159"/>
      <c r="H455" s="160">
        <v>287.12</v>
      </c>
      <c r="I455" s="161">
        <f t="shared" si="11"/>
        <v>6603.76</v>
      </c>
      <c r="J455" s="135" t="s">
        <v>1355</v>
      </c>
      <c r="K455" s="135" t="s">
        <v>2843</v>
      </c>
      <c r="L455" s="134" t="s">
        <v>3613</v>
      </c>
    </row>
    <row r="456" spans="1:12" x14ac:dyDescent="0.2">
      <c r="A456" s="158" t="s">
        <v>3053</v>
      </c>
      <c r="B456" s="242"/>
      <c r="C456" s="135" t="s">
        <v>3054</v>
      </c>
      <c r="D456" s="139" t="s">
        <v>1627</v>
      </c>
      <c r="E456" s="159">
        <v>8</v>
      </c>
      <c r="F456" s="159"/>
      <c r="G456" s="159"/>
      <c r="H456" s="160">
        <v>63</v>
      </c>
      <c r="I456" s="161">
        <f t="shared" si="11"/>
        <v>504</v>
      </c>
      <c r="J456" s="135" t="s">
        <v>1355</v>
      </c>
      <c r="K456" s="135" t="s">
        <v>2843</v>
      </c>
      <c r="L456" s="134" t="s">
        <v>3613</v>
      </c>
    </row>
    <row r="457" spans="1:12" x14ac:dyDescent="0.2">
      <c r="A457" s="158" t="s">
        <v>3056</v>
      </c>
      <c r="B457" s="242"/>
      <c r="C457" s="135" t="s">
        <v>3057</v>
      </c>
      <c r="D457" s="139" t="s">
        <v>1627</v>
      </c>
      <c r="E457" s="159">
        <v>22</v>
      </c>
      <c r="F457" s="159"/>
      <c r="G457" s="159"/>
      <c r="H457" s="160">
        <v>377.53</v>
      </c>
      <c r="I457" s="161">
        <f t="shared" si="11"/>
        <v>8305.66</v>
      </c>
      <c r="J457" s="135" t="s">
        <v>1355</v>
      </c>
      <c r="K457" s="135" t="s">
        <v>2843</v>
      </c>
      <c r="L457" s="134" t="s">
        <v>3613</v>
      </c>
    </row>
    <row r="458" spans="1:12" x14ac:dyDescent="0.2">
      <c r="A458" s="158" t="s">
        <v>3059</v>
      </c>
      <c r="B458" s="242"/>
      <c r="C458" s="135" t="s">
        <v>3061</v>
      </c>
      <c r="D458" s="129" t="s">
        <v>1361</v>
      </c>
      <c r="E458" s="159">
        <v>2180</v>
      </c>
      <c r="F458" s="159"/>
      <c r="G458" s="159"/>
      <c r="H458" s="160">
        <v>200.08</v>
      </c>
      <c r="I458" s="161">
        <f t="shared" si="11"/>
        <v>436174.4</v>
      </c>
      <c r="J458" s="135" t="s">
        <v>1355</v>
      </c>
      <c r="K458" s="135" t="s">
        <v>2843</v>
      </c>
      <c r="L458" s="134" t="s">
        <v>3060</v>
      </c>
    </row>
    <row r="459" spans="1:12" x14ac:dyDescent="0.2">
      <c r="A459" s="158" t="s">
        <v>3063</v>
      </c>
      <c r="B459" s="242"/>
      <c r="C459" s="135" t="s">
        <v>3065</v>
      </c>
      <c r="D459" s="129" t="s">
        <v>1361</v>
      </c>
      <c r="E459" s="159">
        <v>2100</v>
      </c>
      <c r="F459" s="159"/>
      <c r="G459" s="159"/>
      <c r="H459" s="160">
        <v>200.08</v>
      </c>
      <c r="I459" s="161">
        <f t="shared" si="11"/>
        <v>420168</v>
      </c>
      <c r="J459" s="135" t="s">
        <v>1355</v>
      </c>
      <c r="K459" s="135" t="s">
        <v>2843</v>
      </c>
      <c r="L459" s="134" t="s">
        <v>3064</v>
      </c>
    </row>
    <row r="460" spans="1:12" x14ac:dyDescent="0.2">
      <c r="A460" s="158" t="s">
        <v>3067</v>
      </c>
      <c r="B460" s="242"/>
      <c r="C460" s="135" t="s">
        <v>3069</v>
      </c>
      <c r="D460" s="129" t="s">
        <v>1361</v>
      </c>
      <c r="E460" s="159">
        <v>156</v>
      </c>
      <c r="F460" s="159"/>
      <c r="G460" s="159"/>
      <c r="H460" s="160">
        <v>145.88</v>
      </c>
      <c r="I460" s="161">
        <f t="shared" si="11"/>
        <v>22757.279999999999</v>
      </c>
      <c r="J460" s="135" t="s">
        <v>1355</v>
      </c>
      <c r="K460" s="135" t="s">
        <v>2843</v>
      </c>
      <c r="L460" s="134" t="s">
        <v>3068</v>
      </c>
    </row>
    <row r="461" spans="1:12" x14ac:dyDescent="0.2">
      <c r="A461" s="158" t="s">
        <v>3071</v>
      </c>
      <c r="B461" s="242"/>
      <c r="C461" s="135" t="s">
        <v>3072</v>
      </c>
      <c r="D461" s="129" t="s">
        <v>1361</v>
      </c>
      <c r="E461" s="159">
        <v>4300</v>
      </c>
      <c r="F461" s="159"/>
      <c r="G461" s="159"/>
      <c r="H461" s="160">
        <v>50.29</v>
      </c>
      <c r="I461" s="161">
        <f t="shared" si="11"/>
        <v>216247</v>
      </c>
      <c r="J461" s="135" t="s">
        <v>1355</v>
      </c>
      <c r="K461" s="135" t="s">
        <v>2843</v>
      </c>
      <c r="L461" s="134">
        <v>380608</v>
      </c>
    </row>
    <row r="462" spans="1:12" x14ac:dyDescent="0.2">
      <c r="A462" s="158" t="s">
        <v>3074</v>
      </c>
      <c r="B462" s="242"/>
      <c r="C462" s="135" t="s">
        <v>3075</v>
      </c>
      <c r="D462" s="129" t="s">
        <v>1361</v>
      </c>
      <c r="E462" s="159">
        <v>6350</v>
      </c>
      <c r="F462" s="159"/>
      <c r="G462" s="159"/>
      <c r="H462" s="160">
        <v>69.09</v>
      </c>
      <c r="I462" s="161">
        <f t="shared" ref="I462:I525" si="12">E462*H462</f>
        <v>438721.5</v>
      </c>
      <c r="J462" s="135" t="s">
        <v>1355</v>
      </c>
      <c r="K462" s="135" t="s">
        <v>2843</v>
      </c>
      <c r="L462" s="134">
        <v>380612</v>
      </c>
    </row>
    <row r="463" spans="1:12" x14ac:dyDescent="0.2">
      <c r="A463" s="158" t="s">
        <v>3077</v>
      </c>
      <c r="B463" s="242"/>
      <c r="C463" s="135" t="s">
        <v>3078</v>
      </c>
      <c r="D463" s="129" t="s">
        <v>1361</v>
      </c>
      <c r="E463" s="159">
        <v>17300</v>
      </c>
      <c r="F463" s="159"/>
      <c r="G463" s="159"/>
      <c r="H463" s="160">
        <v>33.22</v>
      </c>
      <c r="I463" s="161">
        <f t="shared" si="12"/>
        <v>574706</v>
      </c>
      <c r="J463" s="135" t="s">
        <v>1355</v>
      </c>
      <c r="K463" s="135" t="s">
        <v>2843</v>
      </c>
      <c r="L463" s="134">
        <v>380604</v>
      </c>
    </row>
    <row r="464" spans="1:12" x14ac:dyDescent="0.2">
      <c r="A464" s="158" t="s">
        <v>3080</v>
      </c>
      <c r="B464" s="242"/>
      <c r="C464" s="135" t="s">
        <v>3081</v>
      </c>
      <c r="D464" s="129" t="s">
        <v>1361</v>
      </c>
      <c r="E464" s="159">
        <v>640</v>
      </c>
      <c r="F464" s="159"/>
      <c r="G464" s="159"/>
      <c r="H464" s="160">
        <v>137.82</v>
      </c>
      <c r="I464" s="161">
        <f t="shared" si="12"/>
        <v>88204.799999999988</v>
      </c>
      <c r="J464" s="135" t="s">
        <v>1355</v>
      </c>
      <c r="K464" s="135" t="s">
        <v>2843</v>
      </c>
      <c r="L464" s="134">
        <v>380618</v>
      </c>
    </row>
    <row r="465" spans="1:12" x14ac:dyDescent="0.2">
      <c r="A465" s="158" t="s">
        <v>3083</v>
      </c>
      <c r="B465" s="242"/>
      <c r="C465" s="135" t="s">
        <v>3084</v>
      </c>
      <c r="D465" s="129" t="s">
        <v>1361</v>
      </c>
      <c r="E465" s="159">
        <v>6</v>
      </c>
      <c r="F465" s="159"/>
      <c r="G465" s="159"/>
      <c r="H465" s="160">
        <v>39.68</v>
      </c>
      <c r="I465" s="161">
        <f t="shared" si="12"/>
        <v>238.07999999999998</v>
      </c>
      <c r="J465" s="135" t="s">
        <v>1355</v>
      </c>
      <c r="K465" s="135" t="s">
        <v>2843</v>
      </c>
      <c r="L465" s="134">
        <v>380606</v>
      </c>
    </row>
    <row r="466" spans="1:12" x14ac:dyDescent="0.2">
      <c r="A466" s="158" t="s">
        <v>3086</v>
      </c>
      <c r="B466" s="242"/>
      <c r="C466" s="135" t="s">
        <v>3088</v>
      </c>
      <c r="D466" s="129" t="s">
        <v>1361</v>
      </c>
      <c r="E466" s="159">
        <v>99</v>
      </c>
      <c r="F466" s="159"/>
      <c r="G466" s="159"/>
      <c r="H466" s="160">
        <v>60.14</v>
      </c>
      <c r="I466" s="161">
        <f t="shared" si="12"/>
        <v>5953.86</v>
      </c>
      <c r="J466" s="135" t="s">
        <v>1355</v>
      </c>
      <c r="K466" s="135" t="s">
        <v>2843</v>
      </c>
      <c r="L466" s="134" t="s">
        <v>3087</v>
      </c>
    </row>
    <row r="467" spans="1:12" x14ac:dyDescent="0.2">
      <c r="A467" s="158" t="s">
        <v>3090</v>
      </c>
      <c r="B467" s="242"/>
      <c r="C467" s="135" t="s">
        <v>3092</v>
      </c>
      <c r="D467" s="129" t="s">
        <v>1361</v>
      </c>
      <c r="E467" s="159">
        <v>180</v>
      </c>
      <c r="F467" s="159"/>
      <c r="G467" s="159"/>
      <c r="H467" s="160">
        <v>33.72</v>
      </c>
      <c r="I467" s="161">
        <f t="shared" si="12"/>
        <v>6069.5999999999995</v>
      </c>
      <c r="J467" s="135" t="s">
        <v>1355</v>
      </c>
      <c r="K467" s="135" t="s">
        <v>2843</v>
      </c>
      <c r="L467" s="134" t="s">
        <v>3091</v>
      </c>
    </row>
    <row r="468" spans="1:12" x14ac:dyDescent="0.2">
      <c r="A468" s="158" t="s">
        <v>3094</v>
      </c>
      <c r="B468" s="242"/>
      <c r="C468" s="135" t="s">
        <v>3096</v>
      </c>
      <c r="D468" s="129" t="s">
        <v>1361</v>
      </c>
      <c r="E468" s="159">
        <v>90</v>
      </c>
      <c r="F468" s="159"/>
      <c r="G468" s="159"/>
      <c r="H468" s="160">
        <v>105.89</v>
      </c>
      <c r="I468" s="161">
        <f t="shared" si="12"/>
        <v>9530.1</v>
      </c>
      <c r="J468" s="135" t="s">
        <v>1355</v>
      </c>
      <c r="K468" s="135" t="s">
        <v>2843</v>
      </c>
      <c r="L468" s="134" t="s">
        <v>3095</v>
      </c>
    </row>
    <row r="469" spans="1:12" x14ac:dyDescent="0.2">
      <c r="A469" s="158" t="s">
        <v>3098</v>
      </c>
      <c r="B469" s="242"/>
      <c r="C469" s="135" t="s">
        <v>3099</v>
      </c>
      <c r="D469" s="179" t="s">
        <v>2764</v>
      </c>
      <c r="E469" s="159">
        <v>12</v>
      </c>
      <c r="F469" s="159"/>
      <c r="G469" s="159"/>
      <c r="H469" s="160">
        <v>103.64</v>
      </c>
      <c r="I469" s="161">
        <f t="shared" si="12"/>
        <v>1243.68</v>
      </c>
      <c r="J469" s="135" t="s">
        <v>1355</v>
      </c>
      <c r="K469" s="135" t="s">
        <v>2843</v>
      </c>
      <c r="L469" s="134">
        <v>38880612</v>
      </c>
    </row>
    <row r="470" spans="1:12" x14ac:dyDescent="0.2">
      <c r="A470" s="158" t="s">
        <v>3101</v>
      </c>
      <c r="B470" s="242"/>
      <c r="C470" s="135" t="s">
        <v>3102</v>
      </c>
      <c r="D470" s="179" t="s">
        <v>2764</v>
      </c>
      <c r="E470" s="159">
        <v>12</v>
      </c>
      <c r="F470" s="159"/>
      <c r="G470" s="159"/>
      <c r="H470" s="160">
        <v>49.84</v>
      </c>
      <c r="I470" s="161">
        <f t="shared" si="12"/>
        <v>598.08000000000004</v>
      </c>
      <c r="J470" s="135" t="s">
        <v>1355</v>
      </c>
      <c r="K470" s="135" t="s">
        <v>2843</v>
      </c>
      <c r="L470" s="134">
        <v>38880604</v>
      </c>
    </row>
    <row r="471" spans="1:12" x14ac:dyDescent="0.2">
      <c r="A471" s="158" t="s">
        <v>3104</v>
      </c>
      <c r="B471" s="242"/>
      <c r="C471" s="135" t="s">
        <v>3106</v>
      </c>
      <c r="D471" s="129" t="s">
        <v>1361</v>
      </c>
      <c r="E471" s="159">
        <v>1600</v>
      </c>
      <c r="F471" s="159"/>
      <c r="G471" s="159"/>
      <c r="H471" s="160">
        <v>63.68</v>
      </c>
      <c r="I471" s="161">
        <f t="shared" si="12"/>
        <v>101888</v>
      </c>
      <c r="J471" s="135" t="s">
        <v>1355</v>
      </c>
      <c r="K471" s="135" t="s">
        <v>2843</v>
      </c>
      <c r="L471" s="134" t="s">
        <v>3105</v>
      </c>
    </row>
    <row r="472" spans="1:12" x14ac:dyDescent="0.2">
      <c r="A472" s="158" t="s">
        <v>3108</v>
      </c>
      <c r="B472" s="242"/>
      <c r="C472" s="135" t="s">
        <v>3110</v>
      </c>
      <c r="D472" s="129" t="s">
        <v>1361</v>
      </c>
      <c r="E472" s="159">
        <v>600</v>
      </c>
      <c r="F472" s="159"/>
      <c r="G472" s="159"/>
      <c r="H472" s="160">
        <v>33.75</v>
      </c>
      <c r="I472" s="161">
        <f t="shared" si="12"/>
        <v>20250</v>
      </c>
      <c r="J472" s="135" t="s">
        <v>1355</v>
      </c>
      <c r="K472" s="135" t="s">
        <v>2843</v>
      </c>
      <c r="L472" s="134" t="s">
        <v>3109</v>
      </c>
    </row>
    <row r="473" spans="1:12" x14ac:dyDescent="0.2">
      <c r="A473" s="158" t="s">
        <v>3112</v>
      </c>
      <c r="B473" s="242"/>
      <c r="C473" s="135" t="s">
        <v>3114</v>
      </c>
      <c r="D473" s="129" t="s">
        <v>1361</v>
      </c>
      <c r="E473" s="159">
        <v>4800</v>
      </c>
      <c r="F473" s="159"/>
      <c r="G473" s="159"/>
      <c r="H473" s="160">
        <v>45.94</v>
      </c>
      <c r="I473" s="161">
        <f t="shared" si="12"/>
        <v>220512</v>
      </c>
      <c r="J473" s="135" t="s">
        <v>1355</v>
      </c>
      <c r="K473" s="135" t="s">
        <v>2843</v>
      </c>
      <c r="L473" s="134" t="s">
        <v>3113</v>
      </c>
    </row>
    <row r="474" spans="1:12" x14ac:dyDescent="0.2">
      <c r="A474" s="158" t="s">
        <v>3116</v>
      </c>
      <c r="B474" s="242"/>
      <c r="C474" s="135" t="s">
        <v>3117</v>
      </c>
      <c r="D474" s="129" t="s">
        <v>1361</v>
      </c>
      <c r="E474" s="159">
        <v>75</v>
      </c>
      <c r="F474" s="159"/>
      <c r="G474" s="159"/>
      <c r="H474" s="160">
        <v>128.16999999999999</v>
      </c>
      <c r="I474" s="161">
        <f t="shared" si="12"/>
        <v>9612.7499999999982</v>
      </c>
      <c r="J474" s="135" t="s">
        <v>1355</v>
      </c>
      <c r="K474" s="135" t="s">
        <v>2843</v>
      </c>
      <c r="L474" s="134">
        <v>380518</v>
      </c>
    </row>
    <row r="475" spans="1:12" x14ac:dyDescent="0.2">
      <c r="A475" s="158" t="s">
        <v>3119</v>
      </c>
      <c r="B475" s="242"/>
      <c r="C475" s="135" t="s">
        <v>3120</v>
      </c>
      <c r="D475" s="179" t="s">
        <v>2764</v>
      </c>
      <c r="E475" s="159">
        <v>194</v>
      </c>
      <c r="F475" s="159"/>
      <c r="G475" s="159"/>
      <c r="H475" s="160">
        <v>793.13</v>
      </c>
      <c r="I475" s="161">
        <f t="shared" si="12"/>
        <v>153867.22</v>
      </c>
      <c r="J475" s="135" t="s">
        <v>1355</v>
      </c>
      <c r="K475" s="135" t="s">
        <v>2843</v>
      </c>
      <c r="L475" s="134" t="s">
        <v>3613</v>
      </c>
    </row>
    <row r="476" spans="1:12" x14ac:dyDescent="0.2">
      <c r="A476" s="158" t="s">
        <v>3122</v>
      </c>
      <c r="B476" s="242"/>
      <c r="C476" s="135" t="s">
        <v>3123</v>
      </c>
      <c r="D476" s="139" t="s">
        <v>2983</v>
      </c>
      <c r="E476" s="159">
        <v>3</v>
      </c>
      <c r="F476" s="159"/>
      <c r="G476" s="159"/>
      <c r="H476" s="160">
        <v>1012500</v>
      </c>
      <c r="I476" s="161">
        <f t="shared" si="12"/>
        <v>3037500</v>
      </c>
      <c r="J476" s="135" t="s">
        <v>1355</v>
      </c>
      <c r="K476" s="135" t="s">
        <v>2843</v>
      </c>
      <c r="L476" s="134" t="s">
        <v>3613</v>
      </c>
    </row>
    <row r="477" spans="1:12" x14ac:dyDescent="0.2">
      <c r="A477" s="158" t="s">
        <v>3125</v>
      </c>
      <c r="B477" s="242"/>
      <c r="C477" s="135" t="s">
        <v>3126</v>
      </c>
      <c r="D477" s="139" t="s">
        <v>2983</v>
      </c>
      <c r="E477" s="159">
        <v>3</v>
      </c>
      <c r="F477" s="159"/>
      <c r="G477" s="159"/>
      <c r="H477" s="160">
        <v>1012500</v>
      </c>
      <c r="I477" s="161">
        <f t="shared" si="12"/>
        <v>3037500</v>
      </c>
      <c r="J477" s="135" t="s">
        <v>1355</v>
      </c>
      <c r="K477" s="135" t="s">
        <v>2843</v>
      </c>
      <c r="L477" s="134" t="s">
        <v>3613</v>
      </c>
    </row>
    <row r="478" spans="1:12" x14ac:dyDescent="0.2">
      <c r="A478" s="158" t="s">
        <v>3128</v>
      </c>
      <c r="B478" s="242"/>
      <c r="C478" s="135" t="s">
        <v>3129</v>
      </c>
      <c r="D478" s="139" t="s">
        <v>2983</v>
      </c>
      <c r="E478" s="159">
        <v>1</v>
      </c>
      <c r="F478" s="159"/>
      <c r="G478" s="159"/>
      <c r="H478" s="160">
        <v>293625</v>
      </c>
      <c r="I478" s="161">
        <f t="shared" si="12"/>
        <v>293625</v>
      </c>
      <c r="J478" s="135" t="s">
        <v>1355</v>
      </c>
      <c r="K478" s="135" t="s">
        <v>2843</v>
      </c>
      <c r="L478" s="134" t="s">
        <v>3613</v>
      </c>
    </row>
    <row r="479" spans="1:12" x14ac:dyDescent="0.2">
      <c r="A479" s="158" t="s">
        <v>3131</v>
      </c>
      <c r="B479" s="242"/>
      <c r="C479" s="135" t="s">
        <v>3133</v>
      </c>
      <c r="D479" s="179" t="s">
        <v>2764</v>
      </c>
      <c r="E479" s="159">
        <v>250</v>
      </c>
      <c r="F479" s="159"/>
      <c r="G479" s="159"/>
      <c r="H479" s="160">
        <v>165.09</v>
      </c>
      <c r="I479" s="161">
        <f t="shared" si="12"/>
        <v>41272.5</v>
      </c>
      <c r="J479" s="135" t="s">
        <v>1355</v>
      </c>
      <c r="K479" s="135" t="s">
        <v>2843</v>
      </c>
      <c r="L479" s="134" t="s">
        <v>3132</v>
      </c>
    </row>
    <row r="480" spans="1:12" x14ac:dyDescent="0.2">
      <c r="A480" s="158" t="s">
        <v>3135</v>
      </c>
      <c r="B480" s="242"/>
      <c r="C480" s="135" t="s">
        <v>3137</v>
      </c>
      <c r="D480" s="179" t="s">
        <v>2764</v>
      </c>
      <c r="E480" s="159">
        <v>66</v>
      </c>
      <c r="F480" s="159"/>
      <c r="G480" s="159"/>
      <c r="H480" s="160">
        <v>194.83</v>
      </c>
      <c r="I480" s="161">
        <f t="shared" si="12"/>
        <v>12858.78</v>
      </c>
      <c r="J480" s="135" t="s">
        <v>1355</v>
      </c>
      <c r="K480" s="135" t="s">
        <v>2843</v>
      </c>
      <c r="L480" s="134" t="s">
        <v>3136</v>
      </c>
    </row>
    <row r="481" spans="1:12" x14ac:dyDescent="0.2">
      <c r="A481" s="158" t="s">
        <v>3139</v>
      </c>
      <c r="B481" s="242"/>
      <c r="C481" s="135" t="s">
        <v>3141</v>
      </c>
      <c r="D481" s="179" t="s">
        <v>2764</v>
      </c>
      <c r="E481" s="159">
        <v>6</v>
      </c>
      <c r="F481" s="159"/>
      <c r="G481" s="159"/>
      <c r="H481" s="160">
        <v>134.03</v>
      </c>
      <c r="I481" s="161">
        <f t="shared" si="12"/>
        <v>804.18000000000006</v>
      </c>
      <c r="J481" s="135" t="s">
        <v>1355</v>
      </c>
      <c r="K481" s="135" t="s">
        <v>2843</v>
      </c>
      <c r="L481" s="134" t="s">
        <v>3140</v>
      </c>
    </row>
    <row r="482" spans="1:12" x14ac:dyDescent="0.2">
      <c r="A482" s="158" t="s">
        <v>3143</v>
      </c>
      <c r="B482" s="242"/>
      <c r="C482" s="135" t="s">
        <v>3144</v>
      </c>
      <c r="D482" s="179" t="s">
        <v>2764</v>
      </c>
      <c r="E482" s="159">
        <v>20</v>
      </c>
      <c r="F482" s="159"/>
      <c r="G482" s="159"/>
      <c r="H482" s="160">
        <v>194.36</v>
      </c>
      <c r="I482" s="161">
        <f t="shared" si="12"/>
        <v>3887.2000000000003</v>
      </c>
      <c r="J482" s="135" t="s">
        <v>1355</v>
      </c>
      <c r="K482" s="135" t="s">
        <v>2843</v>
      </c>
      <c r="L482" s="134">
        <v>381211</v>
      </c>
    </row>
    <row r="483" spans="1:12" x14ac:dyDescent="0.2">
      <c r="A483" s="158" t="s">
        <v>3146</v>
      </c>
      <c r="B483" s="242"/>
      <c r="C483" s="135" t="s">
        <v>3147</v>
      </c>
      <c r="D483" s="179" t="s">
        <v>2764</v>
      </c>
      <c r="E483" s="159">
        <v>58</v>
      </c>
      <c r="F483" s="159"/>
      <c r="G483" s="159"/>
      <c r="H483" s="160">
        <v>255.96</v>
      </c>
      <c r="I483" s="161">
        <f t="shared" si="12"/>
        <v>14845.68</v>
      </c>
      <c r="J483" s="135" t="s">
        <v>1355</v>
      </c>
      <c r="K483" s="135" t="s">
        <v>2843</v>
      </c>
      <c r="L483" s="134">
        <v>381209</v>
      </c>
    </row>
    <row r="484" spans="1:12" x14ac:dyDescent="0.2">
      <c r="A484" s="158" t="s">
        <v>3149</v>
      </c>
      <c r="B484" s="242"/>
      <c r="C484" s="135" t="s">
        <v>3150</v>
      </c>
      <c r="D484" s="179" t="s">
        <v>2764</v>
      </c>
      <c r="E484" s="159">
        <v>103</v>
      </c>
      <c r="F484" s="159"/>
      <c r="G484" s="159"/>
      <c r="H484" s="160">
        <v>421.73</v>
      </c>
      <c r="I484" s="161">
        <f t="shared" si="12"/>
        <v>43438.19</v>
      </c>
      <c r="J484" s="135" t="s">
        <v>1355</v>
      </c>
      <c r="K484" s="135" t="s">
        <v>2843</v>
      </c>
      <c r="L484" s="134">
        <v>381213</v>
      </c>
    </row>
    <row r="485" spans="1:12" x14ac:dyDescent="0.2">
      <c r="A485" s="158" t="s">
        <v>3152</v>
      </c>
      <c r="B485" s="242"/>
      <c r="C485" s="135" t="s">
        <v>3154</v>
      </c>
      <c r="D485" s="139" t="s">
        <v>2983</v>
      </c>
      <c r="E485" s="159">
        <v>180</v>
      </c>
      <c r="F485" s="159"/>
      <c r="G485" s="159"/>
      <c r="H485" s="160">
        <v>209.6</v>
      </c>
      <c r="I485" s="161">
        <f t="shared" si="12"/>
        <v>37728</v>
      </c>
      <c r="J485" s="135" t="s">
        <v>1355</v>
      </c>
      <c r="K485" s="135" t="s">
        <v>2843</v>
      </c>
      <c r="L485" s="134" t="s">
        <v>3153</v>
      </c>
    </row>
    <row r="486" spans="1:12" x14ac:dyDescent="0.2">
      <c r="A486" s="158" t="s">
        <v>3156</v>
      </c>
      <c r="B486" s="242"/>
      <c r="C486" s="135" t="s">
        <v>3158</v>
      </c>
      <c r="D486" s="139" t="s">
        <v>2983</v>
      </c>
      <c r="E486" s="159">
        <v>170</v>
      </c>
      <c r="F486" s="159"/>
      <c r="G486" s="159"/>
      <c r="H486" s="160">
        <v>209.6</v>
      </c>
      <c r="I486" s="161">
        <f t="shared" si="12"/>
        <v>35632</v>
      </c>
      <c r="J486" s="135" t="s">
        <v>1355</v>
      </c>
      <c r="K486" s="135" t="s">
        <v>2843</v>
      </c>
      <c r="L486" s="134" t="s">
        <v>3157</v>
      </c>
    </row>
    <row r="487" spans="1:12" x14ac:dyDescent="0.2">
      <c r="A487" s="158" t="s">
        <v>3160</v>
      </c>
      <c r="B487" s="242"/>
      <c r="C487" s="135" t="s">
        <v>3161</v>
      </c>
      <c r="D487" s="139" t="s">
        <v>2983</v>
      </c>
      <c r="E487" s="159">
        <v>2</v>
      </c>
      <c r="F487" s="159"/>
      <c r="G487" s="159"/>
      <c r="H487" s="160">
        <v>5479.65</v>
      </c>
      <c r="I487" s="161">
        <f t="shared" si="12"/>
        <v>10959.3</v>
      </c>
      <c r="J487" s="135" t="s">
        <v>1355</v>
      </c>
      <c r="K487" s="135" t="s">
        <v>2843</v>
      </c>
      <c r="L487" s="134" t="s">
        <v>3613</v>
      </c>
    </row>
    <row r="488" spans="1:12" x14ac:dyDescent="0.2">
      <c r="A488" s="158" t="s">
        <v>3163</v>
      </c>
      <c r="B488" s="242"/>
      <c r="C488" s="135" t="s">
        <v>3164</v>
      </c>
      <c r="D488" s="139" t="s">
        <v>2983</v>
      </c>
      <c r="E488" s="159">
        <v>106</v>
      </c>
      <c r="F488" s="159"/>
      <c r="G488" s="159"/>
      <c r="H488" s="160">
        <v>7423.65</v>
      </c>
      <c r="I488" s="161">
        <f t="shared" si="12"/>
        <v>786906.89999999991</v>
      </c>
      <c r="J488" s="135" t="s">
        <v>1355</v>
      </c>
      <c r="K488" s="135" t="s">
        <v>2843</v>
      </c>
      <c r="L488" s="134" t="s">
        <v>3613</v>
      </c>
    </row>
    <row r="489" spans="1:12" x14ac:dyDescent="0.2">
      <c r="A489" s="158" t="s">
        <v>3166</v>
      </c>
      <c r="B489" s="242"/>
      <c r="C489" s="135" t="s">
        <v>3167</v>
      </c>
      <c r="D489" s="139" t="s">
        <v>2983</v>
      </c>
      <c r="E489" s="159">
        <v>88</v>
      </c>
      <c r="F489" s="159"/>
      <c r="G489" s="159"/>
      <c r="H489" s="160">
        <v>8026.43</v>
      </c>
      <c r="I489" s="161">
        <f t="shared" si="12"/>
        <v>706325.84000000008</v>
      </c>
      <c r="J489" s="135" t="s">
        <v>1355</v>
      </c>
      <c r="K489" s="135" t="s">
        <v>2843</v>
      </c>
      <c r="L489" s="134" t="s">
        <v>3613</v>
      </c>
    </row>
    <row r="490" spans="1:12" x14ac:dyDescent="0.2">
      <c r="A490" s="158" t="s">
        <v>3169</v>
      </c>
      <c r="B490" s="242"/>
      <c r="C490" s="135" t="s">
        <v>3171</v>
      </c>
      <c r="D490" s="139" t="s">
        <v>2983</v>
      </c>
      <c r="E490" s="159">
        <v>1488</v>
      </c>
      <c r="F490" s="159"/>
      <c r="G490" s="159"/>
      <c r="H490" s="160">
        <v>215.16</v>
      </c>
      <c r="I490" s="161">
        <f t="shared" si="12"/>
        <v>320158.08000000002</v>
      </c>
      <c r="J490" s="135" t="s">
        <v>1355</v>
      </c>
      <c r="K490" s="135" t="s">
        <v>2843</v>
      </c>
      <c r="L490" s="134" t="s">
        <v>3170</v>
      </c>
    </row>
    <row r="491" spans="1:12" x14ac:dyDescent="0.2">
      <c r="A491" s="158" t="s">
        <v>3173</v>
      </c>
      <c r="B491" s="242"/>
      <c r="C491" s="135" t="s">
        <v>3174</v>
      </c>
      <c r="D491" s="129" t="s">
        <v>1361</v>
      </c>
      <c r="E491" s="159">
        <v>2200</v>
      </c>
      <c r="F491" s="159"/>
      <c r="G491" s="159"/>
      <c r="H491" s="160">
        <v>612.54</v>
      </c>
      <c r="I491" s="161">
        <f t="shared" si="12"/>
        <v>1347588</v>
      </c>
      <c r="J491" s="135" t="s">
        <v>1355</v>
      </c>
      <c r="K491" s="135" t="s">
        <v>2843</v>
      </c>
      <c r="L491" s="134" t="s">
        <v>3613</v>
      </c>
    </row>
    <row r="492" spans="1:12" x14ac:dyDescent="0.2">
      <c r="A492" s="158" t="s">
        <v>3176</v>
      </c>
      <c r="B492" s="242"/>
      <c r="C492" s="135" t="s">
        <v>3177</v>
      </c>
      <c r="D492" s="179" t="s">
        <v>2764</v>
      </c>
      <c r="E492" s="159">
        <v>20</v>
      </c>
      <c r="F492" s="159"/>
      <c r="G492" s="159"/>
      <c r="H492" s="160">
        <v>383.87</v>
      </c>
      <c r="I492" s="161">
        <f t="shared" si="12"/>
        <v>7677.4</v>
      </c>
      <c r="J492" s="135" t="s">
        <v>1355</v>
      </c>
      <c r="K492" s="135" t="s">
        <v>2843</v>
      </c>
      <c r="L492" s="134" t="s">
        <v>3613</v>
      </c>
    </row>
    <row r="493" spans="1:12" x14ac:dyDescent="0.2">
      <c r="A493" s="158" t="s">
        <v>3179</v>
      </c>
      <c r="B493" s="242"/>
      <c r="C493" s="135" t="s">
        <v>3181</v>
      </c>
      <c r="D493" s="179" t="s">
        <v>2764</v>
      </c>
      <c r="E493" s="159">
        <v>30</v>
      </c>
      <c r="F493" s="159"/>
      <c r="G493" s="159"/>
      <c r="H493" s="160">
        <v>138.04</v>
      </c>
      <c r="I493" s="161">
        <f t="shared" si="12"/>
        <v>4141.2</v>
      </c>
      <c r="J493" s="135" t="s">
        <v>1355</v>
      </c>
      <c r="K493" s="135" t="s">
        <v>2843</v>
      </c>
      <c r="L493" s="134" t="s">
        <v>3180</v>
      </c>
    </row>
    <row r="494" spans="1:12" x14ac:dyDescent="0.2">
      <c r="A494" s="158" t="s">
        <v>3183</v>
      </c>
      <c r="B494" s="242"/>
      <c r="C494" s="135" t="s">
        <v>3184</v>
      </c>
      <c r="D494" s="179" t="s">
        <v>2764</v>
      </c>
      <c r="E494" s="159">
        <v>44</v>
      </c>
      <c r="F494" s="159"/>
      <c r="G494" s="159"/>
      <c r="H494" s="160">
        <v>3250.13</v>
      </c>
      <c r="I494" s="161">
        <f t="shared" si="12"/>
        <v>143005.72</v>
      </c>
      <c r="J494" s="135" t="s">
        <v>1355</v>
      </c>
      <c r="K494" s="135" t="s">
        <v>2843</v>
      </c>
      <c r="L494" s="134" t="s">
        <v>3613</v>
      </c>
    </row>
    <row r="495" spans="1:12" x14ac:dyDescent="0.2">
      <c r="A495" s="158" t="s">
        <v>3186</v>
      </c>
      <c r="B495" s="242"/>
      <c r="C495" s="135" t="s">
        <v>3188</v>
      </c>
      <c r="D495" s="179" t="s">
        <v>2764</v>
      </c>
      <c r="E495" s="159">
        <v>106</v>
      </c>
      <c r="F495" s="159"/>
      <c r="G495" s="159"/>
      <c r="H495" s="160">
        <v>1642.59</v>
      </c>
      <c r="I495" s="161">
        <f t="shared" si="12"/>
        <v>174114.53999999998</v>
      </c>
      <c r="J495" s="135" t="s">
        <v>1355</v>
      </c>
      <c r="K495" s="135" t="s">
        <v>2843</v>
      </c>
      <c r="L495" s="134" t="s">
        <v>3187</v>
      </c>
    </row>
    <row r="496" spans="1:12" x14ac:dyDescent="0.2">
      <c r="A496" s="158" t="s">
        <v>3190</v>
      </c>
      <c r="B496" s="242"/>
      <c r="C496" s="135" t="s">
        <v>3191</v>
      </c>
      <c r="D496" s="139" t="s">
        <v>2983</v>
      </c>
      <c r="E496" s="159">
        <v>1630</v>
      </c>
      <c r="F496" s="159"/>
      <c r="G496" s="159"/>
      <c r="H496" s="160">
        <v>10397.879999999999</v>
      </c>
      <c r="I496" s="161">
        <f t="shared" si="12"/>
        <v>16948544.399999999</v>
      </c>
      <c r="J496" s="135" t="s">
        <v>1355</v>
      </c>
      <c r="K496" s="135" t="s">
        <v>2843</v>
      </c>
      <c r="L496" s="134" t="s">
        <v>3613</v>
      </c>
    </row>
    <row r="497" spans="1:12" x14ac:dyDescent="0.2">
      <c r="A497" s="158" t="s">
        <v>3193</v>
      </c>
      <c r="B497" s="242"/>
      <c r="C497" s="135" t="s">
        <v>3194</v>
      </c>
      <c r="D497" s="139" t="s">
        <v>2983</v>
      </c>
      <c r="E497" s="159">
        <v>2</v>
      </c>
      <c r="F497" s="159"/>
      <c r="G497" s="159"/>
      <c r="H497" s="160">
        <v>146930.81</v>
      </c>
      <c r="I497" s="161">
        <f t="shared" si="12"/>
        <v>293861.62</v>
      </c>
      <c r="J497" s="135" t="s">
        <v>1355</v>
      </c>
      <c r="K497" s="135" t="s">
        <v>2843</v>
      </c>
      <c r="L497" s="134" t="s">
        <v>3613</v>
      </c>
    </row>
    <row r="498" spans="1:12" x14ac:dyDescent="0.2">
      <c r="A498" s="158" t="s">
        <v>3196</v>
      </c>
      <c r="B498" s="242"/>
      <c r="C498" s="135" t="s">
        <v>3197</v>
      </c>
      <c r="D498" s="139" t="s">
        <v>2983</v>
      </c>
      <c r="E498" s="159">
        <v>2</v>
      </c>
      <c r="F498" s="159"/>
      <c r="G498" s="159"/>
      <c r="H498" s="160">
        <v>146930.81</v>
      </c>
      <c r="I498" s="161">
        <f t="shared" si="12"/>
        <v>293861.62</v>
      </c>
      <c r="J498" s="135" t="s">
        <v>1355</v>
      </c>
      <c r="K498" s="135" t="s">
        <v>2843</v>
      </c>
      <c r="L498" s="134" t="s">
        <v>3613</v>
      </c>
    </row>
    <row r="499" spans="1:12" x14ac:dyDescent="0.2">
      <c r="A499" s="158" t="s">
        <v>3199</v>
      </c>
      <c r="B499" s="242"/>
      <c r="C499" s="135" t="s">
        <v>3200</v>
      </c>
      <c r="D499" s="139" t="s">
        <v>2983</v>
      </c>
      <c r="E499" s="159">
        <v>1</v>
      </c>
      <c r="F499" s="159"/>
      <c r="G499" s="159"/>
      <c r="H499" s="160">
        <v>146930.81</v>
      </c>
      <c r="I499" s="161">
        <f t="shared" si="12"/>
        <v>146930.81</v>
      </c>
      <c r="J499" s="135" t="s">
        <v>1355</v>
      </c>
      <c r="K499" s="135" t="s">
        <v>2843</v>
      </c>
      <c r="L499" s="134" t="s">
        <v>3613</v>
      </c>
    </row>
    <row r="500" spans="1:12" x14ac:dyDescent="0.2">
      <c r="A500" s="158" t="s">
        <v>3202</v>
      </c>
      <c r="B500" s="242"/>
      <c r="C500" s="135" t="s">
        <v>3203</v>
      </c>
      <c r="D500" s="139" t="s">
        <v>2983</v>
      </c>
      <c r="E500" s="159">
        <v>1</v>
      </c>
      <c r="F500" s="159"/>
      <c r="G500" s="159"/>
      <c r="H500" s="160">
        <v>146930.81</v>
      </c>
      <c r="I500" s="161">
        <f t="shared" si="12"/>
        <v>146930.81</v>
      </c>
      <c r="J500" s="135" t="s">
        <v>1355</v>
      </c>
      <c r="K500" s="135" t="s">
        <v>2843</v>
      </c>
      <c r="L500" s="134" t="s">
        <v>3613</v>
      </c>
    </row>
    <row r="501" spans="1:12" x14ac:dyDescent="0.2">
      <c r="A501" s="158" t="s">
        <v>3205</v>
      </c>
      <c r="B501" s="242"/>
      <c r="C501" s="135" t="s">
        <v>3206</v>
      </c>
      <c r="D501" s="139" t="s">
        <v>2983</v>
      </c>
      <c r="E501" s="159">
        <v>1</v>
      </c>
      <c r="F501" s="159"/>
      <c r="G501" s="159"/>
      <c r="H501" s="160">
        <v>146930.81</v>
      </c>
      <c r="I501" s="161">
        <f t="shared" si="12"/>
        <v>146930.81</v>
      </c>
      <c r="J501" s="135" t="s">
        <v>1355</v>
      </c>
      <c r="K501" s="135" t="s">
        <v>2843</v>
      </c>
      <c r="L501" s="134" t="s">
        <v>3613</v>
      </c>
    </row>
    <row r="502" spans="1:12" x14ac:dyDescent="0.2">
      <c r="A502" s="158" t="s">
        <v>3208</v>
      </c>
      <c r="B502" s="242"/>
      <c r="C502" s="135" t="s">
        <v>3209</v>
      </c>
      <c r="D502" s="139" t="s">
        <v>2983</v>
      </c>
      <c r="E502" s="159">
        <v>3</v>
      </c>
      <c r="F502" s="159"/>
      <c r="G502" s="159"/>
      <c r="H502" s="160">
        <v>146930.81</v>
      </c>
      <c r="I502" s="161">
        <f t="shared" si="12"/>
        <v>440792.43</v>
      </c>
      <c r="J502" s="135" t="s">
        <v>1355</v>
      </c>
      <c r="K502" s="135" t="s">
        <v>2843</v>
      </c>
      <c r="L502" s="134" t="s">
        <v>3613</v>
      </c>
    </row>
    <row r="503" spans="1:12" x14ac:dyDescent="0.2">
      <c r="A503" s="158" t="s">
        <v>3211</v>
      </c>
      <c r="B503" s="242"/>
      <c r="C503" s="135" t="s">
        <v>3212</v>
      </c>
      <c r="D503" s="139" t="s">
        <v>2983</v>
      </c>
      <c r="E503" s="159">
        <v>3</v>
      </c>
      <c r="F503" s="159"/>
      <c r="G503" s="159"/>
      <c r="H503" s="160">
        <v>146930.81</v>
      </c>
      <c r="I503" s="161">
        <f t="shared" si="12"/>
        <v>440792.43</v>
      </c>
      <c r="J503" s="135" t="s">
        <v>1355</v>
      </c>
      <c r="K503" s="135" t="s">
        <v>2843</v>
      </c>
      <c r="L503" s="134" t="s">
        <v>3613</v>
      </c>
    </row>
    <row r="504" spans="1:12" x14ac:dyDescent="0.2">
      <c r="A504" s="158" t="s">
        <v>3214</v>
      </c>
      <c r="B504" s="242"/>
      <c r="C504" s="135" t="s">
        <v>3215</v>
      </c>
      <c r="D504" s="139" t="s">
        <v>2983</v>
      </c>
      <c r="E504" s="159">
        <v>6</v>
      </c>
      <c r="F504" s="159"/>
      <c r="G504" s="159"/>
      <c r="H504" s="160">
        <v>146930.81</v>
      </c>
      <c r="I504" s="161">
        <f t="shared" si="12"/>
        <v>881584.86</v>
      </c>
      <c r="J504" s="135" t="s">
        <v>1355</v>
      </c>
      <c r="K504" s="135" t="s">
        <v>2843</v>
      </c>
      <c r="L504" s="134" t="s">
        <v>3613</v>
      </c>
    </row>
    <row r="505" spans="1:12" x14ac:dyDescent="0.2">
      <c r="A505" s="158" t="s">
        <v>3217</v>
      </c>
      <c r="B505" s="242"/>
      <c r="C505" s="135" t="s">
        <v>3218</v>
      </c>
      <c r="D505" s="139" t="s">
        <v>2983</v>
      </c>
      <c r="E505" s="159">
        <v>3</v>
      </c>
      <c r="F505" s="159"/>
      <c r="G505" s="159"/>
      <c r="H505" s="160">
        <v>7206.79</v>
      </c>
      <c r="I505" s="161">
        <f t="shared" si="12"/>
        <v>21620.37</v>
      </c>
      <c r="J505" s="135" t="s">
        <v>1355</v>
      </c>
      <c r="K505" s="135" t="s">
        <v>2843</v>
      </c>
      <c r="L505" s="134" t="s">
        <v>3613</v>
      </c>
    </row>
    <row r="506" spans="1:12" x14ac:dyDescent="0.2">
      <c r="A506" s="158" t="s">
        <v>3220</v>
      </c>
      <c r="B506" s="242"/>
      <c r="C506" s="135" t="s">
        <v>3221</v>
      </c>
      <c r="D506" s="139" t="s">
        <v>2983</v>
      </c>
      <c r="E506" s="159">
        <v>1</v>
      </c>
      <c r="F506" s="159"/>
      <c r="G506" s="159"/>
      <c r="H506" s="160">
        <v>7206.79</v>
      </c>
      <c r="I506" s="161">
        <f t="shared" si="12"/>
        <v>7206.79</v>
      </c>
      <c r="J506" s="135" t="s">
        <v>1355</v>
      </c>
      <c r="K506" s="135" t="s">
        <v>2843</v>
      </c>
      <c r="L506" s="134" t="s">
        <v>3613</v>
      </c>
    </row>
    <row r="507" spans="1:12" x14ac:dyDescent="0.2">
      <c r="A507" s="158" t="s">
        <v>3223</v>
      </c>
      <c r="B507" s="242"/>
      <c r="C507" s="135" t="s">
        <v>3224</v>
      </c>
      <c r="D507" s="139" t="s">
        <v>2983</v>
      </c>
      <c r="E507" s="159">
        <v>3</v>
      </c>
      <c r="F507" s="159"/>
      <c r="G507" s="159"/>
      <c r="H507" s="160">
        <v>7206.79</v>
      </c>
      <c r="I507" s="161">
        <f t="shared" si="12"/>
        <v>21620.37</v>
      </c>
      <c r="J507" s="135" t="s">
        <v>1355</v>
      </c>
      <c r="K507" s="135" t="s">
        <v>2843</v>
      </c>
      <c r="L507" s="134" t="s">
        <v>3613</v>
      </c>
    </row>
    <row r="508" spans="1:12" x14ac:dyDescent="0.2">
      <c r="A508" s="158" t="s">
        <v>3226</v>
      </c>
      <c r="B508" s="242"/>
      <c r="C508" s="135" t="s">
        <v>3227</v>
      </c>
      <c r="D508" s="139" t="s">
        <v>2983</v>
      </c>
      <c r="E508" s="159">
        <v>1</v>
      </c>
      <c r="F508" s="159"/>
      <c r="G508" s="159"/>
      <c r="H508" s="160">
        <v>7206.79</v>
      </c>
      <c r="I508" s="161">
        <f t="shared" si="12"/>
        <v>7206.79</v>
      </c>
      <c r="J508" s="135" t="s">
        <v>1355</v>
      </c>
      <c r="K508" s="135" t="s">
        <v>2843</v>
      </c>
      <c r="L508" s="134" t="s">
        <v>3613</v>
      </c>
    </row>
    <row r="509" spans="1:12" x14ac:dyDescent="0.2">
      <c r="A509" s="158" t="s">
        <v>3229</v>
      </c>
      <c r="B509" s="242"/>
      <c r="C509" s="135" t="s">
        <v>3230</v>
      </c>
      <c r="D509" s="139" t="s">
        <v>2983</v>
      </c>
      <c r="E509" s="159">
        <v>3</v>
      </c>
      <c r="F509" s="159"/>
      <c r="G509" s="159"/>
      <c r="H509" s="160">
        <v>7206.79</v>
      </c>
      <c r="I509" s="161">
        <f t="shared" si="12"/>
        <v>21620.37</v>
      </c>
      <c r="J509" s="135" t="s">
        <v>1355</v>
      </c>
      <c r="K509" s="135" t="s">
        <v>2843</v>
      </c>
      <c r="L509" s="134" t="s">
        <v>3613</v>
      </c>
    </row>
    <row r="510" spans="1:12" x14ac:dyDescent="0.2">
      <c r="A510" s="158" t="s">
        <v>3232</v>
      </c>
      <c r="B510" s="242"/>
      <c r="C510" s="135" t="s">
        <v>3233</v>
      </c>
      <c r="D510" s="139" t="s">
        <v>2983</v>
      </c>
      <c r="E510" s="159">
        <v>4</v>
      </c>
      <c r="F510" s="159"/>
      <c r="G510" s="159"/>
      <c r="H510" s="160">
        <v>7206.79</v>
      </c>
      <c r="I510" s="161">
        <f t="shared" si="12"/>
        <v>28827.16</v>
      </c>
      <c r="J510" s="135" t="s">
        <v>1355</v>
      </c>
      <c r="K510" s="135" t="s">
        <v>2843</v>
      </c>
      <c r="L510" s="134" t="s">
        <v>3613</v>
      </c>
    </row>
    <row r="511" spans="1:12" x14ac:dyDescent="0.2">
      <c r="A511" s="158" t="s">
        <v>3235</v>
      </c>
      <c r="B511" s="242"/>
      <c r="C511" s="135" t="s">
        <v>3236</v>
      </c>
      <c r="D511" s="139" t="s">
        <v>2983</v>
      </c>
      <c r="E511" s="159">
        <v>1</v>
      </c>
      <c r="F511" s="159"/>
      <c r="G511" s="159"/>
      <c r="H511" s="160">
        <v>7206.79</v>
      </c>
      <c r="I511" s="161">
        <f t="shared" si="12"/>
        <v>7206.79</v>
      </c>
      <c r="J511" s="135" t="s">
        <v>1355</v>
      </c>
      <c r="K511" s="135" t="s">
        <v>2843</v>
      </c>
      <c r="L511" s="134" t="s">
        <v>3613</v>
      </c>
    </row>
    <row r="512" spans="1:12" x14ac:dyDescent="0.2">
      <c r="A512" s="158" t="s">
        <v>3238</v>
      </c>
      <c r="B512" s="242"/>
      <c r="C512" s="135" t="s">
        <v>3239</v>
      </c>
      <c r="D512" s="139" t="s">
        <v>2983</v>
      </c>
      <c r="E512" s="159">
        <v>3</v>
      </c>
      <c r="F512" s="159"/>
      <c r="G512" s="159"/>
      <c r="H512" s="160">
        <v>5285.51</v>
      </c>
      <c r="I512" s="161">
        <f t="shared" si="12"/>
        <v>15856.53</v>
      </c>
      <c r="J512" s="135" t="s">
        <v>1355</v>
      </c>
      <c r="K512" s="135" t="s">
        <v>2843</v>
      </c>
      <c r="L512" s="134" t="s">
        <v>3613</v>
      </c>
    </row>
    <row r="513" spans="1:12" x14ac:dyDescent="0.2">
      <c r="A513" s="158" t="s">
        <v>3241</v>
      </c>
      <c r="B513" s="242"/>
      <c r="C513" s="135" t="s">
        <v>3242</v>
      </c>
      <c r="D513" s="179" t="s">
        <v>2764</v>
      </c>
      <c r="E513" s="159">
        <v>2</v>
      </c>
      <c r="F513" s="159"/>
      <c r="G513" s="159"/>
      <c r="H513" s="160">
        <v>3274.29</v>
      </c>
      <c r="I513" s="161">
        <f t="shared" si="12"/>
        <v>6548.58</v>
      </c>
      <c r="J513" s="135" t="s">
        <v>1355</v>
      </c>
      <c r="K513" s="135" t="s">
        <v>2843</v>
      </c>
      <c r="L513" s="134" t="s">
        <v>3613</v>
      </c>
    </row>
    <row r="514" spans="1:12" x14ac:dyDescent="0.2">
      <c r="A514" s="158" t="s">
        <v>3244</v>
      </c>
      <c r="B514" s="242"/>
      <c r="C514" s="135" t="s">
        <v>3245</v>
      </c>
      <c r="D514" s="139" t="s">
        <v>2983</v>
      </c>
      <c r="E514" s="159">
        <v>2</v>
      </c>
      <c r="F514" s="159"/>
      <c r="G514" s="159"/>
      <c r="H514" s="160">
        <v>429688.38</v>
      </c>
      <c r="I514" s="161">
        <f t="shared" si="12"/>
        <v>859376.76</v>
      </c>
      <c r="J514" s="135" t="s">
        <v>1355</v>
      </c>
      <c r="K514" s="135" t="s">
        <v>2843</v>
      </c>
      <c r="L514" s="134" t="s">
        <v>3613</v>
      </c>
    </row>
    <row r="515" spans="1:12" x14ac:dyDescent="0.2">
      <c r="A515" s="158" t="s">
        <v>3247</v>
      </c>
      <c r="B515" s="242"/>
      <c r="C515" s="135" t="s">
        <v>3248</v>
      </c>
      <c r="D515" s="139" t="s">
        <v>2983</v>
      </c>
      <c r="E515" s="159">
        <v>20</v>
      </c>
      <c r="F515" s="159"/>
      <c r="G515" s="159"/>
      <c r="H515" s="160">
        <v>11861.72</v>
      </c>
      <c r="I515" s="161">
        <f t="shared" si="12"/>
        <v>237234.4</v>
      </c>
      <c r="J515" s="135" t="s">
        <v>1355</v>
      </c>
      <c r="K515" s="135" t="s">
        <v>2843</v>
      </c>
      <c r="L515" s="134" t="s">
        <v>3613</v>
      </c>
    </row>
    <row r="516" spans="1:12" x14ac:dyDescent="0.2">
      <c r="A516" s="158" t="s">
        <v>3250</v>
      </c>
      <c r="B516" s="242"/>
      <c r="C516" s="135" t="s">
        <v>3251</v>
      </c>
      <c r="D516" s="139" t="s">
        <v>2983</v>
      </c>
      <c r="E516" s="159">
        <v>10</v>
      </c>
      <c r="F516" s="159"/>
      <c r="G516" s="159"/>
      <c r="H516" s="160">
        <v>11861.72</v>
      </c>
      <c r="I516" s="161">
        <f t="shared" si="12"/>
        <v>118617.2</v>
      </c>
      <c r="J516" s="135" t="s">
        <v>1355</v>
      </c>
      <c r="K516" s="135" t="s">
        <v>2843</v>
      </c>
      <c r="L516" s="134" t="s">
        <v>3613</v>
      </c>
    </row>
    <row r="517" spans="1:12" x14ac:dyDescent="0.2">
      <c r="A517" s="158" t="s">
        <v>3253</v>
      </c>
      <c r="B517" s="242"/>
      <c r="C517" s="135" t="s">
        <v>3254</v>
      </c>
      <c r="D517" s="139" t="s">
        <v>2983</v>
      </c>
      <c r="E517" s="159">
        <v>1</v>
      </c>
      <c r="F517" s="159"/>
      <c r="G517" s="159"/>
      <c r="H517" s="160">
        <v>11861.72</v>
      </c>
      <c r="I517" s="161">
        <f t="shared" si="12"/>
        <v>11861.72</v>
      </c>
      <c r="J517" s="135" t="s">
        <v>1355</v>
      </c>
      <c r="K517" s="135" t="s">
        <v>2843</v>
      </c>
      <c r="L517" s="134" t="s">
        <v>3613</v>
      </c>
    </row>
    <row r="518" spans="1:12" x14ac:dyDescent="0.2">
      <c r="A518" s="158" t="s">
        <v>3256</v>
      </c>
      <c r="B518" s="242"/>
      <c r="C518" s="135" t="s">
        <v>3257</v>
      </c>
      <c r="D518" s="139" t="s">
        <v>2983</v>
      </c>
      <c r="E518" s="159">
        <v>2</v>
      </c>
      <c r="F518" s="159"/>
      <c r="G518" s="159"/>
      <c r="H518" s="160">
        <v>11861.72</v>
      </c>
      <c r="I518" s="161">
        <f t="shared" si="12"/>
        <v>23723.439999999999</v>
      </c>
      <c r="J518" s="135" t="s">
        <v>1355</v>
      </c>
      <c r="K518" s="135" t="s">
        <v>2843</v>
      </c>
      <c r="L518" s="134" t="s">
        <v>3613</v>
      </c>
    </row>
    <row r="519" spans="1:12" x14ac:dyDescent="0.2">
      <c r="A519" s="158" t="s">
        <v>3259</v>
      </c>
      <c r="B519" s="242"/>
      <c r="C519" s="135" t="s">
        <v>3260</v>
      </c>
      <c r="D519" s="139" t="s">
        <v>2983</v>
      </c>
      <c r="E519" s="159">
        <v>2</v>
      </c>
      <c r="F519" s="159"/>
      <c r="G519" s="159"/>
      <c r="H519" s="160">
        <v>11861.72</v>
      </c>
      <c r="I519" s="161">
        <f t="shared" si="12"/>
        <v>23723.439999999999</v>
      </c>
      <c r="J519" s="135" t="s">
        <v>1355</v>
      </c>
      <c r="K519" s="135" t="s">
        <v>2843</v>
      </c>
      <c r="L519" s="134" t="s">
        <v>3613</v>
      </c>
    </row>
    <row r="520" spans="1:12" x14ac:dyDescent="0.2">
      <c r="A520" s="158" t="s">
        <v>3262</v>
      </c>
      <c r="B520" s="242"/>
      <c r="C520" s="135" t="s">
        <v>3263</v>
      </c>
      <c r="D520" s="139" t="s">
        <v>2983</v>
      </c>
      <c r="E520" s="159">
        <v>4</v>
      </c>
      <c r="F520" s="159"/>
      <c r="G520" s="159"/>
      <c r="H520" s="160">
        <v>11861.72</v>
      </c>
      <c r="I520" s="161">
        <f t="shared" si="12"/>
        <v>47446.879999999997</v>
      </c>
      <c r="J520" s="135" t="s">
        <v>1355</v>
      </c>
      <c r="K520" s="135" t="s">
        <v>2843</v>
      </c>
      <c r="L520" s="134" t="s">
        <v>3613</v>
      </c>
    </row>
    <row r="521" spans="1:12" x14ac:dyDescent="0.2">
      <c r="A521" s="158" t="s">
        <v>3265</v>
      </c>
      <c r="B521" s="242"/>
      <c r="C521" s="135" t="s">
        <v>3266</v>
      </c>
      <c r="D521" s="139" t="s">
        <v>1627</v>
      </c>
      <c r="E521" s="159">
        <v>4</v>
      </c>
      <c r="F521" s="159"/>
      <c r="G521" s="159"/>
      <c r="H521" s="160">
        <v>17892.95</v>
      </c>
      <c r="I521" s="161">
        <f t="shared" si="12"/>
        <v>71571.8</v>
      </c>
      <c r="J521" s="135" t="s">
        <v>1355</v>
      </c>
      <c r="K521" s="135" t="s">
        <v>2843</v>
      </c>
      <c r="L521" s="134">
        <v>360902</v>
      </c>
    </row>
    <row r="522" spans="1:12" x14ac:dyDescent="0.2">
      <c r="A522" s="158" t="s">
        <v>3268</v>
      </c>
      <c r="B522" s="242"/>
      <c r="C522" s="135" t="s">
        <v>3269</v>
      </c>
      <c r="D522" s="179" t="s">
        <v>2764</v>
      </c>
      <c r="E522" s="159">
        <v>2</v>
      </c>
      <c r="F522" s="159"/>
      <c r="G522" s="159"/>
      <c r="H522" s="160">
        <v>5485.05</v>
      </c>
      <c r="I522" s="161">
        <f t="shared" si="12"/>
        <v>10970.1</v>
      </c>
      <c r="J522" s="135" t="s">
        <v>1355</v>
      </c>
      <c r="K522" s="135" t="s">
        <v>2843</v>
      </c>
      <c r="L522" s="134" t="s">
        <v>3613</v>
      </c>
    </row>
    <row r="523" spans="1:12" x14ac:dyDescent="0.2">
      <c r="A523" s="158" t="s">
        <v>3271</v>
      </c>
      <c r="B523" s="242"/>
      <c r="C523" s="135" t="s">
        <v>3273</v>
      </c>
      <c r="D523" s="179" t="s">
        <v>2764</v>
      </c>
      <c r="E523" s="159">
        <v>31</v>
      </c>
      <c r="F523" s="159"/>
      <c r="G523" s="159"/>
      <c r="H523" s="160">
        <v>148.65</v>
      </c>
      <c r="I523" s="161">
        <f t="shared" si="12"/>
        <v>4608.1500000000005</v>
      </c>
      <c r="J523" s="135" t="s">
        <v>1355</v>
      </c>
      <c r="K523" s="135" t="s">
        <v>2843</v>
      </c>
      <c r="L523" s="134" t="s">
        <v>3272</v>
      </c>
    </row>
    <row r="524" spans="1:12" x14ac:dyDescent="0.2">
      <c r="A524" s="158" t="s">
        <v>3275</v>
      </c>
      <c r="B524" s="242"/>
      <c r="C524" s="135" t="s">
        <v>3276</v>
      </c>
      <c r="D524" s="139" t="s">
        <v>2983</v>
      </c>
      <c r="E524" s="159">
        <v>1</v>
      </c>
      <c r="F524" s="159"/>
      <c r="G524" s="159"/>
      <c r="H524" s="160">
        <v>69049.539999999994</v>
      </c>
      <c r="I524" s="161">
        <f t="shared" si="12"/>
        <v>69049.539999999994</v>
      </c>
      <c r="J524" s="135" t="s">
        <v>1355</v>
      </c>
      <c r="K524" s="135" t="s">
        <v>2843</v>
      </c>
      <c r="L524" s="134" t="s">
        <v>3613</v>
      </c>
    </row>
    <row r="525" spans="1:12" x14ac:dyDescent="0.2">
      <c r="A525" s="158" t="s">
        <v>3278</v>
      </c>
      <c r="B525" s="242"/>
      <c r="C525" s="135" t="s">
        <v>3279</v>
      </c>
      <c r="D525" s="139" t="s">
        <v>2983</v>
      </c>
      <c r="E525" s="159">
        <v>6</v>
      </c>
      <c r="F525" s="159"/>
      <c r="G525" s="159"/>
      <c r="H525" s="160">
        <v>141723</v>
      </c>
      <c r="I525" s="161">
        <f t="shared" si="12"/>
        <v>850338</v>
      </c>
      <c r="J525" s="135" t="s">
        <v>1355</v>
      </c>
      <c r="K525" s="135" t="s">
        <v>2843</v>
      </c>
      <c r="L525" s="134" t="s">
        <v>3613</v>
      </c>
    </row>
    <row r="526" spans="1:12" x14ac:dyDescent="0.2">
      <c r="A526" s="158" t="s">
        <v>3281</v>
      </c>
      <c r="B526" s="242"/>
      <c r="C526" s="135" t="s">
        <v>3282</v>
      </c>
      <c r="D526" s="139" t="s">
        <v>2983</v>
      </c>
      <c r="E526" s="159">
        <v>1</v>
      </c>
      <c r="F526" s="159"/>
      <c r="G526" s="159"/>
      <c r="H526" s="160">
        <v>18763.650000000001</v>
      </c>
      <c r="I526" s="161">
        <f t="shared" ref="I526:I530" si="13">E526*H526</f>
        <v>18763.650000000001</v>
      </c>
      <c r="J526" s="135" t="s">
        <v>1355</v>
      </c>
      <c r="K526" s="135" t="s">
        <v>2843</v>
      </c>
      <c r="L526" s="134" t="s">
        <v>3613</v>
      </c>
    </row>
    <row r="527" spans="1:12" x14ac:dyDescent="0.2">
      <c r="A527" s="158" t="s">
        <v>3284</v>
      </c>
      <c r="B527" s="242"/>
      <c r="C527" s="135" t="s">
        <v>3285</v>
      </c>
      <c r="D527" s="139" t="s">
        <v>2983</v>
      </c>
      <c r="E527" s="159">
        <v>3</v>
      </c>
      <c r="F527" s="159"/>
      <c r="G527" s="159"/>
      <c r="H527" s="160">
        <v>62500</v>
      </c>
      <c r="I527" s="161">
        <f t="shared" si="13"/>
        <v>187500</v>
      </c>
      <c r="J527" s="135" t="s">
        <v>1355</v>
      </c>
      <c r="K527" s="135" t="s">
        <v>2843</v>
      </c>
      <c r="L527" s="134" t="s">
        <v>3613</v>
      </c>
    </row>
    <row r="528" spans="1:12" x14ac:dyDescent="0.2">
      <c r="A528" s="158" t="s">
        <v>3287</v>
      </c>
      <c r="B528" s="242"/>
      <c r="C528" s="135" t="s">
        <v>3288</v>
      </c>
      <c r="D528" s="139" t="s">
        <v>2983</v>
      </c>
      <c r="E528" s="159">
        <v>3</v>
      </c>
      <c r="F528" s="159"/>
      <c r="G528" s="159"/>
      <c r="H528" s="160">
        <v>43983</v>
      </c>
      <c r="I528" s="161">
        <f t="shared" si="13"/>
        <v>131949</v>
      </c>
      <c r="J528" s="135" t="s">
        <v>1355</v>
      </c>
      <c r="K528" s="135" t="s">
        <v>2843</v>
      </c>
      <c r="L528" s="134" t="s">
        <v>3613</v>
      </c>
    </row>
    <row r="529" spans="1:12" x14ac:dyDescent="0.2">
      <c r="A529" s="158" t="s">
        <v>3290</v>
      </c>
      <c r="B529" s="242"/>
      <c r="C529" s="135" t="s">
        <v>3291</v>
      </c>
      <c r="D529" s="139" t="s">
        <v>2983</v>
      </c>
      <c r="E529" s="159">
        <v>4</v>
      </c>
      <c r="F529" s="159"/>
      <c r="G529" s="159"/>
      <c r="H529" s="160">
        <v>93973.23</v>
      </c>
      <c r="I529" s="161">
        <f t="shared" si="13"/>
        <v>375892.92</v>
      </c>
      <c r="J529" s="135" t="s">
        <v>1355</v>
      </c>
      <c r="K529" s="135" t="s">
        <v>2843</v>
      </c>
      <c r="L529" s="134" t="s">
        <v>3613</v>
      </c>
    </row>
    <row r="530" spans="1:12" ht="13.5" thickBot="1" x14ac:dyDescent="0.25">
      <c r="A530" s="162" t="s">
        <v>3293</v>
      </c>
      <c r="B530" s="243"/>
      <c r="C530" s="142" t="s">
        <v>3294</v>
      </c>
      <c r="D530" s="139" t="s">
        <v>2983</v>
      </c>
      <c r="E530" s="163">
        <v>3</v>
      </c>
      <c r="F530" s="163"/>
      <c r="G530" s="163"/>
      <c r="H530" s="164">
        <v>93973.23</v>
      </c>
      <c r="I530" s="165">
        <f t="shared" si="13"/>
        <v>281919.69</v>
      </c>
      <c r="J530" s="142" t="s">
        <v>1355</v>
      </c>
      <c r="K530" s="142" t="s">
        <v>2843</v>
      </c>
      <c r="L530" s="141" t="s">
        <v>3613</v>
      </c>
    </row>
    <row r="531" spans="1:12" ht="13.5" thickBot="1" x14ac:dyDescent="0.25">
      <c r="A531" s="147">
        <v>13</v>
      </c>
      <c r="B531" s="240"/>
      <c r="C531" s="150" t="str">
        <f>K531</f>
        <v xml:space="preserve"> SISTEMA DE SUPERVISÃO E MONITORAMENTO  </v>
      </c>
      <c r="D531" s="150" t="s">
        <v>1528</v>
      </c>
      <c r="E531" s="151"/>
      <c r="F531" s="151"/>
      <c r="G531" s="151"/>
      <c r="H531" s="152"/>
      <c r="I531" s="153"/>
      <c r="J531" s="149" t="s">
        <v>1355</v>
      </c>
      <c r="K531" s="149" t="s">
        <v>3296</v>
      </c>
      <c r="L531" s="166" t="s">
        <v>3613</v>
      </c>
    </row>
    <row r="532" spans="1:12" x14ac:dyDescent="0.2">
      <c r="A532" s="154" t="s">
        <v>3298</v>
      </c>
      <c r="B532" s="241"/>
      <c r="C532" s="128" t="s">
        <v>3299</v>
      </c>
      <c r="D532" s="139" t="s">
        <v>2983</v>
      </c>
      <c r="E532" s="155">
        <v>5</v>
      </c>
      <c r="F532" s="155"/>
      <c r="G532" s="155"/>
      <c r="H532" s="156">
        <v>1907.09</v>
      </c>
      <c r="I532" s="157">
        <f>E532*H532</f>
        <v>9535.4499999999989</v>
      </c>
      <c r="J532" s="128" t="s">
        <v>1355</v>
      </c>
      <c r="K532" s="128" t="s">
        <v>3296</v>
      </c>
      <c r="L532" s="127" t="s">
        <v>3613</v>
      </c>
    </row>
    <row r="533" spans="1:12" x14ac:dyDescent="0.2">
      <c r="A533" s="158" t="s">
        <v>3301</v>
      </c>
      <c r="B533" s="242"/>
      <c r="C533" s="135" t="s">
        <v>3302</v>
      </c>
      <c r="D533" s="139" t="s">
        <v>2983</v>
      </c>
      <c r="E533" s="159">
        <v>4</v>
      </c>
      <c r="F533" s="159"/>
      <c r="G533" s="159"/>
      <c r="H533" s="160">
        <v>1907.09</v>
      </c>
      <c r="I533" s="161">
        <f t="shared" ref="I533:I596" si="14">E533*H533</f>
        <v>7628.36</v>
      </c>
      <c r="J533" s="135" t="s">
        <v>1355</v>
      </c>
      <c r="K533" s="135" t="s">
        <v>3296</v>
      </c>
      <c r="L533" s="134" t="s">
        <v>3613</v>
      </c>
    </row>
    <row r="534" spans="1:12" x14ac:dyDescent="0.2">
      <c r="A534" s="158" t="s">
        <v>3304</v>
      </c>
      <c r="B534" s="242"/>
      <c r="C534" s="135" t="s">
        <v>3305</v>
      </c>
      <c r="D534" s="139" t="s">
        <v>2983</v>
      </c>
      <c r="E534" s="159">
        <v>27</v>
      </c>
      <c r="F534" s="159"/>
      <c r="G534" s="159"/>
      <c r="H534" s="160">
        <v>1907.09</v>
      </c>
      <c r="I534" s="161">
        <f t="shared" si="14"/>
        <v>51491.43</v>
      </c>
      <c r="J534" s="135" t="s">
        <v>1355</v>
      </c>
      <c r="K534" s="135" t="s">
        <v>3296</v>
      </c>
      <c r="L534" s="134" t="s">
        <v>3613</v>
      </c>
    </row>
    <row r="535" spans="1:12" x14ac:dyDescent="0.2">
      <c r="A535" s="158" t="s">
        <v>3307</v>
      </c>
      <c r="B535" s="242"/>
      <c r="C535" s="135" t="s">
        <v>3308</v>
      </c>
      <c r="D535" s="139" t="s">
        <v>2983</v>
      </c>
      <c r="E535" s="159">
        <v>7</v>
      </c>
      <c r="F535" s="159"/>
      <c r="G535" s="159"/>
      <c r="H535" s="160">
        <v>1907.09</v>
      </c>
      <c r="I535" s="161">
        <f t="shared" si="14"/>
        <v>13349.63</v>
      </c>
      <c r="J535" s="135" t="s">
        <v>1355</v>
      </c>
      <c r="K535" s="135" t="s">
        <v>3296</v>
      </c>
      <c r="L535" s="134" t="s">
        <v>3613</v>
      </c>
    </row>
    <row r="536" spans="1:12" x14ac:dyDescent="0.2">
      <c r="A536" s="158" t="s">
        <v>3310</v>
      </c>
      <c r="B536" s="242"/>
      <c r="C536" s="135" t="s">
        <v>3311</v>
      </c>
      <c r="D536" s="139" t="s">
        <v>2983</v>
      </c>
      <c r="E536" s="159">
        <v>6</v>
      </c>
      <c r="F536" s="159"/>
      <c r="G536" s="159"/>
      <c r="H536" s="160">
        <v>1907.09</v>
      </c>
      <c r="I536" s="161">
        <f t="shared" si="14"/>
        <v>11442.539999999999</v>
      </c>
      <c r="J536" s="135" t="s">
        <v>1355</v>
      </c>
      <c r="K536" s="135" t="s">
        <v>3296</v>
      </c>
      <c r="L536" s="134" t="s">
        <v>3613</v>
      </c>
    </row>
    <row r="537" spans="1:12" x14ac:dyDescent="0.2">
      <c r="A537" s="158" t="s">
        <v>3313</v>
      </c>
      <c r="B537" s="242"/>
      <c r="C537" s="135" t="s">
        <v>3314</v>
      </c>
      <c r="D537" s="139" t="s">
        <v>2983</v>
      </c>
      <c r="E537" s="159">
        <v>2</v>
      </c>
      <c r="F537" s="159"/>
      <c r="G537" s="159"/>
      <c r="H537" s="160">
        <v>1907.09</v>
      </c>
      <c r="I537" s="161">
        <f t="shared" si="14"/>
        <v>3814.18</v>
      </c>
      <c r="J537" s="135" t="s">
        <v>1355</v>
      </c>
      <c r="K537" s="135" t="s">
        <v>3296</v>
      </c>
      <c r="L537" s="134" t="s">
        <v>3613</v>
      </c>
    </row>
    <row r="538" spans="1:12" x14ac:dyDescent="0.2">
      <c r="A538" s="158" t="s">
        <v>3316</v>
      </c>
      <c r="B538" s="242"/>
      <c r="C538" s="135" t="s">
        <v>3317</v>
      </c>
      <c r="D538" s="139" t="s">
        <v>2983</v>
      </c>
      <c r="E538" s="159">
        <v>4</v>
      </c>
      <c r="F538" s="159"/>
      <c r="G538" s="159"/>
      <c r="H538" s="160">
        <v>1907.09</v>
      </c>
      <c r="I538" s="161">
        <f t="shared" si="14"/>
        <v>7628.36</v>
      </c>
      <c r="J538" s="135" t="s">
        <v>1355</v>
      </c>
      <c r="K538" s="135" t="s">
        <v>3296</v>
      </c>
      <c r="L538" s="134" t="s">
        <v>3613</v>
      </c>
    </row>
    <row r="539" spans="1:12" x14ac:dyDescent="0.2">
      <c r="A539" s="158" t="s">
        <v>3319</v>
      </c>
      <c r="B539" s="242"/>
      <c r="C539" s="135" t="s">
        <v>3320</v>
      </c>
      <c r="D539" s="139" t="s">
        <v>2983</v>
      </c>
      <c r="E539" s="159">
        <v>5</v>
      </c>
      <c r="F539" s="159"/>
      <c r="G539" s="159"/>
      <c r="H539" s="160">
        <v>34232.44</v>
      </c>
      <c r="I539" s="161">
        <f t="shared" si="14"/>
        <v>171162.2</v>
      </c>
      <c r="J539" s="135" t="s">
        <v>1355</v>
      </c>
      <c r="K539" s="135" t="s">
        <v>3296</v>
      </c>
      <c r="L539" s="134" t="s">
        <v>3613</v>
      </c>
    </row>
    <row r="540" spans="1:12" x14ac:dyDescent="0.2">
      <c r="A540" s="158" t="s">
        <v>3322</v>
      </c>
      <c r="B540" s="242"/>
      <c r="C540" s="135" t="s">
        <v>3323</v>
      </c>
      <c r="D540" s="139" t="s">
        <v>2983</v>
      </c>
      <c r="E540" s="159">
        <v>5</v>
      </c>
      <c r="F540" s="159"/>
      <c r="G540" s="159"/>
      <c r="H540" s="160">
        <v>19561.39</v>
      </c>
      <c r="I540" s="161">
        <f t="shared" si="14"/>
        <v>97806.95</v>
      </c>
      <c r="J540" s="135" t="s">
        <v>1355</v>
      </c>
      <c r="K540" s="135" t="s">
        <v>3296</v>
      </c>
      <c r="L540" s="134" t="s">
        <v>3613</v>
      </c>
    </row>
    <row r="541" spans="1:12" x14ac:dyDescent="0.2">
      <c r="A541" s="158" t="s">
        <v>3325</v>
      </c>
      <c r="B541" s="242"/>
      <c r="C541" s="135" t="s">
        <v>3326</v>
      </c>
      <c r="D541" s="129" t="s">
        <v>1361</v>
      </c>
      <c r="E541" s="159">
        <v>3000</v>
      </c>
      <c r="F541" s="159"/>
      <c r="G541" s="159"/>
      <c r="H541" s="160">
        <v>48.9</v>
      </c>
      <c r="I541" s="161">
        <f t="shared" si="14"/>
        <v>146700</v>
      </c>
      <c r="J541" s="135" t="s">
        <v>1355</v>
      </c>
      <c r="K541" s="135" t="s">
        <v>3296</v>
      </c>
      <c r="L541" s="134" t="s">
        <v>3613</v>
      </c>
    </row>
    <row r="542" spans="1:12" x14ac:dyDescent="0.2">
      <c r="A542" s="158" t="s">
        <v>3328</v>
      </c>
      <c r="B542" s="242"/>
      <c r="C542" s="135" t="s">
        <v>3329</v>
      </c>
      <c r="D542" s="129" t="s">
        <v>1361</v>
      </c>
      <c r="E542" s="159">
        <v>2100</v>
      </c>
      <c r="F542" s="159"/>
      <c r="G542" s="159"/>
      <c r="H542" s="160">
        <v>44.01</v>
      </c>
      <c r="I542" s="161">
        <f t="shared" si="14"/>
        <v>92421</v>
      </c>
      <c r="J542" s="135" t="s">
        <v>1355</v>
      </c>
      <c r="K542" s="135" t="s">
        <v>3296</v>
      </c>
      <c r="L542" s="134" t="s">
        <v>3613</v>
      </c>
    </row>
    <row r="543" spans="1:12" x14ac:dyDescent="0.2">
      <c r="A543" s="158" t="s">
        <v>3331</v>
      </c>
      <c r="B543" s="242"/>
      <c r="C543" s="135" t="s">
        <v>3332</v>
      </c>
      <c r="D543" s="129" t="s">
        <v>1361</v>
      </c>
      <c r="E543" s="159">
        <v>100</v>
      </c>
      <c r="F543" s="159"/>
      <c r="G543" s="159"/>
      <c r="H543" s="160">
        <v>22.01</v>
      </c>
      <c r="I543" s="161">
        <f t="shared" si="14"/>
        <v>2201</v>
      </c>
      <c r="J543" s="135" t="s">
        <v>1355</v>
      </c>
      <c r="K543" s="135" t="s">
        <v>3296</v>
      </c>
      <c r="L543" s="134" t="s">
        <v>3613</v>
      </c>
    </row>
    <row r="544" spans="1:12" x14ac:dyDescent="0.2">
      <c r="A544" s="158" t="s">
        <v>3334</v>
      </c>
      <c r="B544" s="242"/>
      <c r="C544" s="135" t="s">
        <v>3336</v>
      </c>
      <c r="D544" s="129" t="s">
        <v>1361</v>
      </c>
      <c r="E544" s="159">
        <v>26000</v>
      </c>
      <c r="F544" s="159"/>
      <c r="G544" s="159"/>
      <c r="H544" s="160">
        <v>22.01</v>
      </c>
      <c r="I544" s="161">
        <f t="shared" si="14"/>
        <v>572260</v>
      </c>
      <c r="J544" s="135" t="s">
        <v>1355</v>
      </c>
      <c r="K544" s="135" t="s">
        <v>3296</v>
      </c>
      <c r="L544" s="134" t="s">
        <v>3335</v>
      </c>
    </row>
    <row r="545" spans="1:12" x14ac:dyDescent="0.2">
      <c r="A545" s="158" t="s">
        <v>3338</v>
      </c>
      <c r="B545" s="242"/>
      <c r="C545" s="135" t="s">
        <v>3340</v>
      </c>
      <c r="D545" s="129" t="s">
        <v>1361</v>
      </c>
      <c r="E545" s="159">
        <v>3700</v>
      </c>
      <c r="F545" s="159"/>
      <c r="G545" s="159"/>
      <c r="H545" s="160">
        <v>10.69</v>
      </c>
      <c r="I545" s="161">
        <f t="shared" si="14"/>
        <v>39553</v>
      </c>
      <c r="J545" s="135" t="s">
        <v>1355</v>
      </c>
      <c r="K545" s="135" t="s">
        <v>3296</v>
      </c>
      <c r="L545" s="134" t="s">
        <v>3339</v>
      </c>
    </row>
    <row r="546" spans="1:12" x14ac:dyDescent="0.2">
      <c r="A546" s="158" t="s">
        <v>3342</v>
      </c>
      <c r="B546" s="242"/>
      <c r="C546" s="135" t="s">
        <v>3344</v>
      </c>
      <c r="D546" s="129" t="s">
        <v>1361</v>
      </c>
      <c r="E546" s="159">
        <v>10600</v>
      </c>
      <c r="F546" s="159"/>
      <c r="G546" s="159"/>
      <c r="H546" s="160">
        <v>18.100000000000001</v>
      </c>
      <c r="I546" s="161">
        <f t="shared" si="14"/>
        <v>191860.00000000003</v>
      </c>
      <c r="J546" s="135" t="s">
        <v>1355</v>
      </c>
      <c r="K546" s="135" t="s">
        <v>3296</v>
      </c>
      <c r="L546" s="134" t="s">
        <v>3343</v>
      </c>
    </row>
    <row r="547" spans="1:12" x14ac:dyDescent="0.2">
      <c r="A547" s="158" t="s">
        <v>3346</v>
      </c>
      <c r="B547" s="242"/>
      <c r="C547" s="135" t="s">
        <v>3347</v>
      </c>
      <c r="D547" s="129" t="s">
        <v>1361</v>
      </c>
      <c r="E547" s="159">
        <v>3100</v>
      </c>
      <c r="F547" s="159"/>
      <c r="G547" s="159"/>
      <c r="H547" s="160">
        <v>9.77</v>
      </c>
      <c r="I547" s="161">
        <f t="shared" si="14"/>
        <v>30287</v>
      </c>
      <c r="J547" s="135" t="s">
        <v>1355</v>
      </c>
      <c r="K547" s="135" t="s">
        <v>3296</v>
      </c>
      <c r="L547" s="134" t="s">
        <v>3613</v>
      </c>
    </row>
    <row r="548" spans="1:12" x14ac:dyDescent="0.2">
      <c r="A548" s="158" t="s">
        <v>3349</v>
      </c>
      <c r="B548" s="242"/>
      <c r="C548" s="135" t="s">
        <v>3350</v>
      </c>
      <c r="D548" s="129" t="s">
        <v>1361</v>
      </c>
      <c r="E548" s="159">
        <v>65100</v>
      </c>
      <c r="F548" s="159"/>
      <c r="G548" s="159"/>
      <c r="H548" s="160">
        <v>11</v>
      </c>
      <c r="I548" s="161">
        <f t="shared" si="14"/>
        <v>716100</v>
      </c>
      <c r="J548" s="135" t="s">
        <v>1355</v>
      </c>
      <c r="K548" s="135" t="s">
        <v>3296</v>
      </c>
      <c r="L548" s="134" t="s">
        <v>3613</v>
      </c>
    </row>
    <row r="549" spans="1:12" x14ac:dyDescent="0.2">
      <c r="A549" s="158" t="s">
        <v>3352</v>
      </c>
      <c r="B549" s="242"/>
      <c r="C549" s="135" t="s">
        <v>3353</v>
      </c>
      <c r="D549" s="129" t="s">
        <v>1361</v>
      </c>
      <c r="E549" s="159">
        <v>3000</v>
      </c>
      <c r="F549" s="159"/>
      <c r="G549" s="159"/>
      <c r="H549" s="160">
        <v>17.12</v>
      </c>
      <c r="I549" s="161">
        <f t="shared" si="14"/>
        <v>51360</v>
      </c>
      <c r="J549" s="135" t="s">
        <v>1355</v>
      </c>
      <c r="K549" s="135" t="s">
        <v>3296</v>
      </c>
      <c r="L549" s="134" t="s">
        <v>3613</v>
      </c>
    </row>
    <row r="550" spans="1:12" x14ac:dyDescent="0.2">
      <c r="A550" s="158" t="s">
        <v>3355</v>
      </c>
      <c r="B550" s="242"/>
      <c r="C550" s="135" t="s">
        <v>3356</v>
      </c>
      <c r="D550" s="129" t="s">
        <v>1361</v>
      </c>
      <c r="E550" s="159">
        <v>2200</v>
      </c>
      <c r="F550" s="159"/>
      <c r="G550" s="159"/>
      <c r="H550" s="160">
        <v>14.67</v>
      </c>
      <c r="I550" s="161">
        <f t="shared" si="14"/>
        <v>32274</v>
      </c>
      <c r="J550" s="135" t="s">
        <v>1355</v>
      </c>
      <c r="K550" s="135" t="s">
        <v>3296</v>
      </c>
      <c r="L550" s="134" t="s">
        <v>3613</v>
      </c>
    </row>
    <row r="551" spans="1:12" x14ac:dyDescent="0.2">
      <c r="A551" s="158" t="s">
        <v>3358</v>
      </c>
      <c r="B551" s="242"/>
      <c r="C551" s="135" t="s">
        <v>3359</v>
      </c>
      <c r="D551" s="139" t="s">
        <v>1627</v>
      </c>
      <c r="E551" s="159">
        <v>105</v>
      </c>
      <c r="F551" s="159"/>
      <c r="G551" s="159"/>
      <c r="H551" s="160">
        <v>441.52</v>
      </c>
      <c r="I551" s="161">
        <f t="shared" si="14"/>
        <v>46359.6</v>
      </c>
      <c r="J551" s="135" t="s">
        <v>1355</v>
      </c>
      <c r="K551" s="135" t="s">
        <v>3296</v>
      </c>
      <c r="L551" s="134" t="s">
        <v>3613</v>
      </c>
    </row>
    <row r="552" spans="1:12" x14ac:dyDescent="0.2">
      <c r="A552" s="158" t="s">
        <v>3361</v>
      </c>
      <c r="B552" s="242"/>
      <c r="C552" s="135" t="s">
        <v>3362</v>
      </c>
      <c r="D552" s="139" t="s">
        <v>2983</v>
      </c>
      <c r="E552" s="159">
        <v>1</v>
      </c>
      <c r="F552" s="159"/>
      <c r="G552" s="159"/>
      <c r="H552" s="160">
        <v>195613.95</v>
      </c>
      <c r="I552" s="161">
        <f t="shared" si="14"/>
        <v>195613.95</v>
      </c>
      <c r="J552" s="135" t="s">
        <v>1355</v>
      </c>
      <c r="K552" s="135" t="s">
        <v>3296</v>
      </c>
      <c r="L552" s="134" t="s">
        <v>3613</v>
      </c>
    </row>
    <row r="553" spans="1:12" x14ac:dyDescent="0.2">
      <c r="A553" s="158" t="s">
        <v>3364</v>
      </c>
      <c r="B553" s="242"/>
      <c r="C553" s="135" t="s">
        <v>3365</v>
      </c>
      <c r="D553" s="139" t="s">
        <v>1627</v>
      </c>
      <c r="E553" s="159">
        <v>2</v>
      </c>
      <c r="F553" s="159"/>
      <c r="G553" s="159"/>
      <c r="H553" s="160">
        <v>130000</v>
      </c>
      <c r="I553" s="161">
        <f t="shared" si="14"/>
        <v>260000</v>
      </c>
      <c r="J553" s="135" t="s">
        <v>1355</v>
      </c>
      <c r="K553" s="135" t="s">
        <v>3296</v>
      </c>
      <c r="L553" s="134" t="s">
        <v>3613</v>
      </c>
    </row>
    <row r="554" spans="1:12" x14ac:dyDescent="0.2">
      <c r="A554" s="158" t="s">
        <v>3367</v>
      </c>
      <c r="B554" s="242"/>
      <c r="C554" s="135" t="s">
        <v>3368</v>
      </c>
      <c r="D554" s="139" t="s">
        <v>2983</v>
      </c>
      <c r="E554" s="159">
        <v>1</v>
      </c>
      <c r="F554" s="159"/>
      <c r="G554" s="159"/>
      <c r="H554" s="160">
        <v>146710.45000000001</v>
      </c>
      <c r="I554" s="161">
        <f t="shared" si="14"/>
        <v>146710.45000000001</v>
      </c>
      <c r="J554" s="135" t="s">
        <v>1355</v>
      </c>
      <c r="K554" s="135" t="s">
        <v>3296</v>
      </c>
      <c r="L554" s="134" t="s">
        <v>3613</v>
      </c>
    </row>
    <row r="555" spans="1:12" x14ac:dyDescent="0.2">
      <c r="A555" s="158" t="s">
        <v>3370</v>
      </c>
      <c r="B555" s="242"/>
      <c r="C555" s="135" t="s">
        <v>3371</v>
      </c>
      <c r="D555" s="139" t="s">
        <v>3372</v>
      </c>
      <c r="E555" s="159">
        <v>1</v>
      </c>
      <c r="F555" s="159"/>
      <c r="G555" s="159"/>
      <c r="H555" s="160">
        <v>73355.23</v>
      </c>
      <c r="I555" s="161">
        <f t="shared" si="14"/>
        <v>73355.23</v>
      </c>
      <c r="J555" s="135" t="s">
        <v>1355</v>
      </c>
      <c r="K555" s="135" t="s">
        <v>3296</v>
      </c>
      <c r="L555" s="134" t="s">
        <v>3613</v>
      </c>
    </row>
    <row r="556" spans="1:12" x14ac:dyDescent="0.2">
      <c r="A556" s="158" t="s">
        <v>3374</v>
      </c>
      <c r="B556" s="242"/>
      <c r="C556" s="135" t="s">
        <v>3375</v>
      </c>
      <c r="D556" s="139" t="s">
        <v>2983</v>
      </c>
      <c r="E556" s="159">
        <v>10</v>
      </c>
      <c r="F556" s="159"/>
      <c r="G556" s="159"/>
      <c r="H556" s="160">
        <v>48903.48</v>
      </c>
      <c r="I556" s="161">
        <f t="shared" si="14"/>
        <v>489034.80000000005</v>
      </c>
      <c r="J556" s="135" t="s">
        <v>1355</v>
      </c>
      <c r="K556" s="135" t="s">
        <v>3296</v>
      </c>
      <c r="L556" s="134" t="s">
        <v>3613</v>
      </c>
    </row>
    <row r="557" spans="1:12" x14ac:dyDescent="0.2">
      <c r="A557" s="158" t="s">
        <v>3377</v>
      </c>
      <c r="B557" s="242"/>
      <c r="C557" s="135" t="s">
        <v>3378</v>
      </c>
      <c r="D557" s="139" t="s">
        <v>2983</v>
      </c>
      <c r="E557" s="159">
        <v>122</v>
      </c>
      <c r="F557" s="159"/>
      <c r="G557" s="159"/>
      <c r="H557" s="160">
        <v>1711.62</v>
      </c>
      <c r="I557" s="161">
        <f t="shared" si="14"/>
        <v>208817.63999999998</v>
      </c>
      <c r="J557" s="135" t="s">
        <v>1355</v>
      </c>
      <c r="K557" s="135" t="s">
        <v>3296</v>
      </c>
      <c r="L557" s="134" t="s">
        <v>3613</v>
      </c>
    </row>
    <row r="558" spans="1:12" x14ac:dyDescent="0.2">
      <c r="A558" s="158" t="s">
        <v>3380</v>
      </c>
      <c r="B558" s="242"/>
      <c r="C558" s="135" t="s">
        <v>3381</v>
      </c>
      <c r="D558" s="139" t="s">
        <v>2983</v>
      </c>
      <c r="E558" s="159">
        <v>33</v>
      </c>
      <c r="F558" s="159"/>
      <c r="G558" s="159"/>
      <c r="H558" s="160">
        <v>24451.74</v>
      </c>
      <c r="I558" s="161">
        <f t="shared" si="14"/>
        <v>806907.42</v>
      </c>
      <c r="J558" s="135" t="s">
        <v>1355</v>
      </c>
      <c r="K558" s="135" t="s">
        <v>3296</v>
      </c>
      <c r="L558" s="134" t="s">
        <v>3613</v>
      </c>
    </row>
    <row r="559" spans="1:12" x14ac:dyDescent="0.2">
      <c r="A559" s="158" t="s">
        <v>3383</v>
      </c>
      <c r="B559" s="242"/>
      <c r="C559" s="135" t="s">
        <v>3384</v>
      </c>
      <c r="D559" s="139" t="s">
        <v>2983</v>
      </c>
      <c r="E559" s="159">
        <v>76</v>
      </c>
      <c r="F559" s="159"/>
      <c r="G559" s="159"/>
      <c r="H559" s="160">
        <v>7824.56</v>
      </c>
      <c r="I559" s="161">
        <f t="shared" si="14"/>
        <v>594666.56000000006</v>
      </c>
      <c r="J559" s="135" t="s">
        <v>1355</v>
      </c>
      <c r="K559" s="135" t="s">
        <v>3296</v>
      </c>
      <c r="L559" s="134" t="s">
        <v>3613</v>
      </c>
    </row>
    <row r="560" spans="1:12" x14ac:dyDescent="0.2">
      <c r="A560" s="158" t="s">
        <v>3386</v>
      </c>
      <c r="B560" s="242"/>
      <c r="C560" s="135" t="s">
        <v>3387</v>
      </c>
      <c r="D560" s="139" t="s">
        <v>2983</v>
      </c>
      <c r="E560" s="159">
        <v>12</v>
      </c>
      <c r="F560" s="159"/>
      <c r="G560" s="159"/>
      <c r="H560" s="160">
        <v>7824.56</v>
      </c>
      <c r="I560" s="161">
        <f t="shared" si="14"/>
        <v>93894.720000000001</v>
      </c>
      <c r="J560" s="135" t="s">
        <v>1355</v>
      </c>
      <c r="K560" s="135" t="s">
        <v>3296</v>
      </c>
      <c r="L560" s="134" t="s">
        <v>3613</v>
      </c>
    </row>
    <row r="561" spans="1:12" x14ac:dyDescent="0.2">
      <c r="A561" s="158" t="s">
        <v>3389</v>
      </c>
      <c r="B561" s="242"/>
      <c r="C561" s="135" t="s">
        <v>3390</v>
      </c>
      <c r="D561" s="139" t="s">
        <v>2983</v>
      </c>
      <c r="E561" s="159">
        <v>4</v>
      </c>
      <c r="F561" s="159"/>
      <c r="G561" s="159"/>
      <c r="H561" s="160">
        <v>24390.61</v>
      </c>
      <c r="I561" s="161">
        <f t="shared" si="14"/>
        <v>97562.44</v>
      </c>
      <c r="J561" s="135" t="s">
        <v>1355</v>
      </c>
      <c r="K561" s="135" t="s">
        <v>3296</v>
      </c>
      <c r="L561" s="134" t="s">
        <v>3613</v>
      </c>
    </row>
    <row r="562" spans="1:12" x14ac:dyDescent="0.2">
      <c r="A562" s="158" t="s">
        <v>3392</v>
      </c>
      <c r="B562" s="242"/>
      <c r="C562" s="135" t="s">
        <v>3393</v>
      </c>
      <c r="D562" s="139" t="s">
        <v>2983</v>
      </c>
      <c r="E562" s="159">
        <v>8</v>
      </c>
      <c r="F562" s="159"/>
      <c r="G562" s="159"/>
      <c r="H562" s="160">
        <v>9780.7000000000007</v>
      </c>
      <c r="I562" s="161">
        <f t="shared" si="14"/>
        <v>78245.600000000006</v>
      </c>
      <c r="J562" s="135" t="s">
        <v>1355</v>
      </c>
      <c r="K562" s="135" t="s">
        <v>3296</v>
      </c>
      <c r="L562" s="134" t="s">
        <v>3613</v>
      </c>
    </row>
    <row r="563" spans="1:12" x14ac:dyDescent="0.2">
      <c r="A563" s="158" t="s">
        <v>3395</v>
      </c>
      <c r="B563" s="242"/>
      <c r="C563" s="135" t="s">
        <v>3396</v>
      </c>
      <c r="D563" s="139" t="s">
        <v>2983</v>
      </c>
      <c r="E563" s="159">
        <v>10</v>
      </c>
      <c r="F563" s="159"/>
      <c r="G563" s="159"/>
      <c r="H563" s="160">
        <v>9780.7000000000007</v>
      </c>
      <c r="I563" s="161">
        <f t="shared" si="14"/>
        <v>97807</v>
      </c>
      <c r="J563" s="135" t="s">
        <v>1355</v>
      </c>
      <c r="K563" s="135" t="s">
        <v>3296</v>
      </c>
      <c r="L563" s="134" t="s">
        <v>3613</v>
      </c>
    </row>
    <row r="564" spans="1:12" x14ac:dyDescent="0.2">
      <c r="A564" s="158" t="s">
        <v>3398</v>
      </c>
      <c r="B564" s="242"/>
      <c r="C564" s="135" t="s">
        <v>3399</v>
      </c>
      <c r="D564" s="139" t="s">
        <v>2983</v>
      </c>
      <c r="E564" s="159">
        <v>8</v>
      </c>
      <c r="F564" s="159"/>
      <c r="G564" s="159"/>
      <c r="H564" s="160">
        <v>9780.7000000000007</v>
      </c>
      <c r="I564" s="161">
        <f t="shared" si="14"/>
        <v>78245.600000000006</v>
      </c>
      <c r="J564" s="135" t="s">
        <v>1355</v>
      </c>
      <c r="K564" s="135" t="s">
        <v>3296</v>
      </c>
      <c r="L564" s="134" t="s">
        <v>3613</v>
      </c>
    </row>
    <row r="565" spans="1:12" x14ac:dyDescent="0.2">
      <c r="A565" s="158" t="s">
        <v>3401</v>
      </c>
      <c r="B565" s="242"/>
      <c r="C565" s="135" t="s">
        <v>3402</v>
      </c>
      <c r="D565" s="139" t="s">
        <v>2983</v>
      </c>
      <c r="E565" s="159">
        <v>33</v>
      </c>
      <c r="F565" s="159"/>
      <c r="G565" s="159"/>
      <c r="H565" s="160">
        <v>9202.7999999999993</v>
      </c>
      <c r="I565" s="161">
        <f t="shared" si="14"/>
        <v>303692.39999999997</v>
      </c>
      <c r="J565" s="135" t="s">
        <v>1355</v>
      </c>
      <c r="K565" s="135" t="s">
        <v>3296</v>
      </c>
      <c r="L565" s="134" t="s">
        <v>3613</v>
      </c>
    </row>
    <row r="566" spans="1:12" x14ac:dyDescent="0.2">
      <c r="A566" s="158" t="s">
        <v>3404</v>
      </c>
      <c r="B566" s="242"/>
      <c r="C566" s="135" t="s">
        <v>3405</v>
      </c>
      <c r="D566" s="139" t="s">
        <v>2983</v>
      </c>
      <c r="E566" s="159">
        <v>10</v>
      </c>
      <c r="F566" s="159"/>
      <c r="G566" s="159"/>
      <c r="H566" s="160">
        <v>9202.7999999999993</v>
      </c>
      <c r="I566" s="161">
        <f t="shared" si="14"/>
        <v>92028</v>
      </c>
      <c r="J566" s="135" t="s">
        <v>1355</v>
      </c>
      <c r="K566" s="135" t="s">
        <v>3296</v>
      </c>
      <c r="L566" s="134" t="s">
        <v>3613</v>
      </c>
    </row>
    <row r="567" spans="1:12" x14ac:dyDescent="0.2">
      <c r="A567" s="158" t="s">
        <v>3407</v>
      </c>
      <c r="B567" s="242"/>
      <c r="C567" s="135" t="s">
        <v>3408</v>
      </c>
      <c r="D567" s="139" t="s">
        <v>2983</v>
      </c>
      <c r="E567" s="159">
        <v>15</v>
      </c>
      <c r="F567" s="159"/>
      <c r="G567" s="159"/>
      <c r="H567" s="160">
        <v>9202.7999999999993</v>
      </c>
      <c r="I567" s="161">
        <f t="shared" si="14"/>
        <v>138042</v>
      </c>
      <c r="J567" s="135" t="s">
        <v>1355</v>
      </c>
      <c r="K567" s="135" t="s">
        <v>3296</v>
      </c>
      <c r="L567" s="134" t="s">
        <v>3613</v>
      </c>
    </row>
    <row r="568" spans="1:12" x14ac:dyDescent="0.2">
      <c r="A568" s="158" t="s">
        <v>3410</v>
      </c>
      <c r="B568" s="242"/>
      <c r="C568" s="135" t="s">
        <v>3411</v>
      </c>
      <c r="D568" s="139" t="s">
        <v>2983</v>
      </c>
      <c r="E568" s="159">
        <v>18</v>
      </c>
      <c r="F568" s="159"/>
      <c r="G568" s="159"/>
      <c r="H568" s="160">
        <v>9202.7999999999993</v>
      </c>
      <c r="I568" s="161">
        <f t="shared" si="14"/>
        <v>165650.4</v>
      </c>
      <c r="J568" s="135" t="s">
        <v>1355</v>
      </c>
      <c r="K568" s="135" t="s">
        <v>3296</v>
      </c>
      <c r="L568" s="134" t="s">
        <v>3613</v>
      </c>
    </row>
    <row r="569" spans="1:12" x14ac:dyDescent="0.2">
      <c r="A569" s="158" t="s">
        <v>3413</v>
      </c>
      <c r="B569" s="242"/>
      <c r="C569" s="135" t="s">
        <v>3414</v>
      </c>
      <c r="D569" s="139" t="s">
        <v>2983</v>
      </c>
      <c r="E569" s="159">
        <v>12</v>
      </c>
      <c r="F569" s="159"/>
      <c r="G569" s="159"/>
      <c r="H569" s="160">
        <v>58684.18</v>
      </c>
      <c r="I569" s="161">
        <f t="shared" si="14"/>
        <v>704210.16</v>
      </c>
      <c r="J569" s="135" t="s">
        <v>1355</v>
      </c>
      <c r="K569" s="135" t="s">
        <v>3296</v>
      </c>
      <c r="L569" s="134" t="s">
        <v>3613</v>
      </c>
    </row>
    <row r="570" spans="1:12" x14ac:dyDescent="0.2">
      <c r="A570" s="158" t="s">
        <v>3416</v>
      </c>
      <c r="B570" s="242"/>
      <c r="C570" s="135" t="s">
        <v>3417</v>
      </c>
      <c r="D570" s="139" t="s">
        <v>2983</v>
      </c>
      <c r="E570" s="159">
        <v>4</v>
      </c>
      <c r="F570" s="159"/>
      <c r="G570" s="159"/>
      <c r="H570" s="160">
        <v>72449.61</v>
      </c>
      <c r="I570" s="161">
        <f t="shared" si="14"/>
        <v>289798.44</v>
      </c>
      <c r="J570" s="135" t="s">
        <v>1355</v>
      </c>
      <c r="K570" s="135" t="s">
        <v>3296</v>
      </c>
      <c r="L570" s="134" t="s">
        <v>3613</v>
      </c>
    </row>
    <row r="571" spans="1:12" x14ac:dyDescent="0.2">
      <c r="A571" s="158" t="s">
        <v>3419</v>
      </c>
      <c r="B571" s="242"/>
      <c r="C571" s="135" t="s">
        <v>3420</v>
      </c>
      <c r="D571" s="139" t="s">
        <v>2983</v>
      </c>
      <c r="E571" s="159">
        <v>12</v>
      </c>
      <c r="F571" s="159"/>
      <c r="G571" s="159"/>
      <c r="H571" s="160">
        <v>543372.06000000006</v>
      </c>
      <c r="I571" s="161">
        <f t="shared" si="14"/>
        <v>6520464.7200000007</v>
      </c>
      <c r="J571" s="135" t="s">
        <v>1355</v>
      </c>
      <c r="K571" s="135" t="s">
        <v>3296</v>
      </c>
      <c r="L571" s="134" t="s">
        <v>3613</v>
      </c>
    </row>
    <row r="572" spans="1:12" x14ac:dyDescent="0.2">
      <c r="A572" s="158" t="s">
        <v>3422</v>
      </c>
      <c r="B572" s="242"/>
      <c r="C572" s="135" t="s">
        <v>3423</v>
      </c>
      <c r="D572" s="139" t="s">
        <v>2983</v>
      </c>
      <c r="E572" s="159">
        <v>4</v>
      </c>
      <c r="F572" s="159"/>
      <c r="G572" s="159"/>
      <c r="H572" s="160">
        <v>37508.97</v>
      </c>
      <c r="I572" s="161">
        <f t="shared" si="14"/>
        <v>150035.88</v>
      </c>
      <c r="J572" s="135" t="s">
        <v>1355</v>
      </c>
      <c r="K572" s="135" t="s">
        <v>3296</v>
      </c>
      <c r="L572" s="134" t="s">
        <v>3613</v>
      </c>
    </row>
    <row r="573" spans="1:12" x14ac:dyDescent="0.2">
      <c r="A573" s="158" t="s">
        <v>3425</v>
      </c>
      <c r="B573" s="242"/>
      <c r="C573" s="135" t="s">
        <v>3426</v>
      </c>
      <c r="D573" s="139" t="s">
        <v>2983</v>
      </c>
      <c r="E573" s="159">
        <v>8</v>
      </c>
      <c r="F573" s="159"/>
      <c r="G573" s="159"/>
      <c r="H573" s="160">
        <v>366776.14</v>
      </c>
      <c r="I573" s="161">
        <f t="shared" si="14"/>
        <v>2934209.12</v>
      </c>
      <c r="J573" s="135" t="s">
        <v>1355</v>
      </c>
      <c r="K573" s="135" t="s">
        <v>3296</v>
      </c>
      <c r="L573" s="134" t="s">
        <v>3613</v>
      </c>
    </row>
    <row r="574" spans="1:12" x14ac:dyDescent="0.2">
      <c r="A574" s="158" t="s">
        <v>3428</v>
      </c>
      <c r="B574" s="242"/>
      <c r="C574" s="135" t="s">
        <v>3429</v>
      </c>
      <c r="D574" s="139" t="s">
        <v>2983</v>
      </c>
      <c r="E574" s="159">
        <v>117</v>
      </c>
      <c r="F574" s="159"/>
      <c r="G574" s="159"/>
      <c r="H574" s="160">
        <v>2934.21</v>
      </c>
      <c r="I574" s="161">
        <f t="shared" si="14"/>
        <v>343302.57</v>
      </c>
      <c r="J574" s="135" t="s">
        <v>1355</v>
      </c>
      <c r="K574" s="135" t="s">
        <v>3296</v>
      </c>
      <c r="L574" s="134" t="s">
        <v>3613</v>
      </c>
    </row>
    <row r="575" spans="1:12" x14ac:dyDescent="0.2">
      <c r="A575" s="158" t="s">
        <v>3431</v>
      </c>
      <c r="B575" s="242"/>
      <c r="C575" s="135" t="s">
        <v>3432</v>
      </c>
      <c r="D575" s="139" t="s">
        <v>2983</v>
      </c>
      <c r="E575" s="159">
        <v>6</v>
      </c>
      <c r="F575" s="159"/>
      <c r="G575" s="159"/>
      <c r="H575" s="160">
        <v>3100</v>
      </c>
      <c r="I575" s="161">
        <f t="shared" si="14"/>
        <v>18600</v>
      </c>
      <c r="J575" s="135" t="s">
        <v>1355</v>
      </c>
      <c r="K575" s="135" t="s">
        <v>3296</v>
      </c>
      <c r="L575" s="134" t="s">
        <v>3613</v>
      </c>
    </row>
    <row r="576" spans="1:12" x14ac:dyDescent="0.2">
      <c r="A576" s="158" t="s">
        <v>3434</v>
      </c>
      <c r="B576" s="242"/>
      <c r="C576" s="135" t="s">
        <v>3435</v>
      </c>
      <c r="D576" s="139" t="s">
        <v>1627</v>
      </c>
      <c r="E576" s="159">
        <v>8</v>
      </c>
      <c r="F576" s="159"/>
      <c r="G576" s="159"/>
      <c r="H576" s="160">
        <v>24451.74</v>
      </c>
      <c r="I576" s="161">
        <f t="shared" si="14"/>
        <v>195613.92</v>
      </c>
      <c r="J576" s="135" t="s">
        <v>1355</v>
      </c>
      <c r="K576" s="135" t="s">
        <v>3296</v>
      </c>
      <c r="L576" s="134" t="s">
        <v>3613</v>
      </c>
    </row>
    <row r="577" spans="1:12" x14ac:dyDescent="0.2">
      <c r="A577" s="158" t="s">
        <v>3437</v>
      </c>
      <c r="B577" s="242"/>
      <c r="C577" s="135" t="s">
        <v>3439</v>
      </c>
      <c r="D577" s="129" t="s">
        <v>1361</v>
      </c>
      <c r="E577" s="159">
        <v>26800</v>
      </c>
      <c r="F577" s="159"/>
      <c r="G577" s="159"/>
      <c r="H577" s="160">
        <v>44.53</v>
      </c>
      <c r="I577" s="161">
        <f t="shared" si="14"/>
        <v>1193404</v>
      </c>
      <c r="J577" s="135" t="s">
        <v>1355</v>
      </c>
      <c r="K577" s="135" t="s">
        <v>3296</v>
      </c>
      <c r="L577" s="134" t="s">
        <v>3438</v>
      </c>
    </row>
    <row r="578" spans="1:12" x14ac:dyDescent="0.2">
      <c r="A578" s="158" t="s">
        <v>3441</v>
      </c>
      <c r="B578" s="242"/>
      <c r="C578" s="135" t="s">
        <v>3442</v>
      </c>
      <c r="D578" s="129" t="s">
        <v>1361</v>
      </c>
      <c r="E578" s="159">
        <v>5200</v>
      </c>
      <c r="F578" s="159"/>
      <c r="G578" s="159"/>
      <c r="H578" s="160">
        <v>237.65</v>
      </c>
      <c r="I578" s="161">
        <f t="shared" si="14"/>
        <v>1235780</v>
      </c>
      <c r="J578" s="135" t="s">
        <v>1355</v>
      </c>
      <c r="K578" s="135" t="s">
        <v>3296</v>
      </c>
      <c r="L578" s="134">
        <v>382137382268</v>
      </c>
    </row>
    <row r="579" spans="1:12" x14ac:dyDescent="0.2">
      <c r="A579" s="158" t="s">
        <v>3444</v>
      </c>
      <c r="B579" s="242"/>
      <c r="C579" s="135" t="s">
        <v>3445</v>
      </c>
      <c r="D579" s="139" t="s">
        <v>2983</v>
      </c>
      <c r="E579" s="185">
        <v>3</v>
      </c>
      <c r="F579" s="185"/>
      <c r="G579" s="185"/>
      <c r="H579" s="160">
        <v>54337.21</v>
      </c>
      <c r="I579" s="161">
        <f t="shared" si="14"/>
        <v>163011.63</v>
      </c>
      <c r="J579" s="135" t="s">
        <v>1355</v>
      </c>
      <c r="K579" s="135" t="s">
        <v>3296</v>
      </c>
      <c r="L579" s="134" t="s">
        <v>3613</v>
      </c>
    </row>
    <row r="580" spans="1:12" x14ac:dyDescent="0.2">
      <c r="A580" s="158" t="s">
        <v>3447</v>
      </c>
      <c r="B580" s="242"/>
      <c r="C580" s="135" t="s">
        <v>3448</v>
      </c>
      <c r="D580" s="139" t="s">
        <v>1627</v>
      </c>
      <c r="E580" s="159">
        <v>25</v>
      </c>
      <c r="F580" s="159"/>
      <c r="G580" s="159"/>
      <c r="H580" s="160">
        <v>942.44</v>
      </c>
      <c r="I580" s="161">
        <f t="shared" si="14"/>
        <v>23561</v>
      </c>
      <c r="J580" s="135" t="s">
        <v>1355</v>
      </c>
      <c r="K580" s="135" t="s">
        <v>3296</v>
      </c>
      <c r="L580" s="134" t="s">
        <v>3613</v>
      </c>
    </row>
    <row r="581" spans="1:12" x14ac:dyDescent="0.2">
      <c r="A581" s="158" t="s">
        <v>3450</v>
      </c>
      <c r="B581" s="242"/>
      <c r="C581" s="135" t="s">
        <v>3451</v>
      </c>
      <c r="D581" s="139" t="s">
        <v>1627</v>
      </c>
      <c r="E581" s="159">
        <v>230</v>
      </c>
      <c r="F581" s="159"/>
      <c r="G581" s="159"/>
      <c r="H581" s="160">
        <v>501.67</v>
      </c>
      <c r="I581" s="161">
        <f t="shared" si="14"/>
        <v>115384.1</v>
      </c>
      <c r="J581" s="135" t="s">
        <v>1355</v>
      </c>
      <c r="K581" s="135" t="s">
        <v>3296</v>
      </c>
      <c r="L581" s="134" t="s">
        <v>3613</v>
      </c>
    </row>
    <row r="582" spans="1:12" x14ac:dyDescent="0.2">
      <c r="A582" s="158" t="s">
        <v>3453</v>
      </c>
      <c r="B582" s="242"/>
      <c r="C582" s="135" t="s">
        <v>3454</v>
      </c>
      <c r="D582" s="139" t="s">
        <v>1627</v>
      </c>
      <c r="E582" s="159">
        <v>40</v>
      </c>
      <c r="F582" s="159"/>
      <c r="G582" s="159"/>
      <c r="H582" s="160">
        <v>501.67</v>
      </c>
      <c r="I582" s="161">
        <f t="shared" si="14"/>
        <v>20066.8</v>
      </c>
      <c r="J582" s="135" t="s">
        <v>1355</v>
      </c>
      <c r="K582" s="135" t="s">
        <v>3296</v>
      </c>
      <c r="L582" s="134" t="s">
        <v>3613</v>
      </c>
    </row>
    <row r="583" spans="1:12" x14ac:dyDescent="0.2">
      <c r="A583" s="158" t="s">
        <v>3456</v>
      </c>
      <c r="B583" s="242"/>
      <c r="C583" s="135" t="s">
        <v>3457</v>
      </c>
      <c r="D583" s="139" t="s">
        <v>2983</v>
      </c>
      <c r="E583" s="159">
        <v>8</v>
      </c>
      <c r="F583" s="159"/>
      <c r="G583" s="159"/>
      <c r="H583" s="160">
        <v>4059.72</v>
      </c>
      <c r="I583" s="161">
        <f t="shared" si="14"/>
        <v>32477.759999999998</v>
      </c>
      <c r="J583" s="135" t="s">
        <v>1355</v>
      </c>
      <c r="K583" s="135" t="s">
        <v>3296</v>
      </c>
      <c r="L583" s="134" t="s">
        <v>3613</v>
      </c>
    </row>
    <row r="584" spans="1:12" x14ac:dyDescent="0.2">
      <c r="A584" s="158" t="s">
        <v>3459</v>
      </c>
      <c r="B584" s="242"/>
      <c r="C584" s="135" t="s">
        <v>3460</v>
      </c>
      <c r="D584" s="139" t="s">
        <v>2983</v>
      </c>
      <c r="E584" s="159">
        <v>33</v>
      </c>
      <c r="F584" s="159"/>
      <c r="G584" s="159"/>
      <c r="H584" s="160">
        <v>54337.21</v>
      </c>
      <c r="I584" s="161">
        <f t="shared" si="14"/>
        <v>1793127.93</v>
      </c>
      <c r="J584" s="135" t="s">
        <v>1355</v>
      </c>
      <c r="K584" s="135" t="s">
        <v>3296</v>
      </c>
      <c r="L584" s="134" t="s">
        <v>3613</v>
      </c>
    </row>
    <row r="585" spans="1:12" x14ac:dyDescent="0.2">
      <c r="A585" s="158" t="s">
        <v>3462</v>
      </c>
      <c r="B585" s="242"/>
      <c r="C585" s="135" t="s">
        <v>3463</v>
      </c>
      <c r="D585" s="129" t="s">
        <v>1361</v>
      </c>
      <c r="E585" s="159">
        <v>3800</v>
      </c>
      <c r="F585" s="159"/>
      <c r="G585" s="159"/>
      <c r="H585" s="160">
        <v>205.89</v>
      </c>
      <c r="I585" s="161">
        <f t="shared" si="14"/>
        <v>782382</v>
      </c>
      <c r="J585" s="135" t="s">
        <v>1355</v>
      </c>
      <c r="K585" s="135" t="s">
        <v>3296</v>
      </c>
      <c r="L585" s="134" t="s">
        <v>3613</v>
      </c>
    </row>
    <row r="586" spans="1:12" x14ac:dyDescent="0.2">
      <c r="A586" s="158" t="s">
        <v>3465</v>
      </c>
      <c r="B586" s="242"/>
      <c r="C586" s="135" t="s">
        <v>3466</v>
      </c>
      <c r="D586" s="139" t="s">
        <v>1627</v>
      </c>
      <c r="E586" s="159">
        <v>20</v>
      </c>
      <c r="F586" s="159"/>
      <c r="G586" s="159"/>
      <c r="H586" s="160">
        <v>4596.18</v>
      </c>
      <c r="I586" s="161">
        <f t="shared" si="14"/>
        <v>91923.6</v>
      </c>
      <c r="J586" s="135" t="s">
        <v>1355</v>
      </c>
      <c r="K586" s="135" t="s">
        <v>3296</v>
      </c>
      <c r="L586" s="134" t="s">
        <v>3613</v>
      </c>
    </row>
    <row r="587" spans="1:12" x14ac:dyDescent="0.2">
      <c r="A587" s="158" t="s">
        <v>3468</v>
      </c>
      <c r="B587" s="242"/>
      <c r="C587" s="135" t="s">
        <v>3469</v>
      </c>
      <c r="D587" s="139" t="s">
        <v>2983</v>
      </c>
      <c r="E587" s="159">
        <v>1</v>
      </c>
      <c r="F587" s="159"/>
      <c r="G587" s="159"/>
      <c r="H587" s="160">
        <v>113092.2</v>
      </c>
      <c r="I587" s="161">
        <f t="shared" si="14"/>
        <v>113092.2</v>
      </c>
      <c r="J587" s="135" t="s">
        <v>1355</v>
      </c>
      <c r="K587" s="135" t="s">
        <v>3296</v>
      </c>
      <c r="L587" s="134" t="s">
        <v>3613</v>
      </c>
    </row>
    <row r="588" spans="1:12" x14ac:dyDescent="0.2">
      <c r="A588" s="158" t="s">
        <v>3471</v>
      </c>
      <c r="B588" s="242"/>
      <c r="C588" s="135" t="s">
        <v>3472</v>
      </c>
      <c r="D588" s="139" t="s">
        <v>2983</v>
      </c>
      <c r="E588" s="159">
        <v>2</v>
      </c>
      <c r="F588" s="159"/>
      <c r="G588" s="159"/>
      <c r="H588" s="160">
        <v>113092.2</v>
      </c>
      <c r="I588" s="161">
        <f t="shared" si="14"/>
        <v>226184.4</v>
      </c>
      <c r="J588" s="135" t="s">
        <v>1355</v>
      </c>
      <c r="K588" s="135" t="s">
        <v>3296</v>
      </c>
      <c r="L588" s="134" t="s">
        <v>3613</v>
      </c>
    </row>
    <row r="589" spans="1:12" x14ac:dyDescent="0.2">
      <c r="A589" s="158" t="s">
        <v>3474</v>
      </c>
      <c r="B589" s="242"/>
      <c r="C589" s="135" t="s">
        <v>3475</v>
      </c>
      <c r="D589" s="139" t="s">
        <v>1627</v>
      </c>
      <c r="E589" s="159">
        <v>16</v>
      </c>
      <c r="F589" s="159"/>
      <c r="G589" s="159"/>
      <c r="H589" s="160">
        <v>318.98</v>
      </c>
      <c r="I589" s="161">
        <f t="shared" si="14"/>
        <v>5103.68</v>
      </c>
      <c r="J589" s="135" t="s">
        <v>1355</v>
      </c>
      <c r="K589" s="135" t="s">
        <v>3296</v>
      </c>
      <c r="L589" s="134" t="s">
        <v>3613</v>
      </c>
    </row>
    <row r="590" spans="1:12" x14ac:dyDescent="0.2">
      <c r="A590" s="158" t="s">
        <v>3477</v>
      </c>
      <c r="B590" s="242"/>
      <c r="C590" s="135" t="s">
        <v>3478</v>
      </c>
      <c r="D590" s="139" t="s">
        <v>1627</v>
      </c>
      <c r="E590" s="159">
        <v>16</v>
      </c>
      <c r="F590" s="159"/>
      <c r="G590" s="159"/>
      <c r="H590" s="160">
        <v>501.67</v>
      </c>
      <c r="I590" s="161">
        <f t="shared" si="14"/>
        <v>8026.72</v>
      </c>
      <c r="J590" s="135" t="s">
        <v>1355</v>
      </c>
      <c r="K590" s="135" t="s">
        <v>3296</v>
      </c>
      <c r="L590" s="134" t="s">
        <v>3613</v>
      </c>
    </row>
    <row r="591" spans="1:12" x14ac:dyDescent="0.2">
      <c r="A591" s="158" t="s">
        <v>3480</v>
      </c>
      <c r="B591" s="242"/>
      <c r="C591" s="135" t="s">
        <v>3481</v>
      </c>
      <c r="D591" s="139" t="s">
        <v>1627</v>
      </c>
      <c r="E591" s="159">
        <v>1</v>
      </c>
      <c r="F591" s="159"/>
      <c r="G591" s="159"/>
      <c r="H591" s="160">
        <v>48903.48</v>
      </c>
      <c r="I591" s="161">
        <f t="shared" si="14"/>
        <v>48903.48</v>
      </c>
      <c r="J591" s="135" t="s">
        <v>1355</v>
      </c>
      <c r="K591" s="135" t="s">
        <v>3296</v>
      </c>
      <c r="L591" s="134" t="s">
        <v>3613</v>
      </c>
    </row>
    <row r="592" spans="1:12" x14ac:dyDescent="0.2">
      <c r="A592" s="158" t="s">
        <v>3483</v>
      </c>
      <c r="B592" s="242"/>
      <c r="C592" s="135" t="s">
        <v>3484</v>
      </c>
      <c r="D592" s="139" t="s">
        <v>1627</v>
      </c>
      <c r="E592" s="159">
        <v>1</v>
      </c>
      <c r="F592" s="159"/>
      <c r="G592" s="159"/>
      <c r="H592" s="160">
        <v>4890.3500000000004</v>
      </c>
      <c r="I592" s="161">
        <f t="shared" si="14"/>
        <v>4890.3500000000004</v>
      </c>
      <c r="J592" s="135" t="s">
        <v>1355</v>
      </c>
      <c r="K592" s="135" t="s">
        <v>3296</v>
      </c>
      <c r="L592" s="134" t="s">
        <v>3613</v>
      </c>
    </row>
    <row r="593" spans="1:12" x14ac:dyDescent="0.2">
      <c r="A593" s="158" t="s">
        <v>3486</v>
      </c>
      <c r="B593" s="242"/>
      <c r="C593" s="135" t="s">
        <v>3487</v>
      </c>
      <c r="D593" s="139" t="s">
        <v>1627</v>
      </c>
      <c r="E593" s="159">
        <v>1</v>
      </c>
      <c r="F593" s="159"/>
      <c r="G593" s="159"/>
      <c r="H593" s="160">
        <v>7335.52</v>
      </c>
      <c r="I593" s="161">
        <f t="shared" si="14"/>
        <v>7335.52</v>
      </c>
      <c r="J593" s="135" t="s">
        <v>1355</v>
      </c>
      <c r="K593" s="135" t="s">
        <v>3296</v>
      </c>
      <c r="L593" s="134" t="s">
        <v>3613</v>
      </c>
    </row>
    <row r="594" spans="1:12" x14ac:dyDescent="0.2">
      <c r="A594" s="158" t="s">
        <v>3489</v>
      </c>
      <c r="B594" s="242"/>
      <c r="C594" s="135" t="s">
        <v>3490</v>
      </c>
      <c r="D594" s="139" t="s">
        <v>1627</v>
      </c>
      <c r="E594" s="159">
        <v>88</v>
      </c>
      <c r="F594" s="159"/>
      <c r="G594" s="159"/>
      <c r="H594" s="160">
        <v>4890.3500000000004</v>
      </c>
      <c r="I594" s="161">
        <f t="shared" si="14"/>
        <v>430350.80000000005</v>
      </c>
      <c r="J594" s="135" t="s">
        <v>1355</v>
      </c>
      <c r="K594" s="135" t="s">
        <v>3296</v>
      </c>
      <c r="L594" s="134" t="s">
        <v>3613</v>
      </c>
    </row>
    <row r="595" spans="1:12" x14ac:dyDescent="0.2">
      <c r="A595" s="158" t="s">
        <v>3492</v>
      </c>
      <c r="B595" s="242"/>
      <c r="C595" s="135" t="s">
        <v>3493</v>
      </c>
      <c r="D595" s="139" t="s">
        <v>1627</v>
      </c>
      <c r="E595" s="159">
        <v>88</v>
      </c>
      <c r="F595" s="159"/>
      <c r="G595" s="159"/>
      <c r="H595" s="160">
        <v>4890.3500000000004</v>
      </c>
      <c r="I595" s="161">
        <f t="shared" si="14"/>
        <v>430350.80000000005</v>
      </c>
      <c r="J595" s="135" t="s">
        <v>1355</v>
      </c>
      <c r="K595" s="135" t="s">
        <v>3296</v>
      </c>
      <c r="L595" s="134" t="s">
        <v>3613</v>
      </c>
    </row>
    <row r="596" spans="1:12" x14ac:dyDescent="0.2">
      <c r="A596" s="158" t="s">
        <v>3495</v>
      </c>
      <c r="B596" s="242"/>
      <c r="C596" s="135" t="s">
        <v>3496</v>
      </c>
      <c r="D596" s="139" t="s">
        <v>1627</v>
      </c>
      <c r="E596" s="159">
        <v>432</v>
      </c>
      <c r="F596" s="159"/>
      <c r="G596" s="159"/>
      <c r="H596" s="160">
        <v>4890.3500000000004</v>
      </c>
      <c r="I596" s="161">
        <f t="shared" si="14"/>
        <v>2112631.2000000002</v>
      </c>
      <c r="J596" s="135" t="s">
        <v>1355</v>
      </c>
      <c r="K596" s="135" t="s">
        <v>3296</v>
      </c>
      <c r="L596" s="134" t="s">
        <v>3613</v>
      </c>
    </row>
    <row r="597" spans="1:12" x14ac:dyDescent="0.2">
      <c r="A597" s="158" t="s">
        <v>3498</v>
      </c>
      <c r="B597" s="242"/>
      <c r="C597" s="135" t="s">
        <v>3499</v>
      </c>
      <c r="D597" s="139" t="s">
        <v>2983</v>
      </c>
      <c r="E597" s="159">
        <v>8</v>
      </c>
      <c r="F597" s="159"/>
      <c r="G597" s="159"/>
      <c r="H597" s="160">
        <v>9780.7000000000007</v>
      </c>
      <c r="I597" s="161">
        <f t="shared" ref="I597:I622" si="15">E597*H597</f>
        <v>78245.600000000006</v>
      </c>
      <c r="J597" s="135" t="s">
        <v>1355</v>
      </c>
      <c r="K597" s="135" t="s">
        <v>3296</v>
      </c>
      <c r="L597" s="134" t="s">
        <v>3613</v>
      </c>
    </row>
    <row r="598" spans="1:12" x14ac:dyDescent="0.2">
      <c r="A598" s="158" t="s">
        <v>3501</v>
      </c>
      <c r="B598" s="242"/>
      <c r="C598" s="135" t="s">
        <v>3502</v>
      </c>
      <c r="D598" s="139" t="s">
        <v>1627</v>
      </c>
      <c r="E598" s="159">
        <v>54</v>
      </c>
      <c r="F598" s="159"/>
      <c r="G598" s="159"/>
      <c r="H598" s="160">
        <v>39122.78</v>
      </c>
      <c r="I598" s="161">
        <f t="shared" si="15"/>
        <v>2112630.12</v>
      </c>
      <c r="J598" s="135" t="s">
        <v>1355</v>
      </c>
      <c r="K598" s="135" t="s">
        <v>3296</v>
      </c>
      <c r="L598" s="134" t="s">
        <v>3613</v>
      </c>
    </row>
    <row r="599" spans="1:12" x14ac:dyDescent="0.2">
      <c r="A599" s="158" t="s">
        <v>3504</v>
      </c>
      <c r="B599" s="242"/>
      <c r="C599" s="135" t="s">
        <v>3505</v>
      </c>
      <c r="D599" s="139" t="s">
        <v>1627</v>
      </c>
      <c r="E599" s="159">
        <v>6</v>
      </c>
      <c r="F599" s="159"/>
      <c r="G599" s="159"/>
      <c r="H599" s="160">
        <v>537938.32999999996</v>
      </c>
      <c r="I599" s="161">
        <f t="shared" si="15"/>
        <v>3227629.9799999995</v>
      </c>
      <c r="J599" s="135" t="s">
        <v>1355</v>
      </c>
      <c r="K599" s="135" t="s">
        <v>3296</v>
      </c>
      <c r="L599" s="134" t="s">
        <v>3613</v>
      </c>
    </row>
    <row r="600" spans="1:12" x14ac:dyDescent="0.2">
      <c r="A600" s="158" t="s">
        <v>3507</v>
      </c>
      <c r="B600" s="242"/>
      <c r="C600" s="135" t="s">
        <v>3508</v>
      </c>
      <c r="D600" s="139" t="s">
        <v>1627</v>
      </c>
      <c r="E600" s="159">
        <v>2</v>
      </c>
      <c r="F600" s="159"/>
      <c r="G600" s="159"/>
      <c r="H600" s="160">
        <v>244517.43</v>
      </c>
      <c r="I600" s="161">
        <f t="shared" si="15"/>
        <v>489034.86</v>
      </c>
      <c r="J600" s="135" t="s">
        <v>1355</v>
      </c>
      <c r="K600" s="135" t="s">
        <v>3296</v>
      </c>
      <c r="L600" s="134" t="s">
        <v>3613</v>
      </c>
    </row>
    <row r="601" spans="1:12" x14ac:dyDescent="0.2">
      <c r="A601" s="158" t="s">
        <v>3510</v>
      </c>
      <c r="B601" s="242"/>
      <c r="C601" s="135" t="s">
        <v>3511</v>
      </c>
      <c r="D601" s="139" t="s">
        <v>2983</v>
      </c>
      <c r="E601" s="159">
        <v>6</v>
      </c>
      <c r="F601" s="159"/>
      <c r="G601" s="159"/>
      <c r="H601" s="160">
        <v>254298.12</v>
      </c>
      <c r="I601" s="161">
        <f t="shared" si="15"/>
        <v>1525788.72</v>
      </c>
      <c r="J601" s="135" t="s">
        <v>1355</v>
      </c>
      <c r="K601" s="135" t="s">
        <v>3296</v>
      </c>
      <c r="L601" s="134" t="s">
        <v>3613</v>
      </c>
    </row>
    <row r="602" spans="1:12" x14ac:dyDescent="0.2">
      <c r="A602" s="158" t="s">
        <v>3513</v>
      </c>
      <c r="B602" s="242"/>
      <c r="C602" s="135" t="s">
        <v>3514</v>
      </c>
      <c r="D602" s="139" t="s">
        <v>2983</v>
      </c>
      <c r="E602" s="159">
        <v>8</v>
      </c>
      <c r="F602" s="159"/>
      <c r="G602" s="159"/>
      <c r="H602" s="160">
        <v>932.84</v>
      </c>
      <c r="I602" s="161">
        <f t="shared" si="15"/>
        <v>7462.72</v>
      </c>
      <c r="J602" s="135" t="s">
        <v>1355</v>
      </c>
      <c r="K602" s="135" t="s">
        <v>3296</v>
      </c>
      <c r="L602" s="134" t="s">
        <v>3613</v>
      </c>
    </row>
    <row r="603" spans="1:12" x14ac:dyDescent="0.2">
      <c r="A603" s="158" t="s">
        <v>3516</v>
      </c>
      <c r="B603" s="242"/>
      <c r="C603" s="135" t="s">
        <v>3517</v>
      </c>
      <c r="D603" s="139" t="s">
        <v>2983</v>
      </c>
      <c r="E603" s="159">
        <v>10</v>
      </c>
      <c r="F603" s="159"/>
      <c r="G603" s="159"/>
      <c r="H603" s="160">
        <v>932.84</v>
      </c>
      <c r="I603" s="161">
        <f t="shared" si="15"/>
        <v>9328.4</v>
      </c>
      <c r="J603" s="135" t="s">
        <v>1355</v>
      </c>
      <c r="K603" s="135" t="s">
        <v>3296</v>
      </c>
      <c r="L603" s="134" t="s">
        <v>3613</v>
      </c>
    </row>
    <row r="604" spans="1:12" x14ac:dyDescent="0.2">
      <c r="A604" s="158" t="s">
        <v>3519</v>
      </c>
      <c r="B604" s="242"/>
      <c r="C604" s="135" t="s">
        <v>3520</v>
      </c>
      <c r="D604" s="139" t="s">
        <v>2983</v>
      </c>
      <c r="E604" s="159">
        <v>8</v>
      </c>
      <c r="F604" s="159"/>
      <c r="G604" s="159"/>
      <c r="H604" s="160">
        <v>24451.74</v>
      </c>
      <c r="I604" s="161">
        <f t="shared" si="15"/>
        <v>195613.92</v>
      </c>
      <c r="J604" s="135" t="s">
        <v>1355</v>
      </c>
      <c r="K604" s="135" t="s">
        <v>3296</v>
      </c>
      <c r="L604" s="134" t="s">
        <v>3613</v>
      </c>
    </row>
    <row r="605" spans="1:12" x14ac:dyDescent="0.2">
      <c r="A605" s="158" t="s">
        <v>3522</v>
      </c>
      <c r="B605" s="242"/>
      <c r="C605" s="135" t="s">
        <v>3523</v>
      </c>
      <c r="D605" s="139" t="s">
        <v>1627</v>
      </c>
      <c r="E605" s="159">
        <v>1</v>
      </c>
      <c r="F605" s="159"/>
      <c r="G605" s="159"/>
      <c r="H605" s="160">
        <v>244517.43</v>
      </c>
      <c r="I605" s="161">
        <f t="shared" si="15"/>
        <v>244517.43</v>
      </c>
      <c r="J605" s="135" t="s">
        <v>1355</v>
      </c>
      <c r="K605" s="135" t="s">
        <v>3296</v>
      </c>
      <c r="L605" s="134" t="s">
        <v>3613</v>
      </c>
    </row>
    <row r="606" spans="1:12" x14ac:dyDescent="0.2">
      <c r="A606" s="158" t="s">
        <v>3525</v>
      </c>
      <c r="B606" s="242"/>
      <c r="C606" s="135" t="s">
        <v>3526</v>
      </c>
      <c r="D606" s="139" t="s">
        <v>1627</v>
      </c>
      <c r="E606" s="159">
        <v>1</v>
      </c>
      <c r="F606" s="159"/>
      <c r="G606" s="159"/>
      <c r="H606" s="160">
        <v>12225.87</v>
      </c>
      <c r="I606" s="161">
        <f t="shared" si="15"/>
        <v>12225.87</v>
      </c>
      <c r="J606" s="135" t="s">
        <v>1355</v>
      </c>
      <c r="K606" s="135" t="s">
        <v>3296</v>
      </c>
      <c r="L606" s="134" t="s">
        <v>3613</v>
      </c>
    </row>
    <row r="607" spans="1:12" x14ac:dyDescent="0.2">
      <c r="A607" s="158" t="s">
        <v>3528</v>
      </c>
      <c r="B607" s="242"/>
      <c r="C607" s="135" t="s">
        <v>3529</v>
      </c>
      <c r="D607" s="139" t="s">
        <v>1627</v>
      </c>
      <c r="E607" s="159">
        <v>1</v>
      </c>
      <c r="F607" s="159"/>
      <c r="G607" s="159"/>
      <c r="H607" s="160">
        <v>73355.23</v>
      </c>
      <c r="I607" s="161">
        <f t="shared" si="15"/>
        <v>73355.23</v>
      </c>
      <c r="J607" s="135" t="s">
        <v>1355</v>
      </c>
      <c r="K607" s="135" t="s">
        <v>3296</v>
      </c>
      <c r="L607" s="134" t="s">
        <v>3613</v>
      </c>
    </row>
    <row r="608" spans="1:12" x14ac:dyDescent="0.2">
      <c r="A608" s="158" t="s">
        <v>3531</v>
      </c>
      <c r="B608" s="242"/>
      <c r="C608" s="135" t="s">
        <v>3532</v>
      </c>
      <c r="D608" s="139" t="s">
        <v>1627</v>
      </c>
      <c r="E608" s="159">
        <v>1</v>
      </c>
      <c r="F608" s="159"/>
      <c r="G608" s="159"/>
      <c r="H608" s="160">
        <v>73355.23</v>
      </c>
      <c r="I608" s="161">
        <f t="shared" si="15"/>
        <v>73355.23</v>
      </c>
      <c r="J608" s="135" t="s">
        <v>1355</v>
      </c>
      <c r="K608" s="135" t="s">
        <v>3296</v>
      </c>
      <c r="L608" s="134" t="s">
        <v>3613</v>
      </c>
    </row>
    <row r="609" spans="1:12" x14ac:dyDescent="0.2">
      <c r="A609" s="158" t="s">
        <v>3534</v>
      </c>
      <c r="B609" s="242"/>
      <c r="C609" s="135" t="s">
        <v>3535</v>
      </c>
      <c r="D609" s="139" t="s">
        <v>1627</v>
      </c>
      <c r="E609" s="159">
        <v>3</v>
      </c>
      <c r="F609" s="159"/>
      <c r="G609" s="159"/>
      <c r="H609" s="160">
        <v>24451.74</v>
      </c>
      <c r="I609" s="161">
        <f t="shared" si="15"/>
        <v>73355.22</v>
      </c>
      <c r="J609" s="135" t="s">
        <v>1355</v>
      </c>
      <c r="K609" s="135" t="s">
        <v>3296</v>
      </c>
      <c r="L609" s="134" t="s">
        <v>3613</v>
      </c>
    </row>
    <row r="610" spans="1:12" x14ac:dyDescent="0.2">
      <c r="A610" s="158" t="s">
        <v>3537</v>
      </c>
      <c r="B610" s="242"/>
      <c r="C610" s="135" t="s">
        <v>3538</v>
      </c>
      <c r="D610" s="139" t="s">
        <v>1627</v>
      </c>
      <c r="E610" s="159">
        <v>4</v>
      </c>
      <c r="F610" s="159"/>
      <c r="G610" s="159"/>
      <c r="H610" s="160">
        <v>48903.48</v>
      </c>
      <c r="I610" s="161">
        <f t="shared" si="15"/>
        <v>195613.92</v>
      </c>
      <c r="J610" s="135" t="s">
        <v>1355</v>
      </c>
      <c r="K610" s="135" t="s">
        <v>3296</v>
      </c>
      <c r="L610" s="134" t="s">
        <v>3613</v>
      </c>
    </row>
    <row r="611" spans="1:12" x14ac:dyDescent="0.2">
      <c r="A611" s="158" t="s">
        <v>3540</v>
      </c>
      <c r="B611" s="242"/>
      <c r="C611" s="135" t="s">
        <v>3541</v>
      </c>
      <c r="D611" s="139" t="s">
        <v>2983</v>
      </c>
      <c r="E611" s="159">
        <v>1</v>
      </c>
      <c r="F611" s="159"/>
      <c r="G611" s="159"/>
      <c r="H611" s="160">
        <v>7244960.7599999998</v>
      </c>
      <c r="I611" s="161">
        <f t="shared" si="15"/>
        <v>7244960.7599999998</v>
      </c>
      <c r="J611" s="135" t="s">
        <v>1355</v>
      </c>
      <c r="K611" s="135" t="s">
        <v>3296</v>
      </c>
      <c r="L611" s="134" t="s">
        <v>3613</v>
      </c>
    </row>
    <row r="612" spans="1:12" x14ac:dyDescent="0.2">
      <c r="A612" s="158" t="s">
        <v>3543</v>
      </c>
      <c r="B612" s="242"/>
      <c r="C612" s="135" t="s">
        <v>3544</v>
      </c>
      <c r="D612" s="139" t="s">
        <v>2983</v>
      </c>
      <c r="E612" s="159">
        <v>1</v>
      </c>
      <c r="F612" s="159"/>
      <c r="G612" s="159"/>
      <c r="H612" s="160">
        <v>73355.23</v>
      </c>
      <c r="I612" s="161">
        <f t="shared" si="15"/>
        <v>73355.23</v>
      </c>
      <c r="J612" s="135" t="s">
        <v>1355</v>
      </c>
      <c r="K612" s="135" t="s">
        <v>3296</v>
      </c>
      <c r="L612" s="134" t="s">
        <v>3613</v>
      </c>
    </row>
    <row r="613" spans="1:12" x14ac:dyDescent="0.2">
      <c r="A613" s="158" t="s">
        <v>3546</v>
      </c>
      <c r="B613" s="242"/>
      <c r="C613" s="135" t="s">
        <v>3547</v>
      </c>
      <c r="D613" s="139" t="s">
        <v>2983</v>
      </c>
      <c r="E613" s="159">
        <v>7</v>
      </c>
      <c r="F613" s="159"/>
      <c r="G613" s="159"/>
      <c r="H613" s="160">
        <v>3500</v>
      </c>
      <c r="I613" s="161">
        <f t="shared" si="15"/>
        <v>24500</v>
      </c>
      <c r="J613" s="135" t="s">
        <v>1355</v>
      </c>
      <c r="K613" s="135" t="s">
        <v>3296</v>
      </c>
      <c r="L613" s="134" t="s">
        <v>3613</v>
      </c>
    </row>
    <row r="614" spans="1:12" x14ac:dyDescent="0.2">
      <c r="A614" s="158" t="s">
        <v>3549</v>
      </c>
      <c r="B614" s="242"/>
      <c r="C614" s="135" t="s">
        <v>3550</v>
      </c>
      <c r="D614" s="139" t="s">
        <v>1627</v>
      </c>
      <c r="E614" s="159">
        <v>8</v>
      </c>
      <c r="F614" s="159"/>
      <c r="G614" s="159"/>
      <c r="H614" s="160">
        <v>19561.39</v>
      </c>
      <c r="I614" s="161">
        <f t="shared" si="15"/>
        <v>156491.12</v>
      </c>
      <c r="J614" s="135" t="s">
        <v>1355</v>
      </c>
      <c r="K614" s="135" t="s">
        <v>3296</v>
      </c>
      <c r="L614" s="134" t="s">
        <v>3613</v>
      </c>
    </row>
    <row r="615" spans="1:12" x14ac:dyDescent="0.2">
      <c r="A615" s="158" t="s">
        <v>3552</v>
      </c>
      <c r="B615" s="242"/>
      <c r="C615" s="135" t="s">
        <v>3553</v>
      </c>
      <c r="D615" s="139" t="s">
        <v>2983</v>
      </c>
      <c r="E615" s="159">
        <v>2</v>
      </c>
      <c r="F615" s="159"/>
      <c r="G615" s="159"/>
      <c r="H615" s="160">
        <v>48903.48</v>
      </c>
      <c r="I615" s="161">
        <f t="shared" si="15"/>
        <v>97806.96</v>
      </c>
      <c r="J615" s="135" t="s">
        <v>1355</v>
      </c>
      <c r="K615" s="135" t="s">
        <v>3296</v>
      </c>
      <c r="L615" s="134" t="s">
        <v>3613</v>
      </c>
    </row>
    <row r="616" spans="1:12" x14ac:dyDescent="0.2">
      <c r="A616" s="158" t="s">
        <v>3555</v>
      </c>
      <c r="B616" s="242"/>
      <c r="C616" s="135" t="s">
        <v>3556</v>
      </c>
      <c r="D616" s="139" t="s">
        <v>1627</v>
      </c>
      <c r="E616" s="159">
        <v>22</v>
      </c>
      <c r="F616" s="159"/>
      <c r="G616" s="159"/>
      <c r="H616" s="160">
        <v>146710.45000000001</v>
      </c>
      <c r="I616" s="161">
        <f t="shared" si="15"/>
        <v>3227629.9000000004</v>
      </c>
      <c r="J616" s="135" t="s">
        <v>1355</v>
      </c>
      <c r="K616" s="135" t="s">
        <v>3296</v>
      </c>
      <c r="L616" s="134" t="s">
        <v>3613</v>
      </c>
    </row>
    <row r="617" spans="1:12" x14ac:dyDescent="0.2">
      <c r="A617" s="158" t="s">
        <v>3558</v>
      </c>
      <c r="B617" s="242"/>
      <c r="C617" s="135" t="s">
        <v>3559</v>
      </c>
      <c r="D617" s="139" t="s">
        <v>1627</v>
      </c>
      <c r="E617" s="159">
        <v>2</v>
      </c>
      <c r="F617" s="159"/>
      <c r="G617" s="159"/>
      <c r="H617" s="160">
        <v>244517.43</v>
      </c>
      <c r="I617" s="161">
        <f t="shared" si="15"/>
        <v>489034.86</v>
      </c>
      <c r="J617" s="135" t="s">
        <v>1355</v>
      </c>
      <c r="K617" s="135" t="s">
        <v>3296</v>
      </c>
      <c r="L617" s="134" t="s">
        <v>3613</v>
      </c>
    </row>
    <row r="618" spans="1:12" x14ac:dyDescent="0.2">
      <c r="A618" s="158" t="s">
        <v>3561</v>
      </c>
      <c r="B618" s="242"/>
      <c r="C618" s="135" t="s">
        <v>3562</v>
      </c>
      <c r="D618" s="139" t="s">
        <v>1627</v>
      </c>
      <c r="E618" s="159">
        <v>2</v>
      </c>
      <c r="F618" s="159"/>
      <c r="G618" s="159"/>
      <c r="H618" s="160">
        <v>20539.47</v>
      </c>
      <c r="I618" s="161">
        <f t="shared" si="15"/>
        <v>41078.94</v>
      </c>
      <c r="J618" s="135" t="s">
        <v>1355</v>
      </c>
      <c r="K618" s="135" t="s">
        <v>3296</v>
      </c>
      <c r="L618" s="134" t="s">
        <v>3613</v>
      </c>
    </row>
    <row r="619" spans="1:12" x14ac:dyDescent="0.2">
      <c r="A619" s="158" t="s">
        <v>3564</v>
      </c>
      <c r="B619" s="242"/>
      <c r="C619" s="135" t="s">
        <v>3565</v>
      </c>
      <c r="D619" s="139" t="s">
        <v>2983</v>
      </c>
      <c r="E619" s="159">
        <v>1</v>
      </c>
      <c r="F619" s="159"/>
      <c r="G619" s="159"/>
      <c r="H619" s="160">
        <v>3667.76</v>
      </c>
      <c r="I619" s="161">
        <f t="shared" si="15"/>
        <v>3667.76</v>
      </c>
      <c r="J619" s="135" t="s">
        <v>1355</v>
      </c>
      <c r="K619" s="135" t="s">
        <v>3296</v>
      </c>
      <c r="L619" s="134" t="s">
        <v>3613</v>
      </c>
    </row>
    <row r="620" spans="1:12" x14ac:dyDescent="0.2">
      <c r="A620" s="158" t="s">
        <v>3567</v>
      </c>
      <c r="B620" s="242"/>
      <c r="C620" s="135" t="s">
        <v>3568</v>
      </c>
      <c r="D620" s="139" t="s">
        <v>1627</v>
      </c>
      <c r="E620" s="159">
        <v>2</v>
      </c>
      <c r="F620" s="159"/>
      <c r="G620" s="159"/>
      <c r="H620" s="160">
        <v>97806.97</v>
      </c>
      <c r="I620" s="161">
        <f t="shared" si="15"/>
        <v>195613.94</v>
      </c>
      <c r="J620" s="135" t="s">
        <v>1355</v>
      </c>
      <c r="K620" s="135" t="s">
        <v>3296</v>
      </c>
      <c r="L620" s="134" t="s">
        <v>3613</v>
      </c>
    </row>
    <row r="621" spans="1:12" x14ac:dyDescent="0.2">
      <c r="A621" s="158" t="s">
        <v>3570</v>
      </c>
      <c r="B621" s="242"/>
      <c r="C621" s="135" t="s">
        <v>3571</v>
      </c>
      <c r="D621" s="139" t="s">
        <v>1627</v>
      </c>
      <c r="E621" s="159">
        <v>20</v>
      </c>
      <c r="F621" s="159"/>
      <c r="G621" s="159"/>
      <c r="H621" s="160">
        <v>24451.74</v>
      </c>
      <c r="I621" s="161">
        <f t="shared" si="15"/>
        <v>489034.80000000005</v>
      </c>
      <c r="J621" s="135" t="s">
        <v>1355</v>
      </c>
      <c r="K621" s="135" t="s">
        <v>3296</v>
      </c>
      <c r="L621" s="134" t="s">
        <v>3613</v>
      </c>
    </row>
    <row r="622" spans="1:12" ht="13.5" thickBot="1" x14ac:dyDescent="0.25">
      <c r="A622" s="162" t="s">
        <v>3573</v>
      </c>
      <c r="B622" s="243"/>
      <c r="C622" s="142" t="s">
        <v>3574</v>
      </c>
      <c r="D622" s="142" t="s">
        <v>2983</v>
      </c>
      <c r="E622" s="163">
        <v>1</v>
      </c>
      <c r="F622" s="163"/>
      <c r="G622" s="163"/>
      <c r="H622" s="164">
        <v>366776.14</v>
      </c>
      <c r="I622" s="165">
        <f t="shared" si="15"/>
        <v>366776.14</v>
      </c>
      <c r="J622" s="142" t="s">
        <v>1355</v>
      </c>
      <c r="K622" s="142" t="s">
        <v>3296</v>
      </c>
      <c r="L622" s="141" t="s">
        <v>3613</v>
      </c>
    </row>
    <row r="623" spans="1:12" ht="13.5" thickBot="1" x14ac:dyDescent="0.25">
      <c r="A623" s="147">
        <v>14</v>
      </c>
      <c r="B623" s="240"/>
      <c r="C623" s="150" t="str">
        <f>K623</f>
        <v xml:space="preserve"> INTERFERÊNCIAS  </v>
      </c>
      <c r="D623" s="150" t="s">
        <v>1528</v>
      </c>
      <c r="E623" s="151"/>
      <c r="F623" s="151"/>
      <c r="G623" s="151"/>
      <c r="H623" s="152"/>
      <c r="I623" s="153"/>
      <c r="J623" s="149" t="s">
        <v>1355</v>
      </c>
      <c r="K623" s="149" t="s">
        <v>3576</v>
      </c>
      <c r="L623" s="166" t="s">
        <v>3613</v>
      </c>
    </row>
    <row r="624" spans="1:12" x14ac:dyDescent="0.2">
      <c r="A624" s="266" t="s">
        <v>3578</v>
      </c>
      <c r="B624" s="267"/>
      <c r="C624" s="268" t="s">
        <v>4425</v>
      </c>
      <c r="D624" s="129" t="s">
        <v>1528</v>
      </c>
      <c r="E624" s="155"/>
      <c r="F624" s="155"/>
      <c r="G624" s="155"/>
      <c r="H624" s="156"/>
      <c r="I624" s="157"/>
      <c r="J624" s="188" t="s">
        <v>1355</v>
      </c>
      <c r="K624" s="188" t="s">
        <v>3579</v>
      </c>
      <c r="L624" s="187" t="s">
        <v>3613</v>
      </c>
    </row>
    <row r="625" spans="1:12" x14ac:dyDescent="0.2">
      <c r="A625" s="158" t="s">
        <v>3582</v>
      </c>
      <c r="B625" s="242"/>
      <c r="C625" s="135" t="s">
        <v>3584</v>
      </c>
      <c r="D625" s="139" t="s">
        <v>1627</v>
      </c>
      <c r="E625" s="159">
        <v>7</v>
      </c>
      <c r="F625" s="159"/>
      <c r="G625" s="159"/>
      <c r="H625" s="160">
        <v>1741.5</v>
      </c>
      <c r="I625" s="161">
        <f>E625*H625</f>
        <v>12190.5</v>
      </c>
      <c r="J625" s="135" t="s">
        <v>1355</v>
      </c>
      <c r="K625" s="135" t="s">
        <v>3579</v>
      </c>
      <c r="L625" s="134" t="s">
        <v>3583</v>
      </c>
    </row>
    <row r="626" spans="1:12" x14ac:dyDescent="0.2">
      <c r="A626" s="158" t="s">
        <v>3586</v>
      </c>
      <c r="B626" s="242"/>
      <c r="C626" s="135" t="s">
        <v>3588</v>
      </c>
      <c r="D626" s="139" t="s">
        <v>1627</v>
      </c>
      <c r="E626" s="159">
        <v>51</v>
      </c>
      <c r="F626" s="159"/>
      <c r="G626" s="159"/>
      <c r="H626" s="160">
        <v>1822.5</v>
      </c>
      <c r="I626" s="161">
        <f t="shared" ref="I626:I679" si="16">E626*H626</f>
        <v>92947.5</v>
      </c>
      <c r="J626" s="135" t="s">
        <v>1355</v>
      </c>
      <c r="K626" s="135" t="s">
        <v>3579</v>
      </c>
      <c r="L626" s="134" t="s">
        <v>3587</v>
      </c>
    </row>
    <row r="627" spans="1:12" x14ac:dyDescent="0.2">
      <c r="A627" s="158" t="s">
        <v>3590</v>
      </c>
      <c r="B627" s="242"/>
      <c r="C627" s="135" t="s">
        <v>3592</v>
      </c>
      <c r="D627" s="139" t="s">
        <v>1627</v>
      </c>
      <c r="E627" s="159">
        <v>525</v>
      </c>
      <c r="F627" s="159"/>
      <c r="G627" s="159"/>
      <c r="H627" s="160">
        <v>1876.5</v>
      </c>
      <c r="I627" s="161">
        <f t="shared" si="16"/>
        <v>985162.5</v>
      </c>
      <c r="J627" s="135" t="s">
        <v>1355</v>
      </c>
      <c r="K627" s="135" t="s">
        <v>3579</v>
      </c>
      <c r="L627" s="134" t="s">
        <v>3591</v>
      </c>
    </row>
    <row r="628" spans="1:12" x14ac:dyDescent="0.2">
      <c r="A628" s="158" t="s">
        <v>3594</v>
      </c>
      <c r="B628" s="242"/>
      <c r="C628" s="135" t="s">
        <v>3596</v>
      </c>
      <c r="D628" s="139" t="s">
        <v>1627</v>
      </c>
      <c r="E628" s="159">
        <v>5835</v>
      </c>
      <c r="F628" s="159"/>
      <c r="G628" s="159"/>
      <c r="H628" s="160">
        <v>444.97</v>
      </c>
      <c r="I628" s="161">
        <f t="shared" si="16"/>
        <v>2596399.9500000002</v>
      </c>
      <c r="J628" s="135" t="s">
        <v>1355</v>
      </c>
      <c r="K628" s="135" t="s">
        <v>3579</v>
      </c>
      <c r="L628" s="134" t="s">
        <v>3595</v>
      </c>
    </row>
    <row r="629" spans="1:12" x14ac:dyDescent="0.2">
      <c r="A629" s="158" t="s">
        <v>3598</v>
      </c>
      <c r="B629" s="242"/>
      <c r="C629" s="135" t="s">
        <v>3599</v>
      </c>
      <c r="D629" s="139" t="s">
        <v>1374</v>
      </c>
      <c r="E629" s="159">
        <v>7500</v>
      </c>
      <c r="F629" s="159"/>
      <c r="G629" s="159"/>
      <c r="H629" s="160">
        <v>930</v>
      </c>
      <c r="I629" s="161">
        <f t="shared" si="16"/>
        <v>6975000</v>
      </c>
      <c r="J629" s="135" t="s">
        <v>1355</v>
      </c>
      <c r="K629" s="135" t="s">
        <v>3579</v>
      </c>
      <c r="L629" s="134" t="s">
        <v>3613</v>
      </c>
    </row>
    <row r="630" spans="1:12" x14ac:dyDescent="0.2">
      <c r="A630" s="158" t="s">
        <v>3601</v>
      </c>
      <c r="B630" s="242"/>
      <c r="C630" s="135" t="s">
        <v>3414</v>
      </c>
      <c r="D630" s="139" t="s">
        <v>2983</v>
      </c>
      <c r="E630" s="159">
        <v>11700</v>
      </c>
      <c r="F630" s="159"/>
      <c r="G630" s="159"/>
      <c r="H630" s="160">
        <v>9.6</v>
      </c>
      <c r="I630" s="161">
        <f t="shared" si="16"/>
        <v>112320</v>
      </c>
      <c r="J630" s="135" t="s">
        <v>1355</v>
      </c>
      <c r="K630" s="135" t="s">
        <v>3579</v>
      </c>
      <c r="L630" s="134" t="s">
        <v>3602</v>
      </c>
    </row>
    <row r="631" spans="1:12" x14ac:dyDescent="0.2">
      <c r="A631" s="158" t="s">
        <v>3604</v>
      </c>
      <c r="B631" s="242"/>
      <c r="C631" s="135" t="s">
        <v>3387</v>
      </c>
      <c r="D631" s="139" t="s">
        <v>2983</v>
      </c>
      <c r="E631" s="159">
        <v>14340</v>
      </c>
      <c r="F631" s="159"/>
      <c r="G631" s="159"/>
      <c r="H631" s="160">
        <v>9.19</v>
      </c>
      <c r="I631" s="161">
        <f t="shared" si="16"/>
        <v>131784.6</v>
      </c>
      <c r="J631" s="135" t="s">
        <v>1355</v>
      </c>
      <c r="K631" s="135" t="s">
        <v>3579</v>
      </c>
      <c r="L631" s="134" t="s">
        <v>3605</v>
      </c>
    </row>
    <row r="632" spans="1:12" x14ac:dyDescent="0.2">
      <c r="A632" s="158" t="s">
        <v>3607</v>
      </c>
      <c r="B632" s="242"/>
      <c r="C632" s="135" t="s">
        <v>3517</v>
      </c>
      <c r="D632" s="139" t="s">
        <v>2983</v>
      </c>
      <c r="E632" s="159">
        <v>23340</v>
      </c>
      <c r="F632" s="159"/>
      <c r="G632" s="159"/>
      <c r="H632" s="160">
        <v>14.32</v>
      </c>
      <c r="I632" s="161">
        <f t="shared" si="16"/>
        <v>334228.8</v>
      </c>
      <c r="J632" s="135" t="s">
        <v>1355</v>
      </c>
      <c r="K632" s="135" t="s">
        <v>3579</v>
      </c>
      <c r="L632" s="134" t="s">
        <v>3608</v>
      </c>
    </row>
    <row r="633" spans="1:12" x14ac:dyDescent="0.2">
      <c r="A633" s="269" t="s">
        <v>3610</v>
      </c>
      <c r="B633" s="270"/>
      <c r="C633" s="271" t="s">
        <v>3612</v>
      </c>
      <c r="D633" s="139" t="s">
        <v>3613</v>
      </c>
      <c r="E633" s="159" t="s">
        <v>3613</v>
      </c>
      <c r="F633" s="159"/>
      <c r="G633" s="159"/>
      <c r="H633" s="160" t="s">
        <v>3613</v>
      </c>
      <c r="I633" s="161"/>
      <c r="J633" s="191" t="s">
        <v>1355</v>
      </c>
      <c r="K633" s="191" t="s">
        <v>3611</v>
      </c>
      <c r="L633" s="190" t="s">
        <v>3613</v>
      </c>
    </row>
    <row r="634" spans="1:12" x14ac:dyDescent="0.2">
      <c r="A634" s="158" t="s">
        <v>3615</v>
      </c>
      <c r="B634" s="242"/>
      <c r="C634" s="135" t="s">
        <v>1552</v>
      </c>
      <c r="D634" s="139" t="s">
        <v>1383</v>
      </c>
      <c r="E634" s="159">
        <v>1000</v>
      </c>
      <c r="F634" s="159"/>
      <c r="G634" s="159"/>
      <c r="H634" s="160">
        <v>80.069999999999993</v>
      </c>
      <c r="I634" s="161">
        <f t="shared" si="16"/>
        <v>80070</v>
      </c>
      <c r="J634" s="135" t="s">
        <v>1355</v>
      </c>
      <c r="K634" s="135" t="s">
        <v>3611</v>
      </c>
      <c r="L634" s="134" t="s">
        <v>3616</v>
      </c>
    </row>
    <row r="635" spans="1:12" x14ac:dyDescent="0.2">
      <c r="A635" s="158" t="s">
        <v>3618</v>
      </c>
      <c r="B635" s="242"/>
      <c r="C635" s="135" t="s">
        <v>1556</v>
      </c>
      <c r="D635" s="139" t="s">
        <v>1557</v>
      </c>
      <c r="E635" s="159">
        <v>25000</v>
      </c>
      <c r="F635" s="159"/>
      <c r="G635" s="159"/>
      <c r="H635" s="160">
        <v>8.52</v>
      </c>
      <c r="I635" s="161">
        <f t="shared" si="16"/>
        <v>213000</v>
      </c>
      <c r="J635" s="135" t="s">
        <v>1355</v>
      </c>
      <c r="K635" s="135" t="s">
        <v>3611</v>
      </c>
      <c r="L635" s="134" t="s">
        <v>3619</v>
      </c>
    </row>
    <row r="636" spans="1:12" x14ac:dyDescent="0.2">
      <c r="A636" s="158" t="s">
        <v>3621</v>
      </c>
      <c r="B636" s="242"/>
      <c r="C636" s="135" t="s">
        <v>1881</v>
      </c>
      <c r="D636" s="139" t="s">
        <v>1374</v>
      </c>
      <c r="E636" s="159">
        <v>250</v>
      </c>
      <c r="F636" s="159"/>
      <c r="G636" s="159"/>
      <c r="H636" s="160">
        <v>483.41</v>
      </c>
      <c r="I636" s="161">
        <f t="shared" si="16"/>
        <v>120852.5</v>
      </c>
      <c r="J636" s="135" t="s">
        <v>1355</v>
      </c>
      <c r="K636" s="135" t="s">
        <v>3611</v>
      </c>
      <c r="L636" s="134" t="s">
        <v>3622</v>
      </c>
    </row>
    <row r="637" spans="1:12" x14ac:dyDescent="0.2">
      <c r="A637" s="158" t="s">
        <v>3624</v>
      </c>
      <c r="B637" s="242"/>
      <c r="C637" s="135" t="s">
        <v>3625</v>
      </c>
      <c r="D637" s="139" t="s">
        <v>1557</v>
      </c>
      <c r="E637" s="159">
        <v>7610</v>
      </c>
      <c r="F637" s="159"/>
      <c r="G637" s="159"/>
      <c r="H637" s="160">
        <v>5.64</v>
      </c>
      <c r="I637" s="161">
        <f t="shared" si="16"/>
        <v>42920.399999999994</v>
      </c>
      <c r="J637" s="135" t="s">
        <v>1355</v>
      </c>
      <c r="K637" s="135" t="s">
        <v>3611</v>
      </c>
      <c r="L637" s="134" t="s">
        <v>3613</v>
      </c>
    </row>
    <row r="638" spans="1:12" x14ac:dyDescent="0.2">
      <c r="A638" s="158" t="s">
        <v>3627</v>
      </c>
      <c r="B638" s="242"/>
      <c r="C638" s="135" t="s">
        <v>3628</v>
      </c>
      <c r="D638" s="139" t="s">
        <v>1557</v>
      </c>
      <c r="E638" s="159">
        <v>10112</v>
      </c>
      <c r="F638" s="159"/>
      <c r="G638" s="159"/>
      <c r="H638" s="160">
        <v>5.64</v>
      </c>
      <c r="I638" s="161">
        <f t="shared" si="16"/>
        <v>57031.68</v>
      </c>
      <c r="J638" s="135" t="s">
        <v>1355</v>
      </c>
      <c r="K638" s="135" t="s">
        <v>3611</v>
      </c>
      <c r="L638" s="134" t="s">
        <v>3613</v>
      </c>
    </row>
    <row r="639" spans="1:12" x14ac:dyDescent="0.2">
      <c r="A639" s="158" t="s">
        <v>3630</v>
      </c>
      <c r="B639" s="242"/>
      <c r="C639" s="135" t="s">
        <v>3631</v>
      </c>
      <c r="D639" s="139" t="s">
        <v>1557</v>
      </c>
      <c r="E639" s="159">
        <v>37288</v>
      </c>
      <c r="F639" s="159"/>
      <c r="G639" s="159"/>
      <c r="H639" s="160">
        <v>5.64</v>
      </c>
      <c r="I639" s="161">
        <f t="shared" si="16"/>
        <v>210304.31999999998</v>
      </c>
      <c r="J639" s="135" t="s">
        <v>1355</v>
      </c>
      <c r="K639" s="135" t="s">
        <v>3611</v>
      </c>
      <c r="L639" s="134" t="s">
        <v>3613</v>
      </c>
    </row>
    <row r="640" spans="1:12" x14ac:dyDescent="0.2">
      <c r="A640" s="158" t="s">
        <v>3633</v>
      </c>
      <c r="B640" s="242"/>
      <c r="C640" s="135" t="s">
        <v>3634</v>
      </c>
      <c r="D640" s="139" t="s">
        <v>1557</v>
      </c>
      <c r="E640" s="159">
        <v>49960</v>
      </c>
      <c r="F640" s="159"/>
      <c r="G640" s="159"/>
      <c r="H640" s="160">
        <v>5.64</v>
      </c>
      <c r="I640" s="161">
        <f t="shared" si="16"/>
        <v>281774.39999999997</v>
      </c>
      <c r="J640" s="135" t="s">
        <v>1355</v>
      </c>
      <c r="K640" s="135" t="s">
        <v>3611</v>
      </c>
      <c r="L640" s="134" t="s">
        <v>3613</v>
      </c>
    </row>
    <row r="641" spans="1:12" x14ac:dyDescent="0.2">
      <c r="A641" s="158" t="s">
        <v>3636</v>
      </c>
      <c r="B641" s="242"/>
      <c r="C641" s="135" t="s">
        <v>3637</v>
      </c>
      <c r="D641" s="139" t="s">
        <v>1557</v>
      </c>
      <c r="E641" s="159">
        <v>85140</v>
      </c>
      <c r="F641" s="159"/>
      <c r="G641" s="159"/>
      <c r="H641" s="160">
        <v>5.64</v>
      </c>
      <c r="I641" s="161">
        <f t="shared" si="16"/>
        <v>480189.6</v>
      </c>
      <c r="J641" s="135" t="s">
        <v>1355</v>
      </c>
      <c r="K641" s="135" t="s">
        <v>3611</v>
      </c>
      <c r="L641" s="134" t="s">
        <v>3613</v>
      </c>
    </row>
    <row r="642" spans="1:12" x14ac:dyDescent="0.2">
      <c r="A642" s="158" t="s">
        <v>3639</v>
      </c>
      <c r="B642" s="242"/>
      <c r="C642" s="135" t="s">
        <v>3640</v>
      </c>
      <c r="D642" s="139" t="s">
        <v>1557</v>
      </c>
      <c r="E642" s="159">
        <v>118836</v>
      </c>
      <c r="F642" s="159"/>
      <c r="G642" s="159"/>
      <c r="H642" s="160">
        <v>5.64</v>
      </c>
      <c r="I642" s="161">
        <f t="shared" si="16"/>
        <v>670235.03999999992</v>
      </c>
      <c r="J642" s="135" t="s">
        <v>1355</v>
      </c>
      <c r="K642" s="135" t="s">
        <v>3611</v>
      </c>
      <c r="L642" s="134" t="s">
        <v>3613</v>
      </c>
    </row>
    <row r="643" spans="1:12" x14ac:dyDescent="0.2">
      <c r="A643" s="158" t="s">
        <v>3642</v>
      </c>
      <c r="B643" s="242"/>
      <c r="C643" s="135" t="s">
        <v>3643</v>
      </c>
      <c r="D643" s="139" t="s">
        <v>1557</v>
      </c>
      <c r="E643" s="159">
        <v>239000</v>
      </c>
      <c r="F643" s="159"/>
      <c r="G643" s="159"/>
      <c r="H643" s="160">
        <v>5.49</v>
      </c>
      <c r="I643" s="161">
        <f t="shared" si="16"/>
        <v>1312110</v>
      </c>
      <c r="J643" s="135" t="s">
        <v>1355</v>
      </c>
      <c r="K643" s="135" t="s">
        <v>3611</v>
      </c>
      <c r="L643" s="134" t="s">
        <v>3613</v>
      </c>
    </row>
    <row r="644" spans="1:12" x14ac:dyDescent="0.2">
      <c r="A644" s="158" t="s">
        <v>3645</v>
      </c>
      <c r="B644" s="242"/>
      <c r="C644" s="135" t="s">
        <v>3646</v>
      </c>
      <c r="D644" s="139" t="s">
        <v>1557</v>
      </c>
      <c r="E644" s="159">
        <v>239000</v>
      </c>
      <c r="F644" s="159"/>
      <c r="G644" s="159"/>
      <c r="H644" s="160">
        <v>5.49</v>
      </c>
      <c r="I644" s="161">
        <f t="shared" si="16"/>
        <v>1312110</v>
      </c>
      <c r="J644" s="135" t="s">
        <v>1355</v>
      </c>
      <c r="K644" s="135" t="s">
        <v>3611</v>
      </c>
      <c r="L644" s="134" t="s">
        <v>3613</v>
      </c>
    </row>
    <row r="645" spans="1:12" x14ac:dyDescent="0.2">
      <c r="A645" s="158" t="s">
        <v>3648</v>
      </c>
      <c r="B645" s="242"/>
      <c r="C645" s="135" t="s">
        <v>3649</v>
      </c>
      <c r="D645" s="139" t="s">
        <v>1557</v>
      </c>
      <c r="E645" s="159">
        <v>45750</v>
      </c>
      <c r="F645" s="159"/>
      <c r="G645" s="159"/>
      <c r="H645" s="160">
        <v>11.69</v>
      </c>
      <c r="I645" s="161">
        <f t="shared" si="16"/>
        <v>534817.5</v>
      </c>
      <c r="J645" s="135" t="s">
        <v>1355</v>
      </c>
      <c r="K645" s="135" t="s">
        <v>3611</v>
      </c>
      <c r="L645" s="134" t="s">
        <v>3613</v>
      </c>
    </row>
    <row r="646" spans="1:12" x14ac:dyDescent="0.2">
      <c r="A646" s="158" t="s">
        <v>3651</v>
      </c>
      <c r="B646" s="242"/>
      <c r="C646" s="135" t="s">
        <v>3652</v>
      </c>
      <c r="D646" s="139" t="s">
        <v>1557</v>
      </c>
      <c r="E646" s="159">
        <v>71600</v>
      </c>
      <c r="F646" s="159"/>
      <c r="G646" s="159"/>
      <c r="H646" s="160">
        <v>11.69</v>
      </c>
      <c r="I646" s="161">
        <f t="shared" si="16"/>
        <v>837004</v>
      </c>
      <c r="J646" s="135" t="s">
        <v>1355</v>
      </c>
      <c r="K646" s="135" t="s">
        <v>3611</v>
      </c>
      <c r="L646" s="134" t="s">
        <v>3613</v>
      </c>
    </row>
    <row r="647" spans="1:12" x14ac:dyDescent="0.2">
      <c r="A647" s="158" t="s">
        <v>3654</v>
      </c>
      <c r="B647" s="242"/>
      <c r="C647" s="135" t="s">
        <v>3656</v>
      </c>
      <c r="D647" s="139" t="s">
        <v>1557</v>
      </c>
      <c r="E647" s="159">
        <v>904296</v>
      </c>
      <c r="F647" s="159"/>
      <c r="G647" s="159"/>
      <c r="H647" s="160">
        <v>3.9</v>
      </c>
      <c r="I647" s="161">
        <f t="shared" si="16"/>
        <v>3526754.4</v>
      </c>
      <c r="J647" s="135" t="s">
        <v>1355</v>
      </c>
      <c r="K647" s="135" t="s">
        <v>3611</v>
      </c>
      <c r="L647" s="134" t="s">
        <v>3655</v>
      </c>
    </row>
    <row r="648" spans="1:12" x14ac:dyDescent="0.2">
      <c r="A648" s="269" t="s">
        <v>3658</v>
      </c>
      <c r="B648" s="270"/>
      <c r="C648" s="271" t="s">
        <v>3660</v>
      </c>
      <c r="D648" s="139" t="s">
        <v>3613</v>
      </c>
      <c r="E648" s="159" t="s">
        <v>3613</v>
      </c>
      <c r="F648" s="159"/>
      <c r="G648" s="159"/>
      <c r="H648" s="160" t="s">
        <v>3613</v>
      </c>
      <c r="I648" s="161"/>
      <c r="J648" s="191" t="s">
        <v>1355</v>
      </c>
      <c r="K648" s="191" t="s">
        <v>3659</v>
      </c>
      <c r="L648" s="190" t="s">
        <v>3613</v>
      </c>
    </row>
    <row r="649" spans="1:12" x14ac:dyDescent="0.2">
      <c r="A649" s="158" t="s">
        <v>3662</v>
      </c>
      <c r="B649" s="242"/>
      <c r="C649" s="135" t="s">
        <v>3664</v>
      </c>
      <c r="D649" s="139" t="s">
        <v>1627</v>
      </c>
      <c r="E649" s="159">
        <v>12</v>
      </c>
      <c r="F649" s="159"/>
      <c r="G649" s="159"/>
      <c r="H649" s="160">
        <v>3349.36</v>
      </c>
      <c r="I649" s="161">
        <f t="shared" si="16"/>
        <v>40192.32</v>
      </c>
      <c r="J649" s="135" t="s">
        <v>1355</v>
      </c>
      <c r="K649" s="135" t="s">
        <v>3659</v>
      </c>
      <c r="L649" s="134" t="s">
        <v>3663</v>
      </c>
    </row>
    <row r="650" spans="1:12" x14ac:dyDescent="0.2">
      <c r="A650" s="158" t="s">
        <v>3666</v>
      </c>
      <c r="B650" s="242"/>
      <c r="C650" s="135" t="s">
        <v>3668</v>
      </c>
      <c r="D650" s="139" t="s">
        <v>1627</v>
      </c>
      <c r="E650" s="159">
        <v>14</v>
      </c>
      <c r="F650" s="159"/>
      <c r="G650" s="159"/>
      <c r="H650" s="160">
        <v>2356.29</v>
      </c>
      <c r="I650" s="161">
        <f t="shared" si="16"/>
        <v>32988.06</v>
      </c>
      <c r="J650" s="135" t="s">
        <v>1355</v>
      </c>
      <c r="K650" s="135" t="s">
        <v>3659</v>
      </c>
      <c r="L650" s="134" t="s">
        <v>3667</v>
      </c>
    </row>
    <row r="651" spans="1:12" x14ac:dyDescent="0.2">
      <c r="A651" s="158" t="s">
        <v>3670</v>
      </c>
      <c r="B651" s="242"/>
      <c r="C651" s="135" t="s">
        <v>3672</v>
      </c>
      <c r="D651" s="139" t="s">
        <v>1374</v>
      </c>
      <c r="E651" s="159">
        <v>1080</v>
      </c>
      <c r="F651" s="159"/>
      <c r="G651" s="159"/>
      <c r="H651" s="160">
        <v>455.28</v>
      </c>
      <c r="I651" s="161">
        <f t="shared" si="16"/>
        <v>491702.39999999997</v>
      </c>
      <c r="J651" s="135" t="s">
        <v>1355</v>
      </c>
      <c r="K651" s="135" t="s">
        <v>3659</v>
      </c>
      <c r="L651" s="134" t="s">
        <v>3671</v>
      </c>
    </row>
    <row r="652" spans="1:12" x14ac:dyDescent="0.2">
      <c r="A652" s="158" t="s">
        <v>3674</v>
      </c>
      <c r="B652" s="242"/>
      <c r="C652" s="135" t="s">
        <v>3676</v>
      </c>
      <c r="D652" s="139" t="s">
        <v>1374</v>
      </c>
      <c r="E652" s="159">
        <v>3110</v>
      </c>
      <c r="F652" s="159"/>
      <c r="G652" s="159"/>
      <c r="H652" s="160">
        <v>455.28</v>
      </c>
      <c r="I652" s="161">
        <f t="shared" si="16"/>
        <v>1415920.7999999998</v>
      </c>
      <c r="J652" s="135" t="s">
        <v>1355</v>
      </c>
      <c r="K652" s="135" t="s">
        <v>3659</v>
      </c>
      <c r="L652" s="134" t="s">
        <v>3675</v>
      </c>
    </row>
    <row r="653" spans="1:12" x14ac:dyDescent="0.2">
      <c r="A653" s="158" t="s">
        <v>3678</v>
      </c>
      <c r="B653" s="242"/>
      <c r="C653" s="135" t="s">
        <v>3680</v>
      </c>
      <c r="D653" s="139" t="s">
        <v>1374</v>
      </c>
      <c r="E653" s="159">
        <v>13500</v>
      </c>
      <c r="F653" s="159"/>
      <c r="G653" s="159"/>
      <c r="H653" s="160">
        <v>62.83</v>
      </c>
      <c r="I653" s="161">
        <f t="shared" si="16"/>
        <v>848205</v>
      </c>
      <c r="J653" s="135" t="s">
        <v>1355</v>
      </c>
      <c r="K653" s="135" t="s">
        <v>3659</v>
      </c>
      <c r="L653" s="134" t="s">
        <v>3679</v>
      </c>
    </row>
    <row r="654" spans="1:12" x14ac:dyDescent="0.2">
      <c r="A654" s="158" t="s">
        <v>3682</v>
      </c>
      <c r="B654" s="242"/>
      <c r="C654" s="135" t="s">
        <v>3684</v>
      </c>
      <c r="D654" s="139" t="s">
        <v>1627</v>
      </c>
      <c r="E654" s="159">
        <v>43200</v>
      </c>
      <c r="F654" s="159"/>
      <c r="G654" s="159"/>
      <c r="H654" s="160">
        <v>70.34</v>
      </c>
      <c r="I654" s="161">
        <f t="shared" si="16"/>
        <v>3038688</v>
      </c>
      <c r="J654" s="135" t="s">
        <v>1355</v>
      </c>
      <c r="K654" s="135" t="s">
        <v>3659</v>
      </c>
      <c r="L654" s="134" t="s">
        <v>3683</v>
      </c>
    </row>
    <row r="655" spans="1:12" x14ac:dyDescent="0.2">
      <c r="A655" s="269" t="s">
        <v>3686</v>
      </c>
      <c r="B655" s="270"/>
      <c r="C655" s="271" t="s">
        <v>3688</v>
      </c>
      <c r="D655" s="139" t="s">
        <v>3613</v>
      </c>
      <c r="E655" s="159" t="s">
        <v>3613</v>
      </c>
      <c r="F655" s="159"/>
      <c r="G655" s="159"/>
      <c r="H655" s="160" t="s">
        <v>3613</v>
      </c>
      <c r="I655" s="161"/>
      <c r="J655" s="191" t="s">
        <v>1355</v>
      </c>
      <c r="K655" s="191" t="s">
        <v>3687</v>
      </c>
      <c r="L655" s="190" t="s">
        <v>3613</v>
      </c>
    </row>
    <row r="656" spans="1:12" x14ac:dyDescent="0.2">
      <c r="A656" s="158" t="s">
        <v>3690</v>
      </c>
      <c r="B656" s="242"/>
      <c r="C656" s="135" t="s">
        <v>3191</v>
      </c>
      <c r="D656" s="139" t="s">
        <v>2983</v>
      </c>
      <c r="E656" s="159">
        <v>900</v>
      </c>
      <c r="F656" s="159"/>
      <c r="G656" s="159"/>
      <c r="H656" s="160">
        <v>10397.879999999999</v>
      </c>
      <c r="I656" s="161">
        <f t="shared" si="16"/>
        <v>9358092</v>
      </c>
      <c r="J656" s="135" t="s">
        <v>1355</v>
      </c>
      <c r="K656" s="135" t="s">
        <v>3687</v>
      </c>
      <c r="L656" s="134" t="s">
        <v>3613</v>
      </c>
    </row>
    <row r="657" spans="1:12" x14ac:dyDescent="0.2">
      <c r="A657" s="158" t="s">
        <v>3692</v>
      </c>
      <c r="B657" s="242"/>
      <c r="C657" s="135" t="s">
        <v>3154</v>
      </c>
      <c r="D657" s="139" t="s">
        <v>2983</v>
      </c>
      <c r="E657" s="159">
        <v>160</v>
      </c>
      <c r="F657" s="159"/>
      <c r="G657" s="159"/>
      <c r="H657" s="160">
        <v>209.6</v>
      </c>
      <c r="I657" s="161">
        <f t="shared" si="16"/>
        <v>33536</v>
      </c>
      <c r="J657" s="135" t="s">
        <v>1355</v>
      </c>
      <c r="K657" s="135" t="s">
        <v>3687</v>
      </c>
      <c r="L657" s="134" t="s">
        <v>3153</v>
      </c>
    </row>
    <row r="658" spans="1:12" x14ac:dyDescent="0.2">
      <c r="A658" s="158" t="s">
        <v>3694</v>
      </c>
      <c r="B658" s="242"/>
      <c r="C658" s="135" t="s">
        <v>3695</v>
      </c>
      <c r="D658" s="139" t="s">
        <v>1361</v>
      </c>
      <c r="E658" s="159">
        <v>1600</v>
      </c>
      <c r="F658" s="159"/>
      <c r="G658" s="159"/>
      <c r="H658" s="160">
        <v>200.08</v>
      </c>
      <c r="I658" s="161">
        <f t="shared" si="16"/>
        <v>320128</v>
      </c>
      <c r="J658" s="135" t="s">
        <v>1355</v>
      </c>
      <c r="K658" s="135" t="s">
        <v>3687</v>
      </c>
      <c r="L658" s="134" t="s">
        <v>3060</v>
      </c>
    </row>
    <row r="659" spans="1:12" x14ac:dyDescent="0.2">
      <c r="A659" s="158" t="s">
        <v>3697</v>
      </c>
      <c r="B659" s="242"/>
      <c r="C659" s="135" t="s">
        <v>3698</v>
      </c>
      <c r="D659" s="139" t="s">
        <v>1361</v>
      </c>
      <c r="E659" s="159">
        <v>1600</v>
      </c>
      <c r="F659" s="159"/>
      <c r="G659" s="159"/>
      <c r="H659" s="160">
        <v>200.08</v>
      </c>
      <c r="I659" s="161">
        <f t="shared" si="16"/>
        <v>320128</v>
      </c>
      <c r="J659" s="135" t="s">
        <v>1355</v>
      </c>
      <c r="K659" s="135" t="s">
        <v>3687</v>
      </c>
      <c r="L659" s="134" t="s">
        <v>3064</v>
      </c>
    </row>
    <row r="660" spans="1:12" x14ac:dyDescent="0.2">
      <c r="A660" s="158" t="s">
        <v>3700</v>
      </c>
      <c r="B660" s="242"/>
      <c r="C660" s="135" t="s">
        <v>3701</v>
      </c>
      <c r="D660" s="139" t="s">
        <v>1361</v>
      </c>
      <c r="E660" s="159">
        <v>1700</v>
      </c>
      <c r="F660" s="159"/>
      <c r="G660" s="159"/>
      <c r="H660" s="160">
        <v>39.68</v>
      </c>
      <c r="I660" s="161">
        <f t="shared" si="16"/>
        <v>67456</v>
      </c>
      <c r="J660" s="135" t="s">
        <v>1355</v>
      </c>
      <c r="K660" s="135" t="s">
        <v>3687</v>
      </c>
      <c r="L660" s="134">
        <v>380606</v>
      </c>
    </row>
    <row r="661" spans="1:12" x14ac:dyDescent="0.2">
      <c r="A661" s="158" t="s">
        <v>3703</v>
      </c>
      <c r="B661" s="242"/>
      <c r="C661" s="135" t="s">
        <v>3704</v>
      </c>
      <c r="D661" s="139" t="s">
        <v>1361</v>
      </c>
      <c r="E661" s="159">
        <v>6500</v>
      </c>
      <c r="F661" s="159"/>
      <c r="G661" s="159"/>
      <c r="H661" s="160">
        <v>9.11</v>
      </c>
      <c r="I661" s="161">
        <f t="shared" si="16"/>
        <v>59214.999999999993</v>
      </c>
      <c r="J661" s="135" t="s">
        <v>1355</v>
      </c>
      <c r="K661" s="135" t="s">
        <v>3687</v>
      </c>
      <c r="L661" s="134">
        <v>392605</v>
      </c>
    </row>
    <row r="662" spans="1:12" x14ac:dyDescent="0.2">
      <c r="A662" s="158" t="s">
        <v>3706</v>
      </c>
      <c r="B662" s="242"/>
      <c r="C662" s="135" t="s">
        <v>3707</v>
      </c>
      <c r="D662" s="139" t="s">
        <v>1361</v>
      </c>
      <c r="E662" s="159">
        <v>2000</v>
      </c>
      <c r="F662" s="159"/>
      <c r="G662" s="159"/>
      <c r="H662" s="160">
        <v>12.69</v>
      </c>
      <c r="I662" s="161">
        <f t="shared" si="16"/>
        <v>25380</v>
      </c>
      <c r="J662" s="135" t="s">
        <v>1355</v>
      </c>
      <c r="K662" s="135" t="s">
        <v>3687</v>
      </c>
      <c r="L662" s="134">
        <v>39882606</v>
      </c>
    </row>
    <row r="663" spans="1:12" x14ac:dyDescent="0.2">
      <c r="A663" s="158" t="s">
        <v>3709</v>
      </c>
      <c r="B663" s="242"/>
      <c r="C663" s="135" t="s">
        <v>3710</v>
      </c>
      <c r="D663" s="139" t="s">
        <v>1361</v>
      </c>
      <c r="E663" s="159">
        <v>15000</v>
      </c>
      <c r="F663" s="159"/>
      <c r="G663" s="159"/>
      <c r="H663" s="160">
        <v>23.95</v>
      </c>
      <c r="I663" s="161">
        <f t="shared" si="16"/>
        <v>359250</v>
      </c>
      <c r="J663" s="135" t="s">
        <v>1355</v>
      </c>
      <c r="K663" s="135" t="s">
        <v>3687</v>
      </c>
      <c r="L663" s="134">
        <v>392608</v>
      </c>
    </row>
    <row r="664" spans="1:12" x14ac:dyDescent="0.2">
      <c r="A664" s="158" t="s">
        <v>3712</v>
      </c>
      <c r="B664" s="242"/>
      <c r="C664" s="135" t="s">
        <v>3174</v>
      </c>
      <c r="D664" s="139" t="s">
        <v>1361</v>
      </c>
      <c r="E664" s="159">
        <v>1600</v>
      </c>
      <c r="F664" s="159"/>
      <c r="G664" s="159"/>
      <c r="H664" s="160">
        <v>612.54</v>
      </c>
      <c r="I664" s="161">
        <f t="shared" si="16"/>
        <v>980064</v>
      </c>
      <c r="J664" s="135" t="s">
        <v>1355</v>
      </c>
      <c r="K664" s="135" t="s">
        <v>3687</v>
      </c>
      <c r="L664" s="134" t="s">
        <v>3613</v>
      </c>
    </row>
    <row r="665" spans="1:12" x14ac:dyDescent="0.2">
      <c r="A665" s="158" t="s">
        <v>3714</v>
      </c>
      <c r="B665" s="242"/>
      <c r="C665" s="135" t="s">
        <v>3716</v>
      </c>
      <c r="D665" s="139" t="s">
        <v>2983</v>
      </c>
      <c r="E665" s="159">
        <v>2</v>
      </c>
      <c r="F665" s="159"/>
      <c r="G665" s="159"/>
      <c r="H665" s="160">
        <v>17892.95</v>
      </c>
      <c r="I665" s="161">
        <f t="shared" si="16"/>
        <v>35785.9</v>
      </c>
      <c r="J665" s="135" t="s">
        <v>1355</v>
      </c>
      <c r="K665" s="135" t="s">
        <v>3687</v>
      </c>
      <c r="L665" s="134" t="s">
        <v>3715</v>
      </c>
    </row>
    <row r="666" spans="1:12" x14ac:dyDescent="0.2">
      <c r="A666" s="269" t="s">
        <v>3718</v>
      </c>
      <c r="B666" s="270"/>
      <c r="C666" s="271" t="s">
        <v>3720</v>
      </c>
      <c r="D666" s="139" t="s">
        <v>3613</v>
      </c>
      <c r="E666" s="159" t="s">
        <v>3613</v>
      </c>
      <c r="F666" s="159"/>
      <c r="G666" s="159"/>
      <c r="H666" s="160" t="s">
        <v>3613</v>
      </c>
      <c r="I666" s="161"/>
      <c r="J666" s="191" t="s">
        <v>1355</v>
      </c>
      <c r="K666" s="191" t="s">
        <v>3719</v>
      </c>
      <c r="L666" s="190" t="s">
        <v>3613</v>
      </c>
    </row>
    <row r="667" spans="1:12" x14ac:dyDescent="0.2">
      <c r="A667" s="158" t="s">
        <v>3722</v>
      </c>
      <c r="B667" s="242"/>
      <c r="C667" s="135" t="s">
        <v>3723</v>
      </c>
      <c r="D667" s="139" t="s">
        <v>1361</v>
      </c>
      <c r="E667" s="159">
        <v>32000</v>
      </c>
      <c r="F667" s="159"/>
      <c r="G667" s="159"/>
      <c r="H667" s="160">
        <v>70.709999999999994</v>
      </c>
      <c r="I667" s="161">
        <f t="shared" si="16"/>
        <v>2262720</v>
      </c>
      <c r="J667" s="135" t="s">
        <v>1355</v>
      </c>
      <c r="K667" s="135" t="s">
        <v>3719</v>
      </c>
      <c r="L667" s="134">
        <v>50114</v>
      </c>
    </row>
    <row r="668" spans="1:12" x14ac:dyDescent="0.2">
      <c r="A668" s="158" t="s">
        <v>3725</v>
      </c>
      <c r="B668" s="242"/>
      <c r="C668" s="135" t="s">
        <v>3726</v>
      </c>
      <c r="D668" s="139" t="s">
        <v>2764</v>
      </c>
      <c r="E668" s="159">
        <v>32</v>
      </c>
      <c r="F668" s="159"/>
      <c r="G668" s="159"/>
      <c r="H668" s="160">
        <v>12.11</v>
      </c>
      <c r="I668" s="161">
        <f t="shared" si="16"/>
        <v>387.52</v>
      </c>
      <c r="J668" s="135" t="s">
        <v>1355</v>
      </c>
      <c r="K668" s="135" t="s">
        <v>3719</v>
      </c>
      <c r="L668" s="134">
        <v>58013</v>
      </c>
    </row>
    <row r="669" spans="1:12" x14ac:dyDescent="0.2">
      <c r="A669" s="158" t="s">
        <v>3728</v>
      </c>
      <c r="B669" s="242"/>
      <c r="C669" s="135" t="s">
        <v>3729</v>
      </c>
      <c r="D669" s="139" t="s">
        <v>2764</v>
      </c>
      <c r="E669" s="159">
        <v>48</v>
      </c>
      <c r="F669" s="159"/>
      <c r="G669" s="159"/>
      <c r="H669" s="160">
        <v>70</v>
      </c>
      <c r="I669" s="161">
        <f t="shared" si="16"/>
        <v>3360</v>
      </c>
      <c r="J669" s="135" t="s">
        <v>1355</v>
      </c>
      <c r="K669" s="135" t="s">
        <v>3719</v>
      </c>
      <c r="L669" s="134" t="s">
        <v>3613</v>
      </c>
    </row>
    <row r="670" spans="1:12" x14ac:dyDescent="0.2">
      <c r="A670" s="158" t="s">
        <v>3731</v>
      </c>
      <c r="B670" s="242"/>
      <c r="C670" s="135" t="s">
        <v>3732</v>
      </c>
      <c r="D670" s="139" t="s">
        <v>2764</v>
      </c>
      <c r="E670" s="159">
        <v>48</v>
      </c>
      <c r="F670" s="159"/>
      <c r="G670" s="159"/>
      <c r="H670" s="160">
        <v>21.99</v>
      </c>
      <c r="I670" s="161">
        <f t="shared" si="16"/>
        <v>1055.52</v>
      </c>
      <c r="J670" s="135" t="s">
        <v>1355</v>
      </c>
      <c r="K670" s="135" t="s">
        <v>3719</v>
      </c>
      <c r="L670" s="134">
        <v>58036</v>
      </c>
    </row>
    <row r="671" spans="1:12" x14ac:dyDescent="0.2">
      <c r="A671" s="158" t="s">
        <v>3734</v>
      </c>
      <c r="B671" s="242"/>
      <c r="C671" s="135" t="s">
        <v>3735</v>
      </c>
      <c r="D671" s="139" t="s">
        <v>2764</v>
      </c>
      <c r="E671" s="159">
        <v>30</v>
      </c>
      <c r="F671" s="159"/>
      <c r="G671" s="159"/>
      <c r="H671" s="160">
        <v>300</v>
      </c>
      <c r="I671" s="161">
        <f t="shared" si="16"/>
        <v>9000</v>
      </c>
      <c r="J671" s="135" t="s">
        <v>1355</v>
      </c>
      <c r="K671" s="135" t="s">
        <v>3719</v>
      </c>
      <c r="L671" s="134" t="s">
        <v>3613</v>
      </c>
    </row>
    <row r="672" spans="1:12" x14ac:dyDescent="0.2">
      <c r="A672" s="158" t="s">
        <v>3737</v>
      </c>
      <c r="B672" s="242"/>
      <c r="C672" s="135" t="s">
        <v>3738</v>
      </c>
      <c r="D672" s="139" t="s">
        <v>2764</v>
      </c>
      <c r="E672" s="159">
        <v>30</v>
      </c>
      <c r="F672" s="159"/>
      <c r="G672" s="159"/>
      <c r="H672" s="160">
        <v>1200</v>
      </c>
      <c r="I672" s="161">
        <f t="shared" si="16"/>
        <v>36000</v>
      </c>
      <c r="J672" s="135" t="s">
        <v>1355</v>
      </c>
      <c r="K672" s="135" t="s">
        <v>3719</v>
      </c>
      <c r="L672" s="134" t="s">
        <v>3613</v>
      </c>
    </row>
    <row r="673" spans="1:12" x14ac:dyDescent="0.2">
      <c r="A673" s="158" t="s">
        <v>3740</v>
      </c>
      <c r="B673" s="242"/>
      <c r="C673" s="135" t="s">
        <v>3741</v>
      </c>
      <c r="D673" s="139" t="s">
        <v>1361</v>
      </c>
      <c r="E673" s="159">
        <v>200</v>
      </c>
      <c r="F673" s="159"/>
      <c r="G673" s="159"/>
      <c r="H673" s="160">
        <v>45.7</v>
      </c>
      <c r="I673" s="161">
        <f t="shared" si="16"/>
        <v>9140</v>
      </c>
      <c r="J673" s="135" t="s">
        <v>1355</v>
      </c>
      <c r="K673" s="135" t="s">
        <v>3719</v>
      </c>
      <c r="L673" s="134">
        <v>52851</v>
      </c>
    </row>
    <row r="674" spans="1:12" x14ac:dyDescent="0.2">
      <c r="A674" s="158" t="s">
        <v>3743</v>
      </c>
      <c r="B674" s="242"/>
      <c r="C674" s="135" t="s">
        <v>3744</v>
      </c>
      <c r="D674" s="139" t="s">
        <v>2764</v>
      </c>
      <c r="E674" s="159">
        <v>12</v>
      </c>
      <c r="F674" s="159"/>
      <c r="G674" s="159"/>
      <c r="H674" s="160">
        <v>79.19</v>
      </c>
      <c r="I674" s="161">
        <f t="shared" si="16"/>
        <v>950.28</v>
      </c>
      <c r="J674" s="135" t="s">
        <v>1355</v>
      </c>
      <c r="K674" s="135" t="s">
        <v>3719</v>
      </c>
      <c r="L674" s="134">
        <v>57610</v>
      </c>
    </row>
    <row r="675" spans="1:12" x14ac:dyDescent="0.2">
      <c r="A675" s="158" t="s">
        <v>3746</v>
      </c>
      <c r="B675" s="242"/>
      <c r="C675" s="135" t="s">
        <v>3747</v>
      </c>
      <c r="D675" s="139" t="s">
        <v>2764</v>
      </c>
      <c r="E675" s="159">
        <v>6</v>
      </c>
      <c r="F675" s="159"/>
      <c r="G675" s="159"/>
      <c r="H675" s="160">
        <v>753.6</v>
      </c>
      <c r="I675" s="161">
        <f t="shared" si="16"/>
        <v>4521.6000000000004</v>
      </c>
      <c r="J675" s="135" t="s">
        <v>1355</v>
      </c>
      <c r="K675" s="135" t="s">
        <v>3719</v>
      </c>
      <c r="L675" s="134" t="s">
        <v>3613</v>
      </c>
    </row>
    <row r="676" spans="1:12" x14ac:dyDescent="0.2">
      <c r="A676" s="158" t="s">
        <v>3749</v>
      </c>
      <c r="B676" s="242"/>
      <c r="C676" s="135" t="s">
        <v>3750</v>
      </c>
      <c r="D676" s="139" t="s">
        <v>2764</v>
      </c>
      <c r="E676" s="159">
        <v>4</v>
      </c>
      <c r="F676" s="159"/>
      <c r="G676" s="159"/>
      <c r="H676" s="160">
        <v>895.2</v>
      </c>
      <c r="I676" s="161">
        <f t="shared" si="16"/>
        <v>3580.8</v>
      </c>
      <c r="J676" s="135" t="s">
        <v>1355</v>
      </c>
      <c r="K676" s="135" t="s">
        <v>3719</v>
      </c>
      <c r="L676" s="134" t="s">
        <v>3613</v>
      </c>
    </row>
    <row r="677" spans="1:12" x14ac:dyDescent="0.2">
      <c r="A677" s="158" t="s">
        <v>3752</v>
      </c>
      <c r="B677" s="242"/>
      <c r="C677" s="135" t="s">
        <v>3753</v>
      </c>
      <c r="D677" s="139" t="s">
        <v>2764</v>
      </c>
      <c r="E677" s="159">
        <v>8</v>
      </c>
      <c r="F677" s="159"/>
      <c r="G677" s="159"/>
      <c r="H677" s="160">
        <v>468.25</v>
      </c>
      <c r="I677" s="161">
        <f t="shared" si="16"/>
        <v>3746</v>
      </c>
      <c r="J677" s="135" t="s">
        <v>1355</v>
      </c>
      <c r="K677" s="135" t="s">
        <v>3719</v>
      </c>
      <c r="L677" s="134" t="s">
        <v>3613</v>
      </c>
    </row>
    <row r="678" spans="1:12" x14ac:dyDescent="0.2">
      <c r="A678" s="158" t="s">
        <v>3755</v>
      </c>
      <c r="B678" s="242"/>
      <c r="C678" s="135" t="s">
        <v>3756</v>
      </c>
      <c r="D678" s="139" t="s">
        <v>2764</v>
      </c>
      <c r="E678" s="159">
        <v>18</v>
      </c>
      <c r="F678" s="159"/>
      <c r="G678" s="159"/>
      <c r="H678" s="160">
        <v>239.55</v>
      </c>
      <c r="I678" s="161">
        <f t="shared" si="16"/>
        <v>4311.9000000000005</v>
      </c>
      <c r="J678" s="135" t="s">
        <v>1355</v>
      </c>
      <c r="K678" s="135" t="s">
        <v>3719</v>
      </c>
      <c r="L678" s="134" t="s">
        <v>3613</v>
      </c>
    </row>
    <row r="679" spans="1:12" ht="13.5" thickBot="1" x14ac:dyDescent="0.25">
      <c r="A679" s="192" t="s">
        <v>3758</v>
      </c>
      <c r="B679" s="246"/>
      <c r="C679" s="194" t="s">
        <v>3759</v>
      </c>
      <c r="D679" s="195" t="s">
        <v>2764</v>
      </c>
      <c r="E679" s="196">
        <v>15</v>
      </c>
      <c r="F679" s="196"/>
      <c r="G679" s="196"/>
      <c r="H679" s="197">
        <v>95.94</v>
      </c>
      <c r="I679" s="198">
        <f t="shared" si="16"/>
        <v>1439.1</v>
      </c>
      <c r="J679" s="194" t="s">
        <v>1355</v>
      </c>
      <c r="K679" s="194" t="s">
        <v>3719</v>
      </c>
      <c r="L679" s="193" t="s">
        <v>3613</v>
      </c>
    </row>
    <row r="680" spans="1:12" ht="13.5" thickBot="1" x14ac:dyDescent="0.25">
      <c r="C680" s="115" t="s">
        <v>1528</v>
      </c>
      <c r="D680" s="112"/>
      <c r="L680" s="114" t="s">
        <v>3613</v>
      </c>
    </row>
    <row r="681" spans="1:12" ht="13.5" thickBot="1" x14ac:dyDescent="0.25">
      <c r="A681" s="200"/>
      <c r="B681" s="247"/>
      <c r="C681" s="201" t="s">
        <v>3762</v>
      </c>
      <c r="D681" s="202" t="s">
        <v>1528</v>
      </c>
      <c r="E681" s="203"/>
      <c r="F681" s="203"/>
    </row>
    <row r="682" spans="1:12" ht="13.5" thickBot="1" x14ac:dyDescent="0.25">
      <c r="A682" s="200">
        <v>15</v>
      </c>
      <c r="B682" s="247"/>
      <c r="C682" s="201" t="str">
        <f>K682</f>
        <v xml:space="preserve"> SERVIÇOS PRELIMINARES  </v>
      </c>
      <c r="D682" s="202" t="s">
        <v>1528</v>
      </c>
      <c r="E682" s="203"/>
      <c r="F682" s="203"/>
      <c r="G682" s="203"/>
      <c r="H682" s="204"/>
      <c r="I682" s="205"/>
      <c r="J682" s="201" t="s">
        <v>3762</v>
      </c>
      <c r="K682" s="201" t="s">
        <v>3763</v>
      </c>
      <c r="L682" s="166">
        <v>21</v>
      </c>
    </row>
    <row r="683" spans="1:12" ht="13.5" thickBot="1" x14ac:dyDescent="0.25">
      <c r="A683" s="206" t="s">
        <v>3765</v>
      </c>
      <c r="B683" s="248"/>
      <c r="C683" s="208" t="s">
        <v>3767</v>
      </c>
      <c r="D683" s="209" t="s">
        <v>1383</v>
      </c>
      <c r="E683" s="210">
        <v>35024</v>
      </c>
      <c r="F683" s="210"/>
      <c r="G683" s="210"/>
      <c r="H683" s="211">
        <v>5.44</v>
      </c>
      <c r="I683" s="212">
        <f>H683*E683</f>
        <v>190530.56000000003</v>
      </c>
      <c r="J683" s="208" t="s">
        <v>3762</v>
      </c>
      <c r="K683" s="208" t="s">
        <v>3763</v>
      </c>
      <c r="L683" s="207" t="s">
        <v>3766</v>
      </c>
    </row>
    <row r="684" spans="1:12" ht="13.5" thickBot="1" x14ac:dyDescent="0.25">
      <c r="A684" s="200">
        <v>16</v>
      </c>
      <c r="B684" s="247"/>
      <c r="C684" s="201" t="str">
        <f>K684</f>
        <v xml:space="preserve"> PAVIMENTAÇÃO  </v>
      </c>
      <c r="D684" s="202" t="s">
        <v>1528</v>
      </c>
      <c r="E684" s="203"/>
      <c r="F684" s="203"/>
      <c r="G684" s="203"/>
      <c r="H684" s="204"/>
      <c r="I684" s="205"/>
      <c r="J684" s="201" t="s">
        <v>3762</v>
      </c>
      <c r="K684" s="201" t="s">
        <v>1478</v>
      </c>
      <c r="L684" s="166">
        <v>23</v>
      </c>
    </row>
    <row r="685" spans="1:12" ht="13.5" thickBot="1" x14ac:dyDescent="0.25">
      <c r="A685" s="206" t="s">
        <v>3770</v>
      </c>
      <c r="B685" s="248"/>
      <c r="C685" s="208" t="s">
        <v>3772</v>
      </c>
      <c r="D685" s="209" t="s">
        <v>1374</v>
      </c>
      <c r="E685" s="210">
        <v>2259.9</v>
      </c>
      <c r="F685" s="210"/>
      <c r="G685" s="210"/>
      <c r="H685" s="211">
        <v>749.33</v>
      </c>
      <c r="I685" s="212">
        <f>E685*H685</f>
        <v>1693410.8670000001</v>
      </c>
      <c r="J685" s="208" t="s">
        <v>3762</v>
      </c>
      <c r="K685" s="208" t="s">
        <v>1478</v>
      </c>
      <c r="L685" s="207" t="s">
        <v>3771</v>
      </c>
    </row>
    <row r="686" spans="1:12" ht="13.5" thickBot="1" x14ac:dyDescent="0.25">
      <c r="A686" s="200">
        <v>17</v>
      </c>
      <c r="B686" s="247"/>
      <c r="C686" s="201" t="str">
        <f>K686</f>
        <v xml:space="preserve"> OBRAS DE ARTE CORRENTE E DRENAGEM  </v>
      </c>
      <c r="D686" s="202" t="s">
        <v>1528</v>
      </c>
      <c r="E686" s="203"/>
      <c r="F686" s="203"/>
      <c r="G686" s="203"/>
      <c r="H686" s="204"/>
      <c r="I686" s="205"/>
      <c r="J686" s="201" t="s">
        <v>3762</v>
      </c>
      <c r="K686" s="201" t="s">
        <v>3774</v>
      </c>
      <c r="L686" s="166" t="s">
        <v>3613</v>
      </c>
    </row>
    <row r="687" spans="1:12" x14ac:dyDescent="0.2">
      <c r="A687" s="154" t="s">
        <v>3776</v>
      </c>
      <c r="B687" s="241"/>
      <c r="C687" s="128" t="s">
        <v>1552</v>
      </c>
      <c r="D687" s="129" t="s">
        <v>1383</v>
      </c>
      <c r="E687" s="155">
        <v>2208</v>
      </c>
      <c r="F687" s="155"/>
      <c r="G687" s="155"/>
      <c r="H687" s="156">
        <v>80.069999999999993</v>
      </c>
      <c r="I687" s="157">
        <f>E687*H687</f>
        <v>176794.56</v>
      </c>
      <c r="J687" s="128" t="s">
        <v>3762</v>
      </c>
      <c r="K687" s="128" t="s">
        <v>3774</v>
      </c>
      <c r="L687" s="127" t="s">
        <v>2778</v>
      </c>
    </row>
    <row r="688" spans="1:12" x14ac:dyDescent="0.2">
      <c r="A688" s="158" t="s">
        <v>3778</v>
      </c>
      <c r="B688" s="242"/>
      <c r="C688" s="135" t="s">
        <v>1556</v>
      </c>
      <c r="D688" s="139" t="s">
        <v>1557</v>
      </c>
      <c r="E688" s="159">
        <v>28882.560000000001</v>
      </c>
      <c r="F688" s="159"/>
      <c r="G688" s="159"/>
      <c r="H688" s="160">
        <v>8.52</v>
      </c>
      <c r="I688" s="161">
        <f t="shared" ref="I688:I751" si="17">E688*H688</f>
        <v>246079.4112</v>
      </c>
      <c r="J688" s="135" t="s">
        <v>3762</v>
      </c>
      <c r="K688" s="135" t="s">
        <v>3774</v>
      </c>
      <c r="L688" s="134" t="s">
        <v>2781</v>
      </c>
    </row>
    <row r="689" spans="1:12" x14ac:dyDescent="0.2">
      <c r="A689" s="158" t="s">
        <v>3780</v>
      </c>
      <c r="B689" s="242"/>
      <c r="C689" s="135" t="s">
        <v>1569</v>
      </c>
      <c r="D689" s="139" t="s">
        <v>1374</v>
      </c>
      <c r="E689" s="159">
        <v>288.83</v>
      </c>
      <c r="F689" s="159"/>
      <c r="G689" s="159"/>
      <c r="H689" s="160">
        <v>455.28</v>
      </c>
      <c r="I689" s="161">
        <f t="shared" si="17"/>
        <v>131498.52239999999</v>
      </c>
      <c r="J689" s="135" t="s">
        <v>3762</v>
      </c>
      <c r="K689" s="135" t="s">
        <v>3774</v>
      </c>
      <c r="L689" s="134" t="s">
        <v>3781</v>
      </c>
    </row>
    <row r="690" spans="1:12" x14ac:dyDescent="0.2">
      <c r="A690" s="158" t="s">
        <v>3783</v>
      </c>
      <c r="B690" s="242"/>
      <c r="C690" s="135" t="s">
        <v>1655</v>
      </c>
      <c r="D690" s="139" t="s">
        <v>1361</v>
      </c>
      <c r="E690" s="159">
        <v>480</v>
      </c>
      <c r="F690" s="159"/>
      <c r="G690" s="159"/>
      <c r="H690" s="160">
        <v>343.28</v>
      </c>
      <c r="I690" s="161">
        <f t="shared" si="17"/>
        <v>164774.39999999999</v>
      </c>
      <c r="J690" s="135" t="s">
        <v>3762</v>
      </c>
      <c r="K690" s="135" t="s">
        <v>3774</v>
      </c>
      <c r="L690" s="134" t="s">
        <v>3784</v>
      </c>
    </row>
    <row r="691" spans="1:12" x14ac:dyDescent="0.2">
      <c r="A691" s="158" t="s">
        <v>3786</v>
      </c>
      <c r="B691" s="242"/>
      <c r="C691" s="135" t="s">
        <v>1659</v>
      </c>
      <c r="D691" s="139" t="s">
        <v>1627</v>
      </c>
      <c r="E691" s="159">
        <v>15</v>
      </c>
      <c r="F691" s="159"/>
      <c r="G691" s="159"/>
      <c r="H691" s="160">
        <v>133.96</v>
      </c>
      <c r="I691" s="161">
        <f t="shared" si="17"/>
        <v>2009.4</v>
      </c>
      <c r="J691" s="135" t="s">
        <v>3762</v>
      </c>
      <c r="K691" s="135" t="s">
        <v>3774</v>
      </c>
      <c r="L691" s="134" t="s">
        <v>3787</v>
      </c>
    </row>
    <row r="692" spans="1:12" x14ac:dyDescent="0.2">
      <c r="A692" s="158" t="s">
        <v>3789</v>
      </c>
      <c r="B692" s="242"/>
      <c r="C692" s="135" t="s">
        <v>1631</v>
      </c>
      <c r="D692" s="139" t="s">
        <v>1627</v>
      </c>
      <c r="E692" s="159">
        <v>2</v>
      </c>
      <c r="F692" s="159"/>
      <c r="G692" s="159"/>
      <c r="H692" s="160">
        <v>6466.5</v>
      </c>
      <c r="I692" s="161">
        <f t="shared" si="17"/>
        <v>12933</v>
      </c>
      <c r="J692" s="135" t="s">
        <v>3762</v>
      </c>
      <c r="K692" s="135" t="s">
        <v>3774</v>
      </c>
      <c r="L692" s="134" t="s">
        <v>3790</v>
      </c>
    </row>
    <row r="693" spans="1:12" x14ac:dyDescent="0.2">
      <c r="A693" s="158" t="s">
        <v>3792</v>
      </c>
      <c r="B693" s="242"/>
      <c r="C693" s="135" t="s">
        <v>1635</v>
      </c>
      <c r="D693" s="139" t="s">
        <v>1627</v>
      </c>
      <c r="E693" s="159">
        <v>2</v>
      </c>
      <c r="F693" s="159"/>
      <c r="G693" s="159"/>
      <c r="H693" s="160">
        <v>3510</v>
      </c>
      <c r="I693" s="161">
        <f t="shared" si="17"/>
        <v>7020</v>
      </c>
      <c r="J693" s="135" t="s">
        <v>3762</v>
      </c>
      <c r="K693" s="135" t="s">
        <v>3774</v>
      </c>
      <c r="L693" s="134" t="s">
        <v>3793</v>
      </c>
    </row>
    <row r="694" spans="1:12" x14ac:dyDescent="0.2">
      <c r="A694" s="158" t="s">
        <v>3795</v>
      </c>
      <c r="B694" s="242"/>
      <c r="C694" s="135" t="s">
        <v>1639</v>
      </c>
      <c r="D694" s="139" t="s">
        <v>1627</v>
      </c>
      <c r="E694" s="159">
        <v>552</v>
      </c>
      <c r="F694" s="159"/>
      <c r="G694" s="159"/>
      <c r="H694" s="160">
        <v>83.05</v>
      </c>
      <c r="I694" s="161">
        <f t="shared" si="17"/>
        <v>45843.6</v>
      </c>
      <c r="J694" s="135" t="s">
        <v>3762</v>
      </c>
      <c r="K694" s="135" t="s">
        <v>3774</v>
      </c>
      <c r="L694" s="134" t="s">
        <v>3796</v>
      </c>
    </row>
    <row r="695" spans="1:12" x14ac:dyDescent="0.2">
      <c r="A695" s="158" t="s">
        <v>3798</v>
      </c>
      <c r="B695" s="242"/>
      <c r="C695" s="135" t="s">
        <v>1643</v>
      </c>
      <c r="D695" s="139" t="s">
        <v>1627</v>
      </c>
      <c r="E695" s="159">
        <v>552</v>
      </c>
      <c r="F695" s="159"/>
      <c r="G695" s="159"/>
      <c r="H695" s="160">
        <v>83.05</v>
      </c>
      <c r="I695" s="161">
        <f t="shared" si="17"/>
        <v>45843.6</v>
      </c>
      <c r="J695" s="135" t="s">
        <v>3762</v>
      </c>
      <c r="K695" s="135" t="s">
        <v>3774</v>
      </c>
      <c r="L695" s="134" t="s">
        <v>3799</v>
      </c>
    </row>
    <row r="696" spans="1:12" ht="13.5" thickBot="1" x14ac:dyDescent="0.25">
      <c r="A696" s="162" t="s">
        <v>3801</v>
      </c>
      <c r="B696" s="243"/>
      <c r="C696" s="142" t="s">
        <v>1647</v>
      </c>
      <c r="D696" s="143" t="s">
        <v>1627</v>
      </c>
      <c r="E696" s="163">
        <v>2208</v>
      </c>
      <c r="F696" s="163"/>
      <c r="G696" s="163"/>
      <c r="H696" s="164">
        <v>83.05</v>
      </c>
      <c r="I696" s="165">
        <f t="shared" si="17"/>
        <v>183374.4</v>
      </c>
      <c r="J696" s="142" t="s">
        <v>3762</v>
      </c>
      <c r="K696" s="142" t="s">
        <v>3774</v>
      </c>
      <c r="L696" s="141" t="s">
        <v>3802</v>
      </c>
    </row>
    <row r="697" spans="1:12" ht="13.5" thickBot="1" x14ac:dyDescent="0.25">
      <c r="A697" s="200">
        <v>18</v>
      </c>
      <c r="B697" s="247"/>
      <c r="C697" s="201" t="str">
        <f>K697</f>
        <v xml:space="preserve"> SISTEMA DE SUPERVISÃO E MONITORAMENTO  </v>
      </c>
      <c r="D697" s="202" t="s">
        <v>1528</v>
      </c>
      <c r="E697" s="203"/>
      <c r="F697" s="203"/>
      <c r="G697" s="203"/>
      <c r="H697" s="204"/>
      <c r="I697" s="205"/>
      <c r="J697" s="201" t="s">
        <v>3762</v>
      </c>
      <c r="K697" s="201" t="s">
        <v>3296</v>
      </c>
      <c r="L697" s="166" t="s">
        <v>3613</v>
      </c>
    </row>
    <row r="698" spans="1:12" x14ac:dyDescent="0.2">
      <c r="A698" s="154" t="s">
        <v>3805</v>
      </c>
      <c r="B698" s="241"/>
      <c r="C698" s="128" t="s">
        <v>3308</v>
      </c>
      <c r="D698" s="129" t="s">
        <v>2983</v>
      </c>
      <c r="E698" s="155">
        <v>32</v>
      </c>
      <c r="F698" s="155"/>
      <c r="G698" s="155"/>
      <c r="H698" s="156">
        <v>1907.09</v>
      </c>
      <c r="I698" s="157">
        <f t="shared" si="17"/>
        <v>61026.879999999997</v>
      </c>
      <c r="J698" s="128" t="s">
        <v>3762</v>
      </c>
      <c r="K698" s="128" t="s">
        <v>3296</v>
      </c>
      <c r="L698" s="127" t="s">
        <v>3613</v>
      </c>
    </row>
    <row r="699" spans="1:12" x14ac:dyDescent="0.2">
      <c r="A699" s="158" t="s">
        <v>3807</v>
      </c>
      <c r="B699" s="242"/>
      <c r="C699" s="135" t="s">
        <v>3317</v>
      </c>
      <c r="D699" s="139" t="s">
        <v>2983</v>
      </c>
      <c r="E699" s="159">
        <v>10</v>
      </c>
      <c r="F699" s="159"/>
      <c r="G699" s="159"/>
      <c r="H699" s="160">
        <v>1907.09</v>
      </c>
      <c r="I699" s="161">
        <f t="shared" si="17"/>
        <v>19070.899999999998</v>
      </c>
      <c r="J699" s="135" t="s">
        <v>3762</v>
      </c>
      <c r="K699" s="135" t="s">
        <v>3296</v>
      </c>
      <c r="L699" s="134" t="s">
        <v>3613</v>
      </c>
    </row>
    <row r="700" spans="1:12" x14ac:dyDescent="0.2">
      <c r="A700" s="158" t="s">
        <v>3809</v>
      </c>
      <c r="B700" s="242"/>
      <c r="C700" s="135" t="s">
        <v>3320</v>
      </c>
      <c r="D700" s="139" t="s">
        <v>2983</v>
      </c>
      <c r="E700" s="159">
        <v>1</v>
      </c>
      <c r="F700" s="159"/>
      <c r="G700" s="159"/>
      <c r="H700" s="160">
        <v>34232.44</v>
      </c>
      <c r="I700" s="161">
        <f t="shared" si="17"/>
        <v>34232.44</v>
      </c>
      <c r="J700" s="135" t="s">
        <v>3762</v>
      </c>
      <c r="K700" s="135" t="s">
        <v>3296</v>
      </c>
      <c r="L700" s="134" t="s">
        <v>3613</v>
      </c>
    </row>
    <row r="701" spans="1:12" x14ac:dyDescent="0.2">
      <c r="A701" s="158" t="s">
        <v>3811</v>
      </c>
      <c r="B701" s="242"/>
      <c r="C701" s="135" t="s">
        <v>3323</v>
      </c>
      <c r="D701" s="139" t="s">
        <v>2983</v>
      </c>
      <c r="E701" s="159">
        <v>1</v>
      </c>
      <c r="F701" s="159"/>
      <c r="G701" s="159"/>
      <c r="H701" s="160">
        <v>19561.39</v>
      </c>
      <c r="I701" s="161">
        <f t="shared" si="17"/>
        <v>19561.39</v>
      </c>
      <c r="J701" s="135" t="s">
        <v>3762</v>
      </c>
      <c r="K701" s="135" t="s">
        <v>3296</v>
      </c>
      <c r="L701" s="134" t="s">
        <v>3613</v>
      </c>
    </row>
    <row r="702" spans="1:12" x14ac:dyDescent="0.2">
      <c r="A702" s="158" t="s">
        <v>3813</v>
      </c>
      <c r="B702" s="242"/>
      <c r="C702" s="135" t="s">
        <v>3814</v>
      </c>
      <c r="D702" s="139" t="s">
        <v>1614</v>
      </c>
      <c r="E702" s="159">
        <v>3700</v>
      </c>
      <c r="F702" s="159"/>
      <c r="G702" s="159"/>
      <c r="H702" s="160">
        <v>48.9</v>
      </c>
      <c r="I702" s="161">
        <f t="shared" si="17"/>
        <v>180930</v>
      </c>
      <c r="J702" s="135" t="s">
        <v>3762</v>
      </c>
      <c r="K702" s="135" t="s">
        <v>3296</v>
      </c>
      <c r="L702" s="134" t="s">
        <v>3613</v>
      </c>
    </row>
    <row r="703" spans="1:12" x14ac:dyDescent="0.2">
      <c r="A703" s="158" t="s">
        <v>3816</v>
      </c>
      <c r="B703" s="242"/>
      <c r="C703" s="135" t="s">
        <v>3329</v>
      </c>
      <c r="D703" s="139" t="s">
        <v>1361</v>
      </c>
      <c r="E703" s="159">
        <v>2200</v>
      </c>
      <c r="F703" s="159"/>
      <c r="G703" s="159"/>
      <c r="H703" s="160">
        <v>44.01</v>
      </c>
      <c r="I703" s="161">
        <f t="shared" si="17"/>
        <v>96822</v>
      </c>
      <c r="J703" s="135" t="s">
        <v>3762</v>
      </c>
      <c r="K703" s="135" t="s">
        <v>3296</v>
      </c>
      <c r="L703" s="134" t="s">
        <v>3613</v>
      </c>
    </row>
    <row r="704" spans="1:12" x14ac:dyDescent="0.2">
      <c r="A704" s="158" t="s">
        <v>3818</v>
      </c>
      <c r="B704" s="242"/>
      <c r="C704" s="135" t="s">
        <v>3336</v>
      </c>
      <c r="D704" s="139" t="s">
        <v>1361</v>
      </c>
      <c r="E704" s="159">
        <v>37000</v>
      </c>
      <c r="F704" s="159"/>
      <c r="G704" s="159"/>
      <c r="H704" s="160">
        <v>22.01</v>
      </c>
      <c r="I704" s="161">
        <f t="shared" si="17"/>
        <v>814370</v>
      </c>
      <c r="J704" s="135" t="s">
        <v>3762</v>
      </c>
      <c r="K704" s="135" t="s">
        <v>3296</v>
      </c>
      <c r="L704" s="134" t="s">
        <v>3335</v>
      </c>
    </row>
    <row r="705" spans="1:12" x14ac:dyDescent="0.2">
      <c r="A705" s="158" t="s">
        <v>3820</v>
      </c>
      <c r="B705" s="242"/>
      <c r="C705" s="135" t="s">
        <v>3340</v>
      </c>
      <c r="D705" s="139" t="s">
        <v>1361</v>
      </c>
      <c r="E705" s="159">
        <v>1600</v>
      </c>
      <c r="F705" s="159"/>
      <c r="G705" s="159"/>
      <c r="H705" s="160">
        <v>10.69</v>
      </c>
      <c r="I705" s="161">
        <f t="shared" si="17"/>
        <v>17104</v>
      </c>
      <c r="J705" s="135" t="s">
        <v>3762</v>
      </c>
      <c r="K705" s="135" t="s">
        <v>3296</v>
      </c>
      <c r="L705" s="134" t="s">
        <v>3339</v>
      </c>
    </row>
    <row r="706" spans="1:12" x14ac:dyDescent="0.2">
      <c r="A706" s="158" t="s">
        <v>3822</v>
      </c>
      <c r="B706" s="242"/>
      <c r="C706" s="135" t="s">
        <v>3344</v>
      </c>
      <c r="D706" s="139" t="s">
        <v>1361</v>
      </c>
      <c r="E706" s="159">
        <v>13600</v>
      </c>
      <c r="F706" s="159"/>
      <c r="G706" s="159"/>
      <c r="H706" s="160">
        <v>18.100000000000001</v>
      </c>
      <c r="I706" s="161">
        <f t="shared" si="17"/>
        <v>246160.00000000003</v>
      </c>
      <c r="J706" s="135" t="s">
        <v>3762</v>
      </c>
      <c r="K706" s="135" t="s">
        <v>3296</v>
      </c>
      <c r="L706" s="134" t="s">
        <v>3343</v>
      </c>
    </row>
    <row r="707" spans="1:12" x14ac:dyDescent="0.2">
      <c r="A707" s="158" t="s">
        <v>3824</v>
      </c>
      <c r="B707" s="242"/>
      <c r="C707" s="135" t="s">
        <v>3347</v>
      </c>
      <c r="D707" s="139" t="s">
        <v>1361</v>
      </c>
      <c r="E707" s="159">
        <v>19000</v>
      </c>
      <c r="F707" s="159"/>
      <c r="G707" s="159"/>
      <c r="H707" s="160">
        <v>9.77</v>
      </c>
      <c r="I707" s="161">
        <f t="shared" si="17"/>
        <v>185630</v>
      </c>
      <c r="J707" s="135" t="s">
        <v>3762</v>
      </c>
      <c r="K707" s="135" t="s">
        <v>3296</v>
      </c>
      <c r="L707" s="134" t="s">
        <v>3613</v>
      </c>
    </row>
    <row r="708" spans="1:12" x14ac:dyDescent="0.2">
      <c r="A708" s="158" t="s">
        <v>3826</v>
      </c>
      <c r="B708" s="242"/>
      <c r="C708" s="135" t="s">
        <v>3350</v>
      </c>
      <c r="D708" s="139" t="s">
        <v>1361</v>
      </c>
      <c r="E708" s="159">
        <v>63100</v>
      </c>
      <c r="F708" s="159"/>
      <c r="G708" s="159"/>
      <c r="H708" s="160">
        <v>11</v>
      </c>
      <c r="I708" s="161">
        <f t="shared" si="17"/>
        <v>694100</v>
      </c>
      <c r="J708" s="135" t="s">
        <v>3762</v>
      </c>
      <c r="K708" s="135" t="s">
        <v>3296</v>
      </c>
      <c r="L708" s="134" t="s">
        <v>3613</v>
      </c>
    </row>
    <row r="709" spans="1:12" x14ac:dyDescent="0.2">
      <c r="A709" s="158" t="s">
        <v>3828</v>
      </c>
      <c r="B709" s="242"/>
      <c r="C709" s="135" t="s">
        <v>3356</v>
      </c>
      <c r="D709" s="139" t="s">
        <v>1361</v>
      </c>
      <c r="E709" s="159">
        <v>700</v>
      </c>
      <c r="F709" s="159"/>
      <c r="G709" s="159"/>
      <c r="H709" s="160">
        <v>14.67</v>
      </c>
      <c r="I709" s="161">
        <f t="shared" si="17"/>
        <v>10269</v>
      </c>
      <c r="J709" s="135" t="s">
        <v>3762</v>
      </c>
      <c r="K709" s="135" t="s">
        <v>3296</v>
      </c>
      <c r="L709" s="134" t="s">
        <v>3613</v>
      </c>
    </row>
    <row r="710" spans="1:12" x14ac:dyDescent="0.2">
      <c r="A710" s="158" t="s">
        <v>3830</v>
      </c>
      <c r="B710" s="242"/>
      <c r="C710" s="135" t="s">
        <v>3375</v>
      </c>
      <c r="D710" s="139" t="s">
        <v>2983</v>
      </c>
      <c r="E710" s="159">
        <v>10</v>
      </c>
      <c r="F710" s="159"/>
      <c r="G710" s="159"/>
      <c r="H710" s="160">
        <v>48903.48</v>
      </c>
      <c r="I710" s="161">
        <f t="shared" si="17"/>
        <v>489034.80000000005</v>
      </c>
      <c r="J710" s="135" t="s">
        <v>3762</v>
      </c>
      <c r="K710" s="135" t="s">
        <v>3296</v>
      </c>
      <c r="L710" s="134" t="s">
        <v>3613</v>
      </c>
    </row>
    <row r="711" spans="1:12" x14ac:dyDescent="0.2">
      <c r="A711" s="158" t="s">
        <v>3832</v>
      </c>
      <c r="B711" s="242"/>
      <c r="C711" s="135" t="s">
        <v>3378</v>
      </c>
      <c r="D711" s="139" t="s">
        <v>2983</v>
      </c>
      <c r="E711" s="159">
        <v>181</v>
      </c>
      <c r="F711" s="159"/>
      <c r="G711" s="159"/>
      <c r="H711" s="160">
        <v>1711.62</v>
      </c>
      <c r="I711" s="161">
        <f t="shared" si="17"/>
        <v>309803.21999999997</v>
      </c>
      <c r="J711" s="135" t="s">
        <v>3762</v>
      </c>
      <c r="K711" s="135" t="s">
        <v>3296</v>
      </c>
      <c r="L711" s="134" t="s">
        <v>3613</v>
      </c>
    </row>
    <row r="712" spans="1:12" x14ac:dyDescent="0.2">
      <c r="A712" s="158" t="s">
        <v>3834</v>
      </c>
      <c r="B712" s="242"/>
      <c r="C712" s="135" t="s">
        <v>3381</v>
      </c>
      <c r="D712" s="139" t="s">
        <v>2983</v>
      </c>
      <c r="E712" s="159">
        <v>54</v>
      </c>
      <c r="F712" s="159"/>
      <c r="G712" s="159"/>
      <c r="H712" s="160">
        <v>24451.74</v>
      </c>
      <c r="I712" s="161">
        <f t="shared" si="17"/>
        <v>1320393.9600000002</v>
      </c>
      <c r="J712" s="135" t="s">
        <v>3762</v>
      </c>
      <c r="K712" s="135" t="s">
        <v>3296</v>
      </c>
      <c r="L712" s="134" t="s">
        <v>3613</v>
      </c>
    </row>
    <row r="713" spans="1:12" x14ac:dyDescent="0.2">
      <c r="A713" s="158" t="s">
        <v>3836</v>
      </c>
      <c r="B713" s="242"/>
      <c r="C713" s="135" t="s">
        <v>3837</v>
      </c>
      <c r="D713" s="139" t="s">
        <v>2983</v>
      </c>
      <c r="E713" s="159">
        <v>32</v>
      </c>
      <c r="F713" s="159"/>
      <c r="G713" s="159"/>
      <c r="H713" s="160">
        <v>7824.56</v>
      </c>
      <c r="I713" s="161">
        <f t="shared" si="17"/>
        <v>250385.92000000001</v>
      </c>
      <c r="J713" s="135" t="s">
        <v>3762</v>
      </c>
      <c r="K713" s="135" t="s">
        <v>3296</v>
      </c>
      <c r="L713" s="134" t="s">
        <v>3613</v>
      </c>
    </row>
    <row r="714" spans="1:12" x14ac:dyDescent="0.2">
      <c r="A714" s="158" t="s">
        <v>3839</v>
      </c>
      <c r="B714" s="242"/>
      <c r="C714" s="135" t="s">
        <v>3387</v>
      </c>
      <c r="D714" s="139" t="s">
        <v>2983</v>
      </c>
      <c r="E714" s="159">
        <v>10</v>
      </c>
      <c r="F714" s="159"/>
      <c r="G714" s="159"/>
      <c r="H714" s="160">
        <v>7824.56</v>
      </c>
      <c r="I714" s="161">
        <f t="shared" si="17"/>
        <v>78245.600000000006</v>
      </c>
      <c r="J714" s="135" t="s">
        <v>3762</v>
      </c>
      <c r="K714" s="135" t="s">
        <v>3296</v>
      </c>
      <c r="L714" s="134" t="s">
        <v>3613</v>
      </c>
    </row>
    <row r="715" spans="1:12" x14ac:dyDescent="0.2">
      <c r="A715" s="158" t="s">
        <v>3841</v>
      </c>
      <c r="B715" s="242"/>
      <c r="C715" s="135" t="s">
        <v>3393</v>
      </c>
      <c r="D715" s="139" t="s">
        <v>2983</v>
      </c>
      <c r="E715" s="159">
        <v>8</v>
      </c>
      <c r="F715" s="159"/>
      <c r="G715" s="159"/>
      <c r="H715" s="160">
        <v>9780.7000000000007</v>
      </c>
      <c r="I715" s="161">
        <f t="shared" si="17"/>
        <v>78245.600000000006</v>
      </c>
      <c r="J715" s="135" t="s">
        <v>3762</v>
      </c>
      <c r="K715" s="135" t="s">
        <v>3296</v>
      </c>
      <c r="L715" s="134" t="s">
        <v>3613</v>
      </c>
    </row>
    <row r="716" spans="1:12" x14ac:dyDescent="0.2">
      <c r="A716" s="158" t="s">
        <v>3843</v>
      </c>
      <c r="B716" s="242"/>
      <c r="C716" s="135" t="s">
        <v>3396</v>
      </c>
      <c r="D716" s="139" t="s">
        <v>2983</v>
      </c>
      <c r="E716" s="159">
        <v>10</v>
      </c>
      <c r="F716" s="159"/>
      <c r="G716" s="159"/>
      <c r="H716" s="160">
        <v>9780.7000000000007</v>
      </c>
      <c r="I716" s="161">
        <f t="shared" si="17"/>
        <v>97807</v>
      </c>
      <c r="J716" s="135" t="s">
        <v>3762</v>
      </c>
      <c r="K716" s="135" t="s">
        <v>3296</v>
      </c>
      <c r="L716" s="134" t="s">
        <v>3613</v>
      </c>
    </row>
    <row r="717" spans="1:12" x14ac:dyDescent="0.2">
      <c r="A717" s="158" t="s">
        <v>3845</v>
      </c>
      <c r="B717" s="242"/>
      <c r="C717" s="135" t="s">
        <v>3399</v>
      </c>
      <c r="D717" s="139" t="s">
        <v>2983</v>
      </c>
      <c r="E717" s="159">
        <v>4</v>
      </c>
      <c r="F717" s="159"/>
      <c r="G717" s="159"/>
      <c r="H717" s="160">
        <v>9780.7000000000007</v>
      </c>
      <c r="I717" s="161">
        <f t="shared" si="17"/>
        <v>39122.800000000003</v>
      </c>
      <c r="J717" s="135" t="s">
        <v>3762</v>
      </c>
      <c r="K717" s="135" t="s">
        <v>3296</v>
      </c>
      <c r="L717" s="134" t="s">
        <v>3613</v>
      </c>
    </row>
    <row r="718" spans="1:12" x14ac:dyDescent="0.2">
      <c r="A718" s="158" t="s">
        <v>3847</v>
      </c>
      <c r="B718" s="242"/>
      <c r="C718" s="135" t="s">
        <v>3408</v>
      </c>
      <c r="D718" s="139" t="s">
        <v>2983</v>
      </c>
      <c r="E718" s="159">
        <v>20</v>
      </c>
      <c r="F718" s="159"/>
      <c r="G718" s="159"/>
      <c r="H718" s="160">
        <v>9202.7999999999993</v>
      </c>
      <c r="I718" s="161">
        <f t="shared" si="17"/>
        <v>184056</v>
      </c>
      <c r="J718" s="135" t="s">
        <v>3762</v>
      </c>
      <c r="K718" s="135" t="s">
        <v>3296</v>
      </c>
      <c r="L718" s="134" t="s">
        <v>3613</v>
      </c>
    </row>
    <row r="719" spans="1:12" x14ac:dyDescent="0.2">
      <c r="A719" s="158" t="s">
        <v>3849</v>
      </c>
      <c r="B719" s="242"/>
      <c r="C719" s="135" t="s">
        <v>3411</v>
      </c>
      <c r="D719" s="139" t="s">
        <v>2983</v>
      </c>
      <c r="E719" s="159">
        <v>12</v>
      </c>
      <c r="F719" s="159"/>
      <c r="G719" s="159"/>
      <c r="H719" s="160">
        <v>9202.7999999999993</v>
      </c>
      <c r="I719" s="161">
        <f t="shared" si="17"/>
        <v>110433.59999999999</v>
      </c>
      <c r="J719" s="135" t="s">
        <v>3762</v>
      </c>
      <c r="K719" s="135" t="s">
        <v>3296</v>
      </c>
      <c r="L719" s="134" t="s">
        <v>3613</v>
      </c>
    </row>
    <row r="720" spans="1:12" x14ac:dyDescent="0.2">
      <c r="A720" s="158" t="s">
        <v>3851</v>
      </c>
      <c r="B720" s="242"/>
      <c r="C720" s="135" t="s">
        <v>3414</v>
      </c>
      <c r="D720" s="139" t="s">
        <v>2983</v>
      </c>
      <c r="E720" s="159">
        <v>10</v>
      </c>
      <c r="F720" s="159"/>
      <c r="G720" s="159"/>
      <c r="H720" s="160">
        <v>58684.18</v>
      </c>
      <c r="I720" s="161">
        <f t="shared" si="17"/>
        <v>586841.80000000005</v>
      </c>
      <c r="J720" s="135" t="s">
        <v>3762</v>
      </c>
      <c r="K720" s="135" t="s">
        <v>3296</v>
      </c>
      <c r="L720" s="134" t="s">
        <v>3613</v>
      </c>
    </row>
    <row r="721" spans="1:12" x14ac:dyDescent="0.2">
      <c r="A721" s="158" t="s">
        <v>3853</v>
      </c>
      <c r="B721" s="242"/>
      <c r="C721" s="135" t="s">
        <v>3426</v>
      </c>
      <c r="D721" s="139" t="s">
        <v>2983</v>
      </c>
      <c r="E721" s="159">
        <v>4</v>
      </c>
      <c r="F721" s="159"/>
      <c r="G721" s="159"/>
      <c r="H721" s="160">
        <v>366776.14</v>
      </c>
      <c r="I721" s="161">
        <f t="shared" si="17"/>
        <v>1467104.56</v>
      </c>
      <c r="J721" s="135" t="s">
        <v>3762</v>
      </c>
      <c r="K721" s="135" t="s">
        <v>3296</v>
      </c>
      <c r="L721" s="134" t="s">
        <v>3613</v>
      </c>
    </row>
    <row r="722" spans="1:12" x14ac:dyDescent="0.2">
      <c r="A722" s="158" t="s">
        <v>3855</v>
      </c>
      <c r="B722" s="242"/>
      <c r="C722" s="135" t="s">
        <v>3429</v>
      </c>
      <c r="D722" s="139" t="s">
        <v>2983</v>
      </c>
      <c r="E722" s="159">
        <v>180</v>
      </c>
      <c r="F722" s="159"/>
      <c r="G722" s="159"/>
      <c r="H722" s="160">
        <v>2934.21</v>
      </c>
      <c r="I722" s="161">
        <f t="shared" si="17"/>
        <v>528157.80000000005</v>
      </c>
      <c r="J722" s="135" t="s">
        <v>3762</v>
      </c>
      <c r="K722" s="135" t="s">
        <v>3296</v>
      </c>
      <c r="L722" s="134" t="s">
        <v>3613</v>
      </c>
    </row>
    <row r="723" spans="1:12" x14ac:dyDescent="0.2">
      <c r="A723" s="158" t="s">
        <v>3857</v>
      </c>
      <c r="B723" s="242"/>
      <c r="C723" s="135" t="s">
        <v>3442</v>
      </c>
      <c r="D723" s="139" t="s">
        <v>1361</v>
      </c>
      <c r="E723" s="159">
        <v>4500</v>
      </c>
      <c r="F723" s="159"/>
      <c r="G723" s="159"/>
      <c r="H723" s="160">
        <v>237.65</v>
      </c>
      <c r="I723" s="161">
        <f t="shared" si="17"/>
        <v>1069425</v>
      </c>
      <c r="J723" s="135" t="s">
        <v>3762</v>
      </c>
      <c r="K723" s="135" t="s">
        <v>3296</v>
      </c>
      <c r="L723" s="134">
        <v>382137382268</v>
      </c>
    </row>
    <row r="724" spans="1:12" x14ac:dyDescent="0.2">
      <c r="A724" s="158" t="s">
        <v>3859</v>
      </c>
      <c r="B724" s="242"/>
      <c r="C724" s="135" t="s">
        <v>3448</v>
      </c>
      <c r="D724" s="139" t="s">
        <v>1627</v>
      </c>
      <c r="E724" s="159">
        <v>15</v>
      </c>
      <c r="F724" s="159"/>
      <c r="G724" s="159"/>
      <c r="H724" s="160">
        <v>942.44</v>
      </c>
      <c r="I724" s="161">
        <f t="shared" si="17"/>
        <v>14136.6</v>
      </c>
      <c r="J724" s="135" t="s">
        <v>3762</v>
      </c>
      <c r="K724" s="135" t="s">
        <v>3296</v>
      </c>
      <c r="L724" s="134" t="s">
        <v>3613</v>
      </c>
    </row>
    <row r="725" spans="1:12" x14ac:dyDescent="0.2">
      <c r="A725" s="158" t="s">
        <v>3861</v>
      </c>
      <c r="B725" s="242"/>
      <c r="C725" s="135" t="s">
        <v>3451</v>
      </c>
      <c r="D725" s="139" t="s">
        <v>1627</v>
      </c>
      <c r="E725" s="159">
        <v>150</v>
      </c>
      <c r="F725" s="159"/>
      <c r="G725" s="159"/>
      <c r="H725" s="160">
        <v>501.67</v>
      </c>
      <c r="I725" s="161">
        <f t="shared" si="17"/>
        <v>75250.5</v>
      </c>
      <c r="J725" s="135" t="s">
        <v>3762</v>
      </c>
      <c r="K725" s="135" t="s">
        <v>3296</v>
      </c>
      <c r="L725" s="134" t="s">
        <v>3613</v>
      </c>
    </row>
    <row r="726" spans="1:12" x14ac:dyDescent="0.2">
      <c r="A726" s="158" t="s">
        <v>3863</v>
      </c>
      <c r="B726" s="242"/>
      <c r="C726" s="135" t="s">
        <v>3457</v>
      </c>
      <c r="D726" s="139" t="s">
        <v>2983</v>
      </c>
      <c r="E726" s="159">
        <v>30</v>
      </c>
      <c r="F726" s="159"/>
      <c r="G726" s="159"/>
      <c r="H726" s="160">
        <v>4059.72</v>
      </c>
      <c r="I726" s="161">
        <f t="shared" si="17"/>
        <v>121791.59999999999</v>
      </c>
      <c r="J726" s="135" t="s">
        <v>3762</v>
      </c>
      <c r="K726" s="135" t="s">
        <v>3296</v>
      </c>
      <c r="L726" s="134" t="s">
        <v>3613</v>
      </c>
    </row>
    <row r="727" spans="1:12" x14ac:dyDescent="0.2">
      <c r="A727" s="158" t="s">
        <v>3865</v>
      </c>
      <c r="B727" s="242"/>
      <c r="C727" s="135" t="s">
        <v>3866</v>
      </c>
      <c r="D727" s="139" t="s">
        <v>2983</v>
      </c>
      <c r="E727" s="159">
        <v>54</v>
      </c>
      <c r="F727" s="159"/>
      <c r="G727" s="159"/>
      <c r="H727" s="160">
        <v>54337.21</v>
      </c>
      <c r="I727" s="161">
        <f t="shared" si="17"/>
        <v>2934209.34</v>
      </c>
      <c r="J727" s="135" t="s">
        <v>3762</v>
      </c>
      <c r="K727" s="135" t="s">
        <v>3296</v>
      </c>
      <c r="L727" s="134" t="s">
        <v>3613</v>
      </c>
    </row>
    <row r="728" spans="1:12" x14ac:dyDescent="0.2">
      <c r="A728" s="158" t="s">
        <v>3868</v>
      </c>
      <c r="B728" s="242"/>
      <c r="C728" s="135" t="s">
        <v>3463</v>
      </c>
      <c r="D728" s="139" t="s">
        <v>1361</v>
      </c>
      <c r="E728" s="159">
        <v>4100</v>
      </c>
      <c r="F728" s="159"/>
      <c r="G728" s="159"/>
      <c r="H728" s="160">
        <v>205.89</v>
      </c>
      <c r="I728" s="161">
        <f t="shared" si="17"/>
        <v>844149</v>
      </c>
      <c r="J728" s="135" t="s">
        <v>3762</v>
      </c>
      <c r="K728" s="135" t="s">
        <v>3296</v>
      </c>
      <c r="L728" s="134" t="s">
        <v>3613</v>
      </c>
    </row>
    <row r="729" spans="1:12" x14ac:dyDescent="0.2">
      <c r="A729" s="158" t="s">
        <v>3870</v>
      </c>
      <c r="B729" s="242"/>
      <c r="C729" s="135" t="s">
        <v>3871</v>
      </c>
      <c r="D729" s="139" t="s">
        <v>1627</v>
      </c>
      <c r="E729" s="159">
        <v>15</v>
      </c>
      <c r="F729" s="159"/>
      <c r="G729" s="159"/>
      <c r="H729" s="160">
        <v>4596.18</v>
      </c>
      <c r="I729" s="161">
        <f t="shared" si="17"/>
        <v>68942.700000000012</v>
      </c>
      <c r="J729" s="135" t="s">
        <v>3762</v>
      </c>
      <c r="K729" s="135" t="s">
        <v>3296</v>
      </c>
      <c r="L729" s="134" t="s">
        <v>3613</v>
      </c>
    </row>
    <row r="730" spans="1:12" x14ac:dyDescent="0.2">
      <c r="A730" s="158" t="s">
        <v>3873</v>
      </c>
      <c r="B730" s="242"/>
      <c r="C730" s="135" t="s">
        <v>3874</v>
      </c>
      <c r="D730" s="139" t="s">
        <v>1627</v>
      </c>
      <c r="E730" s="159">
        <v>8</v>
      </c>
      <c r="F730" s="159"/>
      <c r="G730" s="159"/>
      <c r="H730" s="160">
        <v>318.98</v>
      </c>
      <c r="I730" s="161">
        <f t="shared" si="17"/>
        <v>2551.84</v>
      </c>
      <c r="J730" s="135" t="s">
        <v>3762</v>
      </c>
      <c r="K730" s="135" t="s">
        <v>3296</v>
      </c>
      <c r="L730" s="134" t="s">
        <v>3613</v>
      </c>
    </row>
    <row r="731" spans="1:12" x14ac:dyDescent="0.2">
      <c r="A731" s="158" t="s">
        <v>3876</v>
      </c>
      <c r="B731" s="242"/>
      <c r="C731" s="135" t="s">
        <v>3877</v>
      </c>
      <c r="D731" s="139" t="s">
        <v>1627</v>
      </c>
      <c r="E731" s="159">
        <v>8</v>
      </c>
      <c r="F731" s="159"/>
      <c r="G731" s="159"/>
      <c r="H731" s="160">
        <v>501.67</v>
      </c>
      <c r="I731" s="161">
        <f t="shared" si="17"/>
        <v>4013.36</v>
      </c>
      <c r="J731" s="135" t="s">
        <v>3762</v>
      </c>
      <c r="K731" s="135" t="s">
        <v>3296</v>
      </c>
      <c r="L731" s="134" t="s">
        <v>3613</v>
      </c>
    </row>
    <row r="732" spans="1:12" x14ac:dyDescent="0.2">
      <c r="A732" s="158" t="s">
        <v>3879</v>
      </c>
      <c r="B732" s="242"/>
      <c r="C732" s="135" t="s">
        <v>3880</v>
      </c>
      <c r="D732" s="139" t="s">
        <v>2983</v>
      </c>
      <c r="E732" s="159">
        <v>4</v>
      </c>
      <c r="F732" s="159"/>
      <c r="G732" s="159"/>
      <c r="H732" s="160">
        <v>9780.7000000000007</v>
      </c>
      <c r="I732" s="161">
        <f t="shared" si="17"/>
        <v>39122.800000000003</v>
      </c>
      <c r="J732" s="135" t="s">
        <v>3762</v>
      </c>
      <c r="K732" s="135" t="s">
        <v>3296</v>
      </c>
      <c r="L732" s="134" t="s">
        <v>3613</v>
      </c>
    </row>
    <row r="733" spans="1:12" x14ac:dyDescent="0.2">
      <c r="A733" s="158" t="s">
        <v>3882</v>
      </c>
      <c r="B733" s="242"/>
      <c r="C733" s="135" t="s">
        <v>3883</v>
      </c>
      <c r="D733" s="139" t="s">
        <v>1627</v>
      </c>
      <c r="E733" s="159">
        <v>6</v>
      </c>
      <c r="F733" s="159"/>
      <c r="G733" s="159"/>
      <c r="H733" s="160">
        <v>244517.43</v>
      </c>
      <c r="I733" s="161">
        <f t="shared" si="17"/>
        <v>1467104.58</v>
      </c>
      <c r="J733" s="135" t="s">
        <v>3762</v>
      </c>
      <c r="K733" s="135" t="s">
        <v>3296</v>
      </c>
      <c r="L733" s="134" t="s">
        <v>3613</v>
      </c>
    </row>
    <row r="734" spans="1:12" x14ac:dyDescent="0.2">
      <c r="A734" s="158" t="s">
        <v>3885</v>
      </c>
      <c r="B734" s="242"/>
      <c r="C734" s="135" t="s">
        <v>3886</v>
      </c>
      <c r="D734" s="139" t="s">
        <v>1627</v>
      </c>
      <c r="E734" s="159">
        <v>2</v>
      </c>
      <c r="F734" s="159"/>
      <c r="G734" s="159"/>
      <c r="H734" s="160">
        <v>244517.43</v>
      </c>
      <c r="I734" s="161">
        <f t="shared" si="17"/>
        <v>489034.86</v>
      </c>
      <c r="J734" s="135" t="s">
        <v>3762</v>
      </c>
      <c r="K734" s="135" t="s">
        <v>3296</v>
      </c>
      <c r="L734" s="134" t="s">
        <v>3613</v>
      </c>
    </row>
    <row r="735" spans="1:12" ht="13.5" thickBot="1" x14ac:dyDescent="0.25">
      <c r="A735" s="162" t="s">
        <v>3888</v>
      </c>
      <c r="B735" s="243"/>
      <c r="C735" s="142" t="s">
        <v>3553</v>
      </c>
      <c r="D735" s="143" t="s">
        <v>2983</v>
      </c>
      <c r="E735" s="163">
        <v>8</v>
      </c>
      <c r="F735" s="163"/>
      <c r="G735" s="163"/>
      <c r="H735" s="164">
        <v>48903.48</v>
      </c>
      <c r="I735" s="165">
        <f t="shared" si="17"/>
        <v>391227.84</v>
      </c>
      <c r="J735" s="142" t="s">
        <v>3762</v>
      </c>
      <c r="K735" s="142" t="s">
        <v>3296</v>
      </c>
      <c r="L735" s="141" t="s">
        <v>3613</v>
      </c>
    </row>
    <row r="736" spans="1:12" ht="13.5" thickBot="1" x14ac:dyDescent="0.25">
      <c r="A736" s="200">
        <v>19</v>
      </c>
      <c r="B736" s="247"/>
      <c r="C736" s="201" t="str">
        <f>K736</f>
        <v xml:space="preserve"> PRODUÇÃO DAS ESTRUTURAS PRÉ FABRICADAS  </v>
      </c>
      <c r="D736" s="202" t="s">
        <v>1528</v>
      </c>
      <c r="E736" s="203"/>
      <c r="F736" s="203"/>
      <c r="G736" s="203"/>
      <c r="H736" s="204"/>
      <c r="I736" s="205"/>
      <c r="J736" s="201" t="s">
        <v>3762</v>
      </c>
      <c r="K736" s="201" t="s">
        <v>3890</v>
      </c>
      <c r="L736" s="166" t="s">
        <v>3613</v>
      </c>
    </row>
    <row r="737" spans="1:12" x14ac:dyDescent="0.2">
      <c r="A737" s="154" t="s">
        <v>3892</v>
      </c>
      <c r="B737" s="241"/>
      <c r="C737" s="128" t="s">
        <v>3894</v>
      </c>
      <c r="D737" s="129" t="s">
        <v>2077</v>
      </c>
      <c r="E737" s="155">
        <v>6</v>
      </c>
      <c r="F737" s="155"/>
      <c r="G737" s="155"/>
      <c r="H737" s="156">
        <v>1888.92</v>
      </c>
      <c r="I737" s="157">
        <f t="shared" si="17"/>
        <v>11333.52</v>
      </c>
      <c r="J737" s="128" t="s">
        <v>3762</v>
      </c>
      <c r="K737" s="128" t="s">
        <v>3890</v>
      </c>
      <c r="L737" s="127" t="s">
        <v>3893</v>
      </c>
    </row>
    <row r="738" spans="1:12" x14ac:dyDescent="0.2">
      <c r="A738" s="158" t="s">
        <v>3896</v>
      </c>
      <c r="B738" s="242"/>
      <c r="C738" s="135" t="s">
        <v>3898</v>
      </c>
      <c r="D738" s="139" t="s">
        <v>1627</v>
      </c>
      <c r="E738" s="159">
        <v>14</v>
      </c>
      <c r="F738" s="159"/>
      <c r="G738" s="159"/>
      <c r="H738" s="160">
        <v>14495.15</v>
      </c>
      <c r="I738" s="161">
        <f t="shared" si="17"/>
        <v>202932.1</v>
      </c>
      <c r="J738" s="135" t="s">
        <v>3762</v>
      </c>
      <c r="K738" s="135" t="s">
        <v>3890</v>
      </c>
      <c r="L738" s="134" t="s">
        <v>3897</v>
      </c>
    </row>
    <row r="739" spans="1:12" x14ac:dyDescent="0.2">
      <c r="A739" s="158" t="s">
        <v>3900</v>
      </c>
      <c r="B739" s="242"/>
      <c r="C739" s="135" t="s">
        <v>3902</v>
      </c>
      <c r="D739" s="139" t="s">
        <v>1627</v>
      </c>
      <c r="E739" s="159">
        <v>48</v>
      </c>
      <c r="F739" s="159"/>
      <c r="G739" s="159"/>
      <c r="H739" s="160">
        <v>73.540000000000006</v>
      </c>
      <c r="I739" s="161">
        <f t="shared" si="17"/>
        <v>3529.92</v>
      </c>
      <c r="J739" s="135" t="s">
        <v>3762</v>
      </c>
      <c r="K739" s="135" t="s">
        <v>3890</v>
      </c>
      <c r="L739" s="134" t="s">
        <v>3901</v>
      </c>
    </row>
    <row r="740" spans="1:12" x14ac:dyDescent="0.2">
      <c r="A740" s="158" t="s">
        <v>3904</v>
      </c>
      <c r="B740" s="242"/>
      <c r="C740" s="135" t="s">
        <v>3906</v>
      </c>
      <c r="D740" s="139" t="s">
        <v>1942</v>
      </c>
      <c r="E740" s="159">
        <v>57.6</v>
      </c>
      <c r="F740" s="159"/>
      <c r="G740" s="159"/>
      <c r="H740" s="160">
        <v>675</v>
      </c>
      <c r="I740" s="161">
        <f t="shared" si="17"/>
        <v>38880</v>
      </c>
      <c r="J740" s="135" t="s">
        <v>3762</v>
      </c>
      <c r="K740" s="135" t="s">
        <v>3890</v>
      </c>
      <c r="L740" s="134" t="s">
        <v>3905</v>
      </c>
    </row>
    <row r="741" spans="1:12" x14ac:dyDescent="0.2">
      <c r="A741" s="158" t="s">
        <v>3908</v>
      </c>
      <c r="B741" s="242"/>
      <c r="C741" s="135" t="s">
        <v>3910</v>
      </c>
      <c r="D741" s="139" t="s">
        <v>1627</v>
      </c>
      <c r="E741" s="159">
        <v>108</v>
      </c>
      <c r="F741" s="159"/>
      <c r="G741" s="159"/>
      <c r="H741" s="160">
        <v>368.85</v>
      </c>
      <c r="I741" s="161">
        <f t="shared" si="17"/>
        <v>39835.800000000003</v>
      </c>
      <c r="J741" s="135" t="s">
        <v>3762</v>
      </c>
      <c r="K741" s="135" t="s">
        <v>3890</v>
      </c>
      <c r="L741" s="134" t="s">
        <v>3909</v>
      </c>
    </row>
    <row r="742" spans="1:12" x14ac:dyDescent="0.2">
      <c r="A742" s="158" t="s">
        <v>3912</v>
      </c>
      <c r="B742" s="242"/>
      <c r="C742" s="135" t="s">
        <v>3914</v>
      </c>
      <c r="D742" s="139" t="s">
        <v>1627</v>
      </c>
      <c r="E742" s="159">
        <v>144</v>
      </c>
      <c r="F742" s="159"/>
      <c r="G742" s="159"/>
      <c r="H742" s="160">
        <v>12.16</v>
      </c>
      <c r="I742" s="161">
        <f t="shared" si="17"/>
        <v>1751.04</v>
      </c>
      <c r="J742" s="135" t="s">
        <v>3762</v>
      </c>
      <c r="K742" s="135" t="s">
        <v>3890</v>
      </c>
      <c r="L742" s="134" t="s">
        <v>3913</v>
      </c>
    </row>
    <row r="743" spans="1:12" x14ac:dyDescent="0.2">
      <c r="A743" s="158" t="s">
        <v>3916</v>
      </c>
      <c r="B743" s="242"/>
      <c r="C743" s="135" t="s">
        <v>3918</v>
      </c>
      <c r="D743" s="139" t="s">
        <v>1383</v>
      </c>
      <c r="E743" s="159">
        <v>156</v>
      </c>
      <c r="F743" s="159"/>
      <c r="G743" s="159"/>
      <c r="H743" s="160">
        <v>60.61</v>
      </c>
      <c r="I743" s="161">
        <f t="shared" si="17"/>
        <v>9455.16</v>
      </c>
      <c r="J743" s="135" t="s">
        <v>3762</v>
      </c>
      <c r="K743" s="135" t="s">
        <v>3890</v>
      </c>
      <c r="L743" s="134" t="s">
        <v>3917</v>
      </c>
    </row>
    <row r="744" spans="1:12" x14ac:dyDescent="0.2">
      <c r="A744" s="158" t="s">
        <v>3920</v>
      </c>
      <c r="B744" s="242"/>
      <c r="C744" s="135" t="s">
        <v>3922</v>
      </c>
      <c r="D744" s="139" t="s">
        <v>1557</v>
      </c>
      <c r="E744" s="159">
        <v>646.79999999999995</v>
      </c>
      <c r="F744" s="159"/>
      <c r="G744" s="159"/>
      <c r="H744" s="160">
        <v>17.13</v>
      </c>
      <c r="I744" s="161">
        <f t="shared" si="17"/>
        <v>11079.683999999999</v>
      </c>
      <c r="J744" s="135" t="s">
        <v>3762</v>
      </c>
      <c r="K744" s="135" t="s">
        <v>3890</v>
      </c>
      <c r="L744" s="134" t="s">
        <v>3921</v>
      </c>
    </row>
    <row r="745" spans="1:12" x14ac:dyDescent="0.2">
      <c r="A745" s="158" t="s">
        <v>3924</v>
      </c>
      <c r="B745" s="242"/>
      <c r="C745" s="135" t="s">
        <v>3926</v>
      </c>
      <c r="D745" s="139" t="s">
        <v>1361</v>
      </c>
      <c r="E745" s="159">
        <v>900</v>
      </c>
      <c r="F745" s="159"/>
      <c r="G745" s="159"/>
      <c r="H745" s="160">
        <v>4.16</v>
      </c>
      <c r="I745" s="161">
        <f t="shared" si="17"/>
        <v>3744</v>
      </c>
      <c r="J745" s="135" t="s">
        <v>3762</v>
      </c>
      <c r="K745" s="135" t="s">
        <v>3890</v>
      </c>
      <c r="L745" s="134" t="s">
        <v>3925</v>
      </c>
    </row>
    <row r="746" spans="1:12" x14ac:dyDescent="0.2">
      <c r="A746" s="158" t="s">
        <v>3928</v>
      </c>
      <c r="B746" s="242"/>
      <c r="C746" s="135" t="s">
        <v>3930</v>
      </c>
      <c r="D746" s="139" t="s">
        <v>1627</v>
      </c>
      <c r="E746" s="159">
        <v>900</v>
      </c>
      <c r="F746" s="159"/>
      <c r="G746" s="159"/>
      <c r="H746" s="160">
        <v>1045.1199999999999</v>
      </c>
      <c r="I746" s="161">
        <f t="shared" si="17"/>
        <v>940607.99999999988</v>
      </c>
      <c r="J746" s="135" t="s">
        <v>3762</v>
      </c>
      <c r="K746" s="135" t="s">
        <v>3890</v>
      </c>
      <c r="L746" s="134" t="s">
        <v>3929</v>
      </c>
    </row>
    <row r="747" spans="1:12" x14ac:dyDescent="0.2">
      <c r="A747" s="158" t="s">
        <v>3932</v>
      </c>
      <c r="B747" s="242"/>
      <c r="C747" s="135" t="s">
        <v>3934</v>
      </c>
      <c r="D747" s="139" t="s">
        <v>1557</v>
      </c>
      <c r="E747" s="159">
        <v>945</v>
      </c>
      <c r="F747" s="159"/>
      <c r="G747" s="159"/>
      <c r="H747" s="160">
        <v>109.04</v>
      </c>
      <c r="I747" s="161">
        <f t="shared" si="17"/>
        <v>103042.8</v>
      </c>
      <c r="J747" s="135" t="s">
        <v>3762</v>
      </c>
      <c r="K747" s="135" t="s">
        <v>3890</v>
      </c>
      <c r="L747" s="134" t="s">
        <v>3933</v>
      </c>
    </row>
    <row r="748" spans="1:12" x14ac:dyDescent="0.2">
      <c r="A748" s="158" t="s">
        <v>3936</v>
      </c>
      <c r="B748" s="242"/>
      <c r="C748" s="135" t="s">
        <v>3938</v>
      </c>
      <c r="D748" s="139" t="s">
        <v>1361</v>
      </c>
      <c r="E748" s="159">
        <v>1479</v>
      </c>
      <c r="F748" s="159"/>
      <c r="G748" s="159"/>
      <c r="H748" s="160">
        <v>709.74</v>
      </c>
      <c r="I748" s="161">
        <f t="shared" si="17"/>
        <v>1049705.46</v>
      </c>
      <c r="J748" s="135" t="s">
        <v>3762</v>
      </c>
      <c r="K748" s="135" t="s">
        <v>3890</v>
      </c>
      <c r="L748" s="134" t="s">
        <v>3937</v>
      </c>
    </row>
    <row r="749" spans="1:12" x14ac:dyDescent="0.2">
      <c r="A749" s="158" t="s">
        <v>3940</v>
      </c>
      <c r="B749" s="242"/>
      <c r="C749" s="135" t="s">
        <v>3942</v>
      </c>
      <c r="D749" s="139" t="s">
        <v>1627</v>
      </c>
      <c r="E749" s="159">
        <v>1584</v>
      </c>
      <c r="F749" s="159"/>
      <c r="G749" s="159"/>
      <c r="H749" s="160">
        <v>12.19</v>
      </c>
      <c r="I749" s="161">
        <f t="shared" si="17"/>
        <v>19308.96</v>
      </c>
      <c r="J749" s="135" t="s">
        <v>3762</v>
      </c>
      <c r="K749" s="135" t="s">
        <v>3890</v>
      </c>
      <c r="L749" s="134" t="s">
        <v>3941</v>
      </c>
    </row>
    <row r="750" spans="1:12" x14ac:dyDescent="0.2">
      <c r="A750" s="158" t="s">
        <v>3944</v>
      </c>
      <c r="B750" s="242"/>
      <c r="C750" s="135" t="s">
        <v>3946</v>
      </c>
      <c r="D750" s="139" t="s">
        <v>1361</v>
      </c>
      <c r="E750" s="159">
        <v>2890</v>
      </c>
      <c r="F750" s="159"/>
      <c r="G750" s="159"/>
      <c r="H750" s="160">
        <v>940.69</v>
      </c>
      <c r="I750" s="161">
        <f t="shared" si="17"/>
        <v>2718594.1</v>
      </c>
      <c r="J750" s="135" t="s">
        <v>3762</v>
      </c>
      <c r="K750" s="135" t="s">
        <v>3890</v>
      </c>
      <c r="L750" s="134" t="s">
        <v>3945</v>
      </c>
    </row>
    <row r="751" spans="1:12" x14ac:dyDescent="0.2">
      <c r="A751" s="158" t="s">
        <v>3948</v>
      </c>
      <c r="B751" s="242"/>
      <c r="C751" s="135" t="s">
        <v>3950</v>
      </c>
      <c r="D751" s="139" t="s">
        <v>1942</v>
      </c>
      <c r="E751" s="159">
        <v>3024</v>
      </c>
      <c r="F751" s="159"/>
      <c r="G751" s="159"/>
      <c r="H751" s="160">
        <v>38.68</v>
      </c>
      <c r="I751" s="161">
        <f t="shared" si="17"/>
        <v>116968.31999999999</v>
      </c>
      <c r="J751" s="135" t="s">
        <v>3762</v>
      </c>
      <c r="K751" s="135" t="s">
        <v>3890</v>
      </c>
      <c r="L751" s="134" t="s">
        <v>3949</v>
      </c>
    </row>
    <row r="752" spans="1:12" x14ac:dyDescent="0.2">
      <c r="A752" s="158" t="s">
        <v>3952</v>
      </c>
      <c r="B752" s="242"/>
      <c r="C752" s="135" t="s">
        <v>3954</v>
      </c>
      <c r="D752" s="139" t="s">
        <v>1361</v>
      </c>
      <c r="E752" s="159">
        <v>3032.8</v>
      </c>
      <c r="F752" s="159"/>
      <c r="G752" s="159"/>
      <c r="H752" s="160">
        <v>515.77</v>
      </c>
      <c r="I752" s="161">
        <f t="shared" ref="I752:I815" si="18">E752*H752</f>
        <v>1564227.2560000001</v>
      </c>
      <c r="J752" s="135" t="s">
        <v>3762</v>
      </c>
      <c r="K752" s="135" t="s">
        <v>3890</v>
      </c>
      <c r="L752" s="134" t="s">
        <v>3953</v>
      </c>
    </row>
    <row r="753" spans="1:12" x14ac:dyDescent="0.2">
      <c r="A753" s="158" t="s">
        <v>3956</v>
      </c>
      <c r="B753" s="242"/>
      <c r="C753" s="135" t="s">
        <v>3958</v>
      </c>
      <c r="D753" s="139" t="s">
        <v>1361</v>
      </c>
      <c r="E753" s="159">
        <v>3048</v>
      </c>
      <c r="F753" s="159"/>
      <c r="G753" s="159"/>
      <c r="H753" s="160">
        <v>432</v>
      </c>
      <c r="I753" s="161">
        <f t="shared" si="18"/>
        <v>1316736</v>
      </c>
      <c r="J753" s="135" t="s">
        <v>3762</v>
      </c>
      <c r="K753" s="135" t="s">
        <v>3890</v>
      </c>
      <c r="L753" s="134" t="s">
        <v>3957</v>
      </c>
    </row>
    <row r="754" spans="1:12" x14ac:dyDescent="0.2">
      <c r="A754" s="158" t="s">
        <v>3960</v>
      </c>
      <c r="B754" s="242"/>
      <c r="C754" s="135" t="s">
        <v>3962</v>
      </c>
      <c r="D754" s="139" t="s">
        <v>1557</v>
      </c>
      <c r="E754" s="159">
        <v>4705.4399999999996</v>
      </c>
      <c r="F754" s="159"/>
      <c r="G754" s="159"/>
      <c r="H754" s="160">
        <v>10.94</v>
      </c>
      <c r="I754" s="161">
        <f t="shared" si="18"/>
        <v>51477.513599999991</v>
      </c>
      <c r="J754" s="135" t="s">
        <v>3762</v>
      </c>
      <c r="K754" s="135" t="s">
        <v>3890</v>
      </c>
      <c r="L754" s="134" t="s">
        <v>3961</v>
      </c>
    </row>
    <row r="755" spans="1:12" x14ac:dyDescent="0.2">
      <c r="A755" s="158" t="s">
        <v>3964</v>
      </c>
      <c r="B755" s="242"/>
      <c r="C755" s="135" t="s">
        <v>3966</v>
      </c>
      <c r="D755" s="139" t="s">
        <v>1557</v>
      </c>
      <c r="E755" s="159">
        <v>5280.6</v>
      </c>
      <c r="F755" s="159"/>
      <c r="G755" s="159"/>
      <c r="H755" s="160">
        <v>8.6300000000000008</v>
      </c>
      <c r="I755" s="161">
        <f t="shared" si="18"/>
        <v>45571.578000000009</v>
      </c>
      <c r="J755" s="135" t="s">
        <v>3762</v>
      </c>
      <c r="K755" s="135" t="s">
        <v>3890</v>
      </c>
      <c r="L755" s="134" t="s">
        <v>3965</v>
      </c>
    </row>
    <row r="756" spans="1:12" x14ac:dyDescent="0.2">
      <c r="A756" s="158" t="s">
        <v>3968</v>
      </c>
      <c r="B756" s="242"/>
      <c r="C756" s="135" t="s">
        <v>3970</v>
      </c>
      <c r="D756" s="139" t="s">
        <v>1627</v>
      </c>
      <c r="E756" s="159">
        <v>6120</v>
      </c>
      <c r="F756" s="159"/>
      <c r="G756" s="159"/>
      <c r="H756" s="160">
        <v>23.4</v>
      </c>
      <c r="I756" s="161">
        <f t="shared" si="18"/>
        <v>143208</v>
      </c>
      <c r="J756" s="135" t="s">
        <v>3762</v>
      </c>
      <c r="K756" s="135" t="s">
        <v>3890</v>
      </c>
      <c r="L756" s="134" t="s">
        <v>3969</v>
      </c>
    </row>
    <row r="757" spans="1:12" x14ac:dyDescent="0.2">
      <c r="A757" s="158" t="s">
        <v>3972</v>
      </c>
      <c r="B757" s="242"/>
      <c r="C757" s="135" t="s">
        <v>3974</v>
      </c>
      <c r="D757" s="139" t="s">
        <v>1383</v>
      </c>
      <c r="E757" s="159">
        <v>6306.3</v>
      </c>
      <c r="F757" s="159"/>
      <c r="G757" s="159"/>
      <c r="H757" s="160">
        <v>60.61</v>
      </c>
      <c r="I757" s="161">
        <f t="shared" si="18"/>
        <v>382224.84299999999</v>
      </c>
      <c r="J757" s="135" t="s">
        <v>3762</v>
      </c>
      <c r="K757" s="135" t="s">
        <v>3890</v>
      </c>
      <c r="L757" s="134" t="s">
        <v>3973</v>
      </c>
    </row>
    <row r="758" spans="1:12" x14ac:dyDescent="0.2">
      <c r="A758" s="158" t="s">
        <v>3976</v>
      </c>
      <c r="B758" s="242"/>
      <c r="C758" s="135" t="s">
        <v>3978</v>
      </c>
      <c r="D758" s="139" t="s">
        <v>1383</v>
      </c>
      <c r="E758" s="159">
        <v>6549</v>
      </c>
      <c r="F758" s="159"/>
      <c r="G758" s="159"/>
      <c r="H758" s="160">
        <v>8.61</v>
      </c>
      <c r="I758" s="161">
        <f t="shared" si="18"/>
        <v>56386.89</v>
      </c>
      <c r="J758" s="135" t="s">
        <v>3762</v>
      </c>
      <c r="K758" s="135" t="s">
        <v>3890</v>
      </c>
      <c r="L758" s="134" t="s">
        <v>3977</v>
      </c>
    </row>
    <row r="759" spans="1:12" x14ac:dyDescent="0.2">
      <c r="A759" s="158" t="s">
        <v>3980</v>
      </c>
      <c r="B759" s="242"/>
      <c r="C759" s="135" t="s">
        <v>3982</v>
      </c>
      <c r="D759" s="139" t="s">
        <v>1557</v>
      </c>
      <c r="E759" s="159">
        <v>10401.299999999999</v>
      </c>
      <c r="F759" s="159"/>
      <c r="G759" s="159"/>
      <c r="H759" s="160">
        <v>11.68</v>
      </c>
      <c r="I759" s="161">
        <f t="shared" si="18"/>
        <v>121487.18399999999</v>
      </c>
      <c r="J759" s="135" t="s">
        <v>3762</v>
      </c>
      <c r="K759" s="135" t="s">
        <v>3890</v>
      </c>
      <c r="L759" s="134" t="s">
        <v>3981</v>
      </c>
    </row>
    <row r="760" spans="1:12" x14ac:dyDescent="0.2">
      <c r="A760" s="158" t="s">
        <v>3984</v>
      </c>
      <c r="B760" s="242"/>
      <c r="C760" s="135" t="s">
        <v>3986</v>
      </c>
      <c r="D760" s="139" t="s">
        <v>1361</v>
      </c>
      <c r="E760" s="159">
        <v>18230.400000000001</v>
      </c>
      <c r="F760" s="159"/>
      <c r="G760" s="159"/>
      <c r="H760" s="160">
        <v>17.25</v>
      </c>
      <c r="I760" s="161">
        <f t="shared" si="18"/>
        <v>314474.40000000002</v>
      </c>
      <c r="J760" s="135" t="s">
        <v>3762</v>
      </c>
      <c r="K760" s="135" t="s">
        <v>3890</v>
      </c>
      <c r="L760" s="134" t="s">
        <v>3985</v>
      </c>
    </row>
    <row r="761" spans="1:12" x14ac:dyDescent="0.2">
      <c r="A761" s="158" t="s">
        <v>3988</v>
      </c>
      <c r="B761" s="242"/>
      <c r="C761" s="135" t="s">
        <v>3990</v>
      </c>
      <c r="D761" s="139" t="s">
        <v>1383</v>
      </c>
      <c r="E761" s="159">
        <v>19227</v>
      </c>
      <c r="F761" s="159"/>
      <c r="G761" s="159"/>
      <c r="H761" s="160">
        <v>92.18</v>
      </c>
      <c r="I761" s="161">
        <f t="shared" si="18"/>
        <v>1772344.86</v>
      </c>
      <c r="J761" s="135" t="s">
        <v>3762</v>
      </c>
      <c r="K761" s="135" t="s">
        <v>3890</v>
      </c>
      <c r="L761" s="134" t="s">
        <v>3989</v>
      </c>
    </row>
    <row r="762" spans="1:12" x14ac:dyDescent="0.2">
      <c r="A762" s="158" t="s">
        <v>3992</v>
      </c>
      <c r="B762" s="242"/>
      <c r="C762" s="135" t="s">
        <v>1832</v>
      </c>
      <c r="D762" s="139" t="s">
        <v>1374</v>
      </c>
      <c r="E762" s="159">
        <v>24229.62</v>
      </c>
      <c r="F762" s="159"/>
      <c r="G762" s="159"/>
      <c r="H762" s="160">
        <v>18.12</v>
      </c>
      <c r="I762" s="161">
        <f t="shared" si="18"/>
        <v>439040.7144</v>
      </c>
      <c r="J762" s="135" t="s">
        <v>3762</v>
      </c>
      <c r="K762" s="135" t="s">
        <v>3890</v>
      </c>
      <c r="L762" s="134" t="s">
        <v>3993</v>
      </c>
    </row>
    <row r="763" spans="1:12" x14ac:dyDescent="0.2">
      <c r="A763" s="158" t="s">
        <v>3995</v>
      </c>
      <c r="B763" s="242"/>
      <c r="C763" s="135" t="s">
        <v>3997</v>
      </c>
      <c r="D763" s="139" t="s">
        <v>1557</v>
      </c>
      <c r="E763" s="159">
        <v>70501.2</v>
      </c>
      <c r="F763" s="159"/>
      <c r="G763" s="159"/>
      <c r="H763" s="160">
        <v>17.59</v>
      </c>
      <c r="I763" s="161">
        <f t="shared" si="18"/>
        <v>1240116.108</v>
      </c>
      <c r="J763" s="135" t="s">
        <v>3762</v>
      </c>
      <c r="K763" s="135" t="s">
        <v>3890</v>
      </c>
      <c r="L763" s="134" t="s">
        <v>3996</v>
      </c>
    </row>
    <row r="764" spans="1:12" x14ac:dyDescent="0.2">
      <c r="A764" s="158" t="s">
        <v>3999</v>
      </c>
      <c r="B764" s="242"/>
      <c r="C764" s="135" t="s">
        <v>4001</v>
      </c>
      <c r="D764" s="139" t="s">
        <v>1383</v>
      </c>
      <c r="E764" s="159">
        <v>70661.399999999994</v>
      </c>
      <c r="F764" s="159"/>
      <c r="G764" s="159"/>
      <c r="H764" s="160">
        <v>92.18</v>
      </c>
      <c r="I764" s="161">
        <f t="shared" si="18"/>
        <v>6513567.852</v>
      </c>
      <c r="J764" s="135" t="s">
        <v>3762</v>
      </c>
      <c r="K764" s="135" t="s">
        <v>3890</v>
      </c>
      <c r="L764" s="134" t="s">
        <v>4000</v>
      </c>
    </row>
    <row r="765" spans="1:12" x14ac:dyDescent="0.2">
      <c r="A765" s="158" t="s">
        <v>4003</v>
      </c>
      <c r="B765" s="242"/>
      <c r="C765" s="135" t="s">
        <v>1885</v>
      </c>
      <c r="D765" s="139" t="s">
        <v>1374</v>
      </c>
      <c r="E765" s="159">
        <v>123665.03</v>
      </c>
      <c r="F765" s="159"/>
      <c r="G765" s="159"/>
      <c r="H765" s="160">
        <v>42.12</v>
      </c>
      <c r="I765" s="161">
        <f t="shared" si="18"/>
        <v>5208771.0636</v>
      </c>
      <c r="J765" s="135" t="s">
        <v>3762</v>
      </c>
      <c r="K765" s="135" t="s">
        <v>3890</v>
      </c>
      <c r="L765" s="134" t="s">
        <v>4004</v>
      </c>
    </row>
    <row r="766" spans="1:12" x14ac:dyDescent="0.2">
      <c r="A766" s="158" t="s">
        <v>4006</v>
      </c>
      <c r="B766" s="242"/>
      <c r="C766" s="135" t="s">
        <v>4008</v>
      </c>
      <c r="D766" s="139" t="s">
        <v>1374</v>
      </c>
      <c r="E766" s="159">
        <v>114080.99</v>
      </c>
      <c r="F766" s="159"/>
      <c r="G766" s="159"/>
      <c r="H766" s="160">
        <v>695.59</v>
      </c>
      <c r="I766" s="161">
        <f t="shared" si="18"/>
        <v>79353595.834100008</v>
      </c>
      <c r="J766" s="135" t="s">
        <v>3762</v>
      </c>
      <c r="K766" s="135" t="s">
        <v>3890</v>
      </c>
      <c r="L766" s="134" t="s">
        <v>4007</v>
      </c>
    </row>
    <row r="767" spans="1:12" x14ac:dyDescent="0.2">
      <c r="A767" s="158" t="s">
        <v>4010</v>
      </c>
      <c r="B767" s="242"/>
      <c r="C767" s="135" t="s">
        <v>4012</v>
      </c>
      <c r="D767" s="139" t="s">
        <v>1557</v>
      </c>
      <c r="E767" s="159">
        <v>118481.94</v>
      </c>
      <c r="F767" s="159"/>
      <c r="G767" s="159"/>
      <c r="H767" s="160">
        <v>2.64</v>
      </c>
      <c r="I767" s="161">
        <f t="shared" si="18"/>
        <v>312792.32160000002</v>
      </c>
      <c r="J767" s="135" t="s">
        <v>3762</v>
      </c>
      <c r="K767" s="135" t="s">
        <v>3890</v>
      </c>
      <c r="L767" s="134" t="s">
        <v>4011</v>
      </c>
    </row>
    <row r="768" spans="1:12" x14ac:dyDescent="0.2">
      <c r="A768" s="158" t="s">
        <v>4014</v>
      </c>
      <c r="B768" s="242"/>
      <c r="C768" s="135" t="s">
        <v>1857</v>
      </c>
      <c r="D768" s="139" t="s">
        <v>1557</v>
      </c>
      <c r="E768" s="159">
        <v>3892746.87</v>
      </c>
      <c r="F768" s="159"/>
      <c r="G768" s="159"/>
      <c r="H768" s="160">
        <v>19.14</v>
      </c>
      <c r="I768" s="161">
        <f t="shared" si="18"/>
        <v>74507175.091800004</v>
      </c>
      <c r="J768" s="135" t="s">
        <v>3762</v>
      </c>
      <c r="K768" s="135" t="s">
        <v>3890</v>
      </c>
      <c r="L768" s="134" t="s">
        <v>4015</v>
      </c>
    </row>
    <row r="769" spans="1:12" x14ac:dyDescent="0.2">
      <c r="A769" s="158" t="s">
        <v>4017</v>
      </c>
      <c r="B769" s="242"/>
      <c r="C769" s="135" t="s">
        <v>1742</v>
      </c>
      <c r="D769" s="139" t="s">
        <v>1557</v>
      </c>
      <c r="E769" s="159">
        <v>3957279.36</v>
      </c>
      <c r="F769" s="159"/>
      <c r="G769" s="159"/>
      <c r="H769" s="160">
        <v>9.1999999999999993</v>
      </c>
      <c r="I769" s="161">
        <f t="shared" si="18"/>
        <v>36406970.111999996</v>
      </c>
      <c r="J769" s="135" t="s">
        <v>3762</v>
      </c>
      <c r="K769" s="135" t="s">
        <v>3890</v>
      </c>
      <c r="L769" s="134" t="s">
        <v>4018</v>
      </c>
    </row>
    <row r="770" spans="1:12" ht="13.5" thickBot="1" x14ac:dyDescent="0.25">
      <c r="A770" s="162" t="s">
        <v>4020</v>
      </c>
      <c r="B770" s="243"/>
      <c r="C770" s="142" t="s">
        <v>1556</v>
      </c>
      <c r="D770" s="143" t="s">
        <v>1557</v>
      </c>
      <c r="E770" s="163">
        <v>12467736.529999999</v>
      </c>
      <c r="F770" s="163"/>
      <c r="G770" s="163"/>
      <c r="H770" s="164">
        <v>8.52</v>
      </c>
      <c r="I770" s="165">
        <f t="shared" si="18"/>
        <v>106225115.23559999</v>
      </c>
      <c r="J770" s="142" t="s">
        <v>3762</v>
      </c>
      <c r="K770" s="142" t="s">
        <v>3890</v>
      </c>
      <c r="L770" s="141" t="s">
        <v>3619</v>
      </c>
    </row>
    <row r="771" spans="1:12" ht="13.5" thickBot="1" x14ac:dyDescent="0.25">
      <c r="A771" s="200">
        <v>20</v>
      </c>
      <c r="B771" s="247"/>
      <c r="C771" s="201" t="str">
        <f>K771</f>
        <v xml:space="preserve"> DRAGAGEM  </v>
      </c>
      <c r="D771" s="202" t="s">
        <v>1528</v>
      </c>
      <c r="E771" s="203"/>
      <c r="F771" s="203"/>
      <c r="G771" s="203"/>
      <c r="H771" s="204"/>
      <c r="I771" s="205"/>
      <c r="J771" s="201" t="s">
        <v>3762</v>
      </c>
      <c r="K771" s="201" t="s">
        <v>4022</v>
      </c>
      <c r="L771" s="166" t="s">
        <v>3613</v>
      </c>
    </row>
    <row r="772" spans="1:12" x14ac:dyDescent="0.2">
      <c r="A772" s="186" t="s">
        <v>4024</v>
      </c>
      <c r="B772" s="244"/>
      <c r="C772" s="188" t="str">
        <f>K772</f>
        <v xml:space="preserve"> DRAGAGEM   FUNDO MARINHO  </v>
      </c>
      <c r="D772" s="129" t="s">
        <v>3613</v>
      </c>
      <c r="E772" s="155" t="s">
        <v>3613</v>
      </c>
      <c r="F772" s="155"/>
      <c r="G772" s="155"/>
      <c r="H772" s="156" t="s">
        <v>3613</v>
      </c>
      <c r="I772" s="157"/>
      <c r="J772" s="188" t="s">
        <v>3762</v>
      </c>
      <c r="K772" s="188" t="s">
        <v>4025</v>
      </c>
      <c r="L772" s="187" t="s">
        <v>3613</v>
      </c>
    </row>
    <row r="773" spans="1:12" x14ac:dyDescent="0.2">
      <c r="A773" s="158" t="s">
        <v>4027</v>
      </c>
      <c r="B773" s="242"/>
      <c r="C773" s="135" t="s">
        <v>4029</v>
      </c>
      <c r="D773" s="139" t="s">
        <v>1374</v>
      </c>
      <c r="E773" s="159">
        <v>691565.83</v>
      </c>
      <c r="F773" s="159"/>
      <c r="G773" s="159"/>
      <c r="H773" s="160">
        <v>53.46</v>
      </c>
      <c r="I773" s="161">
        <f t="shared" si="18"/>
        <v>36971109.271799996</v>
      </c>
      <c r="J773" s="135" t="s">
        <v>3762</v>
      </c>
      <c r="K773" s="135" t="s">
        <v>4025</v>
      </c>
      <c r="L773" s="134" t="s">
        <v>4028</v>
      </c>
    </row>
    <row r="774" spans="1:12" x14ac:dyDescent="0.2">
      <c r="A774" s="189" t="s">
        <v>4031</v>
      </c>
      <c r="B774" s="245"/>
      <c r="C774" s="188" t="str">
        <f>K774</f>
        <v xml:space="preserve"> DRAGAGEM   ATERRO DO TÚNEL  </v>
      </c>
      <c r="D774" s="139" t="s">
        <v>3613</v>
      </c>
      <c r="E774" s="159" t="s">
        <v>3613</v>
      </c>
      <c r="F774" s="159"/>
      <c r="G774" s="159"/>
      <c r="H774" s="160" t="s">
        <v>3613</v>
      </c>
      <c r="I774" s="161"/>
      <c r="J774" s="191" t="s">
        <v>3762</v>
      </c>
      <c r="K774" s="191" t="s">
        <v>4032</v>
      </c>
      <c r="L774" s="190" t="s">
        <v>3613</v>
      </c>
    </row>
    <row r="775" spans="1:12" x14ac:dyDescent="0.2">
      <c r="A775" s="158" t="s">
        <v>4034</v>
      </c>
      <c r="B775" s="242"/>
      <c r="C775" s="135" t="s">
        <v>4036</v>
      </c>
      <c r="D775" s="139" t="s">
        <v>1374</v>
      </c>
      <c r="E775" s="159">
        <v>120960</v>
      </c>
      <c r="F775" s="159"/>
      <c r="G775" s="159"/>
      <c r="H775" s="160">
        <v>55.89</v>
      </c>
      <c r="I775" s="161">
        <f t="shared" si="18"/>
        <v>6760454.4000000004</v>
      </c>
      <c r="J775" s="135" t="s">
        <v>3762</v>
      </c>
      <c r="K775" s="135" t="s">
        <v>4032</v>
      </c>
      <c r="L775" s="134" t="s">
        <v>4035</v>
      </c>
    </row>
    <row r="776" spans="1:12" x14ac:dyDescent="0.2">
      <c r="A776" s="158" t="s">
        <v>4038</v>
      </c>
      <c r="B776" s="242"/>
      <c r="C776" s="135" t="s">
        <v>4040</v>
      </c>
      <c r="D776" s="139" t="s">
        <v>1374</v>
      </c>
      <c r="E776" s="159">
        <v>120960</v>
      </c>
      <c r="F776" s="159"/>
      <c r="G776" s="159"/>
      <c r="H776" s="160">
        <v>26.89</v>
      </c>
      <c r="I776" s="161">
        <f t="shared" si="18"/>
        <v>3252614.4</v>
      </c>
      <c r="J776" s="135" t="s">
        <v>3762</v>
      </c>
      <c r="K776" s="135" t="s">
        <v>4032</v>
      </c>
      <c r="L776" s="134" t="s">
        <v>4039</v>
      </c>
    </row>
    <row r="777" spans="1:12" x14ac:dyDescent="0.2">
      <c r="A777" s="158" t="s">
        <v>4042</v>
      </c>
      <c r="B777" s="242"/>
      <c r="C777" s="135" t="s">
        <v>4044</v>
      </c>
      <c r="D777" s="139" t="s">
        <v>1374</v>
      </c>
      <c r="E777" s="159">
        <v>164016</v>
      </c>
      <c r="F777" s="159"/>
      <c r="G777" s="159"/>
      <c r="H777" s="160">
        <v>109</v>
      </c>
      <c r="I777" s="161">
        <f t="shared" si="18"/>
        <v>17877744</v>
      </c>
      <c r="J777" s="135" t="s">
        <v>3762</v>
      </c>
      <c r="K777" s="135" t="s">
        <v>4032</v>
      </c>
      <c r="L777" s="134" t="s">
        <v>4043</v>
      </c>
    </row>
    <row r="778" spans="1:12" ht="13.5" thickBot="1" x14ac:dyDescent="0.25">
      <c r="A778" s="162" t="s">
        <v>4046</v>
      </c>
      <c r="B778" s="243"/>
      <c r="C778" s="142" t="s">
        <v>4048</v>
      </c>
      <c r="D778" s="143" t="s">
        <v>1374</v>
      </c>
      <c r="E778" s="163">
        <v>164016</v>
      </c>
      <c r="F778" s="163"/>
      <c r="G778" s="163"/>
      <c r="H778" s="164">
        <v>20.16</v>
      </c>
      <c r="I778" s="165">
        <f t="shared" si="18"/>
        <v>3306562.56</v>
      </c>
      <c r="J778" s="142" t="s">
        <v>3762</v>
      </c>
      <c r="K778" s="181" t="s">
        <v>4032</v>
      </c>
      <c r="L778" s="141" t="s">
        <v>4047</v>
      </c>
    </row>
    <row r="779" spans="1:12" ht="13.5" thickBot="1" x14ac:dyDescent="0.25">
      <c r="A779" s="200">
        <v>21</v>
      </c>
      <c r="B779" s="247"/>
      <c r="C779" s="201" t="str">
        <f>K779</f>
        <v xml:space="preserve"> IMERSÃO DOS MÓDULOS</v>
      </c>
      <c r="D779" s="202"/>
      <c r="E779" s="203"/>
      <c r="F779" s="203"/>
      <c r="G779" s="203"/>
      <c r="H779" s="204"/>
      <c r="I779" s="205"/>
      <c r="J779" s="201" t="s">
        <v>3762</v>
      </c>
      <c r="K779" s="201" t="s">
        <v>4050</v>
      </c>
      <c r="L779" s="166"/>
    </row>
    <row r="780" spans="1:12" x14ac:dyDescent="0.2">
      <c r="A780" s="186" t="s">
        <v>4052</v>
      </c>
      <c r="B780" s="244"/>
      <c r="C780" s="188" t="str">
        <f>K780</f>
        <v xml:space="preserve"> IMERSÃO DOS MÓDULOS  PROJETO DAS INSTALAÇÕES E OPERAÇÕES  </v>
      </c>
      <c r="D780" s="129" t="s">
        <v>1528</v>
      </c>
      <c r="E780" s="155"/>
      <c r="F780" s="155"/>
      <c r="G780" s="155"/>
      <c r="H780" s="156"/>
      <c r="I780" s="157"/>
      <c r="J780" s="188" t="s">
        <v>3762</v>
      </c>
      <c r="K780" s="188" t="s">
        <v>4053</v>
      </c>
      <c r="L780" s="187" t="s">
        <v>3613</v>
      </c>
    </row>
    <row r="781" spans="1:12" x14ac:dyDescent="0.2">
      <c r="A781" s="158" t="s">
        <v>4055</v>
      </c>
      <c r="B781" s="242"/>
      <c r="C781" s="135" t="s">
        <v>4057</v>
      </c>
      <c r="D781" s="139" t="s">
        <v>3372</v>
      </c>
      <c r="E781" s="159">
        <v>1</v>
      </c>
      <c r="F781" s="159"/>
      <c r="G781" s="159"/>
      <c r="H781" s="160">
        <v>2753790</v>
      </c>
      <c r="I781" s="161">
        <f t="shared" si="18"/>
        <v>2753790</v>
      </c>
      <c r="J781" s="135" t="s">
        <v>3762</v>
      </c>
      <c r="K781" s="135" t="s">
        <v>4053</v>
      </c>
      <c r="L781" s="134" t="s">
        <v>4056</v>
      </c>
    </row>
    <row r="782" spans="1:12" x14ac:dyDescent="0.2">
      <c r="A782" s="189" t="s">
        <v>4059</v>
      </c>
      <c r="B782" s="245"/>
      <c r="C782" s="188" t="str">
        <f>K782</f>
        <v xml:space="preserve"> IMERSÃO DOS MÓDULOS  FLUTUAÇÃO DO ELEMENTO DO TÚNEL  </v>
      </c>
      <c r="D782" s="139" t="s">
        <v>1528</v>
      </c>
      <c r="E782" s="159"/>
      <c r="F782" s="159"/>
      <c r="G782" s="159"/>
      <c r="H782" s="160"/>
      <c r="I782" s="161"/>
      <c r="J782" s="191" t="s">
        <v>3762</v>
      </c>
      <c r="K782" s="191" t="s">
        <v>4060</v>
      </c>
      <c r="L782" s="190" t="s">
        <v>3613</v>
      </c>
    </row>
    <row r="783" spans="1:12" x14ac:dyDescent="0.2">
      <c r="A783" s="158" t="s">
        <v>4062</v>
      </c>
      <c r="B783" s="242"/>
      <c r="C783" s="135" t="s">
        <v>4064</v>
      </c>
      <c r="D783" s="139" t="s">
        <v>1627</v>
      </c>
      <c r="E783" s="159">
        <v>6</v>
      </c>
      <c r="F783" s="159"/>
      <c r="G783" s="159"/>
      <c r="H783" s="160">
        <v>640862.5</v>
      </c>
      <c r="I783" s="161">
        <f t="shared" si="18"/>
        <v>3845175</v>
      </c>
      <c r="J783" s="135" t="s">
        <v>3762</v>
      </c>
      <c r="K783" s="135" t="s">
        <v>4060</v>
      </c>
      <c r="L783" s="134" t="s">
        <v>4063</v>
      </c>
    </row>
    <row r="784" spans="1:12" x14ac:dyDescent="0.2">
      <c r="A784" s="189" t="s">
        <v>4066</v>
      </c>
      <c r="B784" s="245"/>
      <c r="C784" s="188" t="str">
        <f>K784</f>
        <v xml:space="preserve"> IMERSÃO DOS MÓDULOS  TRANSPORTE DOS ELEMENTOS  </v>
      </c>
      <c r="D784" s="139" t="s">
        <v>1528</v>
      </c>
      <c r="E784" s="159"/>
      <c r="F784" s="159"/>
      <c r="G784" s="159"/>
      <c r="H784" s="160"/>
      <c r="I784" s="161"/>
      <c r="J784" s="191" t="s">
        <v>3762</v>
      </c>
      <c r="K784" s="191" t="s">
        <v>4067</v>
      </c>
      <c r="L784" s="190" t="s">
        <v>3613</v>
      </c>
    </row>
    <row r="785" spans="1:12" x14ac:dyDescent="0.2">
      <c r="A785" s="158" t="s">
        <v>4069</v>
      </c>
      <c r="B785" s="242"/>
      <c r="C785" s="135" t="s">
        <v>4071</v>
      </c>
      <c r="D785" s="139" t="s">
        <v>1627</v>
      </c>
      <c r="E785" s="159">
        <v>6</v>
      </c>
      <c r="F785" s="159"/>
      <c r="G785" s="159"/>
      <c r="H785" s="160">
        <v>1449040</v>
      </c>
      <c r="I785" s="161">
        <f t="shared" si="18"/>
        <v>8694240</v>
      </c>
      <c r="J785" s="135" t="s">
        <v>3762</v>
      </c>
      <c r="K785" s="135" t="s">
        <v>4067</v>
      </c>
      <c r="L785" s="134" t="s">
        <v>4070</v>
      </c>
    </row>
    <row r="786" spans="1:12" x14ac:dyDescent="0.2">
      <c r="A786" s="189" t="s">
        <v>4073</v>
      </c>
      <c r="B786" s="245"/>
      <c r="C786" s="188" t="str">
        <f>K786</f>
        <v xml:space="preserve"> IMERSÃO DOS MÓDULOS SUBMERSÃO DO ELEMENTO  </v>
      </c>
      <c r="D786" s="139" t="s">
        <v>1528</v>
      </c>
      <c r="E786" s="159"/>
      <c r="F786" s="159"/>
      <c r="G786" s="159"/>
      <c r="H786" s="160"/>
      <c r="I786" s="161"/>
      <c r="J786" s="191" t="s">
        <v>3762</v>
      </c>
      <c r="K786" s="191" t="s">
        <v>4074</v>
      </c>
      <c r="L786" s="190" t="s">
        <v>3613</v>
      </c>
    </row>
    <row r="787" spans="1:12" x14ac:dyDescent="0.2">
      <c r="A787" s="158" t="s">
        <v>4076</v>
      </c>
      <c r="B787" s="242"/>
      <c r="C787" s="135" t="s">
        <v>4078</v>
      </c>
      <c r="D787" s="139" t="s">
        <v>1627</v>
      </c>
      <c r="E787" s="159">
        <v>6</v>
      </c>
      <c r="F787" s="159"/>
      <c r="G787" s="159"/>
      <c r="H787" s="160">
        <v>2502050</v>
      </c>
      <c r="I787" s="161">
        <f t="shared" si="18"/>
        <v>15012300</v>
      </c>
      <c r="J787" s="135" t="s">
        <v>3762</v>
      </c>
      <c r="K787" s="135" t="s">
        <v>4074</v>
      </c>
      <c r="L787" s="134" t="s">
        <v>4077</v>
      </c>
    </row>
    <row r="788" spans="1:12" x14ac:dyDescent="0.2">
      <c r="A788" s="189" t="s">
        <v>4080</v>
      </c>
      <c r="B788" s="245"/>
      <c r="C788" s="188" t="str">
        <f>K788</f>
        <v xml:space="preserve"> IMERSÃO DOS MÓDULOS  ASSENTAMENTO E FINALIZAÇÃO  </v>
      </c>
      <c r="D788" s="139" t="s">
        <v>1528</v>
      </c>
      <c r="E788" s="159"/>
      <c r="F788" s="159"/>
      <c r="G788" s="159"/>
      <c r="H788" s="160"/>
      <c r="I788" s="161"/>
      <c r="J788" s="191" t="s">
        <v>3762</v>
      </c>
      <c r="K788" s="191" t="s">
        <v>4081</v>
      </c>
      <c r="L788" s="190" t="s">
        <v>3613</v>
      </c>
    </row>
    <row r="789" spans="1:12" x14ac:dyDescent="0.2">
      <c r="A789" s="158" t="s">
        <v>4083</v>
      </c>
      <c r="B789" s="242"/>
      <c r="C789" s="135" t="s">
        <v>4085</v>
      </c>
      <c r="D789" s="139" t="s">
        <v>1627</v>
      </c>
      <c r="E789" s="159">
        <v>6</v>
      </c>
      <c r="F789" s="159"/>
      <c r="G789" s="159"/>
      <c r="H789" s="160">
        <v>2091437.5</v>
      </c>
      <c r="I789" s="161">
        <f t="shared" si="18"/>
        <v>12548625</v>
      </c>
      <c r="J789" s="135" t="s">
        <v>3762</v>
      </c>
      <c r="K789" s="135" t="s">
        <v>4081</v>
      </c>
      <c r="L789" s="134" t="s">
        <v>4084</v>
      </c>
    </row>
    <row r="790" spans="1:12" x14ac:dyDescent="0.2">
      <c r="A790" s="189" t="s">
        <v>4087</v>
      </c>
      <c r="B790" s="245"/>
      <c r="C790" s="188" t="str">
        <f>K790</f>
        <v xml:space="preserve"> IMERSÃO DOS MÓDULOS  MONITORAMENTO  </v>
      </c>
      <c r="D790" s="139" t="s">
        <v>1528</v>
      </c>
      <c r="E790" s="159"/>
      <c r="F790" s="159"/>
      <c r="G790" s="159"/>
      <c r="H790" s="160"/>
      <c r="I790" s="161"/>
      <c r="J790" s="191" t="s">
        <v>3762</v>
      </c>
      <c r="K790" s="191" t="s">
        <v>4088</v>
      </c>
      <c r="L790" s="190" t="s">
        <v>3613</v>
      </c>
    </row>
    <row r="791" spans="1:12" ht="13.5" thickBot="1" x14ac:dyDescent="0.25">
      <c r="A791" s="162" t="s">
        <v>4090</v>
      </c>
      <c r="B791" s="243"/>
      <c r="C791" s="142" t="s">
        <v>4092</v>
      </c>
      <c r="D791" s="143" t="s">
        <v>1627</v>
      </c>
      <c r="E791" s="163">
        <v>6</v>
      </c>
      <c r="F791" s="163"/>
      <c r="G791" s="163"/>
      <c r="H791" s="164">
        <v>532645</v>
      </c>
      <c r="I791" s="165">
        <f t="shared" si="18"/>
        <v>3195870</v>
      </c>
      <c r="J791" s="142" t="s">
        <v>3762</v>
      </c>
      <c r="K791" s="142" t="s">
        <v>4088</v>
      </c>
      <c r="L791" s="141" t="s">
        <v>4091</v>
      </c>
    </row>
    <row r="792" spans="1:12" ht="13.5" thickBot="1" x14ac:dyDescent="0.25">
      <c r="A792" s="200">
        <v>22</v>
      </c>
      <c r="B792" s="247"/>
      <c r="C792" s="201" t="str">
        <f>K792</f>
        <v xml:space="preserve"> SINALIZAÇÃO E ELEMENTOS DE SEGURANÇA  </v>
      </c>
      <c r="D792" s="202" t="s">
        <v>1528</v>
      </c>
      <c r="E792" s="203"/>
      <c r="F792" s="203"/>
      <c r="G792" s="203"/>
      <c r="H792" s="204"/>
      <c r="I792" s="205"/>
      <c r="J792" s="201" t="s">
        <v>3762</v>
      </c>
      <c r="K792" s="201" t="s">
        <v>1944</v>
      </c>
      <c r="L792" s="166">
        <v>28</v>
      </c>
    </row>
    <row r="793" spans="1:12" ht="13.5" thickBot="1" x14ac:dyDescent="0.25">
      <c r="A793" s="206" t="s">
        <v>4095</v>
      </c>
      <c r="B793" s="248"/>
      <c r="C793" s="208" t="s">
        <v>4097</v>
      </c>
      <c r="D793" s="209" t="s">
        <v>1361</v>
      </c>
      <c r="E793" s="210">
        <v>3048</v>
      </c>
      <c r="F793" s="210"/>
      <c r="G793" s="210"/>
      <c r="H793" s="211">
        <v>904.11</v>
      </c>
      <c r="I793" s="212">
        <f t="shared" si="18"/>
        <v>2755727.2800000003</v>
      </c>
      <c r="J793" s="208" t="s">
        <v>3762</v>
      </c>
      <c r="K793" s="208" t="s">
        <v>1944</v>
      </c>
      <c r="L793" s="207" t="s">
        <v>4096</v>
      </c>
    </row>
    <row r="794" spans="1:12" ht="13.5" thickBot="1" x14ac:dyDescent="0.25">
      <c r="A794" s="200">
        <v>23</v>
      </c>
      <c r="B794" s="247"/>
      <c r="C794" s="201" t="str">
        <f>K794</f>
        <v xml:space="preserve"> EQUIPE DE MERGULHO  </v>
      </c>
      <c r="D794" s="202" t="s">
        <v>1528</v>
      </c>
      <c r="E794" s="203"/>
      <c r="F794" s="203"/>
      <c r="G794" s="203"/>
      <c r="H794" s="204"/>
      <c r="I794" s="205"/>
      <c r="J794" s="201" t="s">
        <v>3762</v>
      </c>
      <c r="K794" s="201" t="s">
        <v>4099</v>
      </c>
      <c r="L794" s="166" t="s">
        <v>3613</v>
      </c>
    </row>
    <row r="795" spans="1:12" ht="13.5" thickBot="1" x14ac:dyDescent="0.25">
      <c r="A795" s="206" t="s">
        <v>4101</v>
      </c>
      <c r="B795" s="248"/>
      <c r="C795" s="208" t="s">
        <v>1941</v>
      </c>
      <c r="D795" s="209" t="s">
        <v>1942</v>
      </c>
      <c r="E795" s="210">
        <v>2496</v>
      </c>
      <c r="F795" s="210"/>
      <c r="G795" s="210"/>
      <c r="H795" s="211">
        <v>675</v>
      </c>
      <c r="I795" s="212">
        <f t="shared" si="18"/>
        <v>1684800</v>
      </c>
      <c r="J795" s="208" t="s">
        <v>3762</v>
      </c>
      <c r="K795" s="208" t="s">
        <v>4099</v>
      </c>
      <c r="L795" s="207" t="s">
        <v>4102</v>
      </c>
    </row>
    <row r="796" spans="1:12" ht="13.5" thickBot="1" x14ac:dyDescent="0.25">
      <c r="A796" s="200">
        <v>24</v>
      </c>
      <c r="B796" s="247"/>
      <c r="C796" s="201" t="str">
        <f>K796</f>
        <v xml:space="preserve"> EQUIPAMENTOS  </v>
      </c>
      <c r="D796" s="202" t="s">
        <v>1528</v>
      </c>
      <c r="E796" s="203"/>
      <c r="F796" s="203"/>
      <c r="G796" s="203"/>
      <c r="H796" s="204"/>
      <c r="I796" s="205"/>
      <c r="J796" s="201" t="s">
        <v>3762</v>
      </c>
      <c r="K796" s="201" t="s">
        <v>2072</v>
      </c>
      <c r="L796" s="166" t="s">
        <v>3613</v>
      </c>
    </row>
    <row r="797" spans="1:12" x14ac:dyDescent="0.2">
      <c r="A797" s="154" t="s">
        <v>4105</v>
      </c>
      <c r="B797" s="241"/>
      <c r="C797" s="128" t="s">
        <v>2081</v>
      </c>
      <c r="D797" s="129" t="s">
        <v>2077</v>
      </c>
      <c r="E797" s="155">
        <v>32</v>
      </c>
      <c r="F797" s="155"/>
      <c r="G797" s="155"/>
      <c r="H797" s="156">
        <v>176000</v>
      </c>
      <c r="I797" s="157">
        <f t="shared" si="18"/>
        <v>5632000</v>
      </c>
      <c r="J797" s="128" t="s">
        <v>3762</v>
      </c>
      <c r="K797" s="128" t="s">
        <v>2072</v>
      </c>
      <c r="L797" s="127" t="s">
        <v>2080</v>
      </c>
    </row>
    <row r="798" spans="1:12" x14ac:dyDescent="0.2">
      <c r="A798" s="158" t="s">
        <v>4107</v>
      </c>
      <c r="B798" s="242"/>
      <c r="C798" s="135" t="s">
        <v>4108</v>
      </c>
      <c r="D798" s="139" t="s">
        <v>2077</v>
      </c>
      <c r="E798" s="159">
        <v>32</v>
      </c>
      <c r="F798" s="159"/>
      <c r="G798" s="159"/>
      <c r="H798" s="160">
        <v>160000</v>
      </c>
      <c r="I798" s="161">
        <f t="shared" si="18"/>
        <v>5120000</v>
      </c>
      <c r="J798" s="135" t="s">
        <v>3762</v>
      </c>
      <c r="K798" s="135" t="s">
        <v>2072</v>
      </c>
      <c r="L798" s="134" t="s">
        <v>3613</v>
      </c>
    </row>
    <row r="799" spans="1:12" x14ac:dyDescent="0.2">
      <c r="A799" s="158" t="s">
        <v>4110</v>
      </c>
      <c r="B799" s="242"/>
      <c r="C799" s="135" t="s">
        <v>4111</v>
      </c>
      <c r="D799" s="139" t="s">
        <v>2077</v>
      </c>
      <c r="E799" s="159">
        <v>40</v>
      </c>
      <c r="F799" s="159"/>
      <c r="G799" s="159"/>
      <c r="H799" s="160">
        <v>80000</v>
      </c>
      <c r="I799" s="161">
        <f t="shared" si="18"/>
        <v>3200000</v>
      </c>
      <c r="J799" s="135" t="s">
        <v>3762</v>
      </c>
      <c r="K799" s="135" t="s">
        <v>2072</v>
      </c>
      <c r="L799" s="134" t="s">
        <v>3613</v>
      </c>
    </row>
    <row r="800" spans="1:12" x14ac:dyDescent="0.2">
      <c r="A800" s="158" t="s">
        <v>4113</v>
      </c>
      <c r="B800" s="242"/>
      <c r="C800" s="135" t="s">
        <v>4115</v>
      </c>
      <c r="D800" s="139" t="s">
        <v>1942</v>
      </c>
      <c r="E800" s="159">
        <v>25920</v>
      </c>
      <c r="F800" s="159"/>
      <c r="G800" s="159"/>
      <c r="H800" s="160">
        <v>118.78</v>
      </c>
      <c r="I800" s="161">
        <f t="shared" si="18"/>
        <v>3078777.6</v>
      </c>
      <c r="J800" s="135" t="s">
        <v>3762</v>
      </c>
      <c r="K800" s="135" t="s">
        <v>2072</v>
      </c>
      <c r="L800" s="134" t="s">
        <v>4114</v>
      </c>
    </row>
    <row r="801" spans="1:12" ht="13.5" thickBot="1" x14ac:dyDescent="0.25">
      <c r="A801" s="162" t="s">
        <v>4117</v>
      </c>
      <c r="B801" s="243"/>
      <c r="C801" s="142" t="s">
        <v>4119</v>
      </c>
      <c r="D801" s="143" t="s">
        <v>1942</v>
      </c>
      <c r="E801" s="163">
        <v>25920</v>
      </c>
      <c r="F801" s="163"/>
      <c r="G801" s="163"/>
      <c r="H801" s="164">
        <v>293.24</v>
      </c>
      <c r="I801" s="165">
        <f t="shared" si="18"/>
        <v>7600780.7999999998</v>
      </c>
      <c r="J801" s="142" t="s">
        <v>3762</v>
      </c>
      <c r="K801" s="142" t="s">
        <v>2072</v>
      </c>
      <c r="L801" s="141" t="s">
        <v>4118</v>
      </c>
    </row>
    <row r="802" spans="1:12" ht="13.5" thickBot="1" x14ac:dyDescent="0.25">
      <c r="A802" s="200">
        <v>25</v>
      </c>
      <c r="B802" s="247"/>
      <c r="C802" s="201" t="str">
        <f>K802</f>
        <v xml:space="preserve"> SISTEMA DE COMBATE A INCÊNDIO  </v>
      </c>
      <c r="D802" s="202" t="s">
        <v>1528</v>
      </c>
      <c r="E802" s="203"/>
      <c r="F802" s="203"/>
      <c r="G802" s="203"/>
      <c r="H802" s="204"/>
      <c r="I802" s="205"/>
      <c r="J802" s="201" t="s">
        <v>3762</v>
      </c>
      <c r="K802" s="201" t="s">
        <v>4121</v>
      </c>
      <c r="L802" s="166" t="s">
        <v>3613</v>
      </c>
    </row>
    <row r="803" spans="1:12" x14ac:dyDescent="0.2">
      <c r="A803" s="154" t="s">
        <v>4123</v>
      </c>
      <c r="B803" s="241"/>
      <c r="C803" s="128" t="s">
        <v>4124</v>
      </c>
      <c r="D803" s="129" t="s">
        <v>1361</v>
      </c>
      <c r="E803" s="155">
        <v>2208</v>
      </c>
      <c r="F803" s="155"/>
      <c r="G803" s="155"/>
      <c r="H803" s="156">
        <v>319.72000000000003</v>
      </c>
      <c r="I803" s="157">
        <f t="shared" si="18"/>
        <v>705941.76</v>
      </c>
      <c r="J803" s="128" t="s">
        <v>3762</v>
      </c>
      <c r="K803" s="128" t="s">
        <v>4121</v>
      </c>
      <c r="L803" s="127">
        <v>460810</v>
      </c>
    </row>
    <row r="804" spans="1:12" x14ac:dyDescent="0.2">
      <c r="A804" s="158" t="s">
        <v>4126</v>
      </c>
      <c r="B804" s="242"/>
      <c r="C804" s="135" t="s">
        <v>4127</v>
      </c>
      <c r="D804" s="139" t="s">
        <v>1361</v>
      </c>
      <c r="E804" s="159">
        <v>76.8</v>
      </c>
      <c r="F804" s="159"/>
      <c r="G804" s="159"/>
      <c r="H804" s="160">
        <v>243.26</v>
      </c>
      <c r="I804" s="161">
        <f t="shared" si="18"/>
        <v>18682.367999999999</v>
      </c>
      <c r="J804" s="135" t="s">
        <v>3762</v>
      </c>
      <c r="K804" s="135" t="s">
        <v>4121</v>
      </c>
      <c r="L804" s="134">
        <v>460808</v>
      </c>
    </row>
    <row r="805" spans="1:12" x14ac:dyDescent="0.2">
      <c r="A805" s="158" t="s">
        <v>4129</v>
      </c>
      <c r="B805" s="242"/>
      <c r="C805" s="135" t="s">
        <v>2113</v>
      </c>
      <c r="D805" s="139" t="s">
        <v>1627</v>
      </c>
      <c r="E805" s="159">
        <v>29</v>
      </c>
      <c r="F805" s="159"/>
      <c r="G805" s="159"/>
      <c r="H805" s="160">
        <v>557.15</v>
      </c>
      <c r="I805" s="161">
        <f t="shared" si="18"/>
        <v>16157.349999999999</v>
      </c>
      <c r="J805" s="135" t="s">
        <v>3762</v>
      </c>
      <c r="K805" s="135" t="s">
        <v>4121</v>
      </c>
      <c r="L805" s="134" t="s">
        <v>2112</v>
      </c>
    </row>
    <row r="806" spans="1:12" x14ac:dyDescent="0.2">
      <c r="A806" s="158" t="s">
        <v>4131</v>
      </c>
      <c r="B806" s="242"/>
      <c r="C806" s="135" t="s">
        <v>2117</v>
      </c>
      <c r="D806" s="139" t="s">
        <v>1627</v>
      </c>
      <c r="E806" s="159">
        <v>29</v>
      </c>
      <c r="F806" s="159"/>
      <c r="G806" s="159"/>
      <c r="H806" s="160">
        <v>399.33</v>
      </c>
      <c r="I806" s="161">
        <f t="shared" si="18"/>
        <v>11580.57</v>
      </c>
      <c r="J806" s="135" t="s">
        <v>3762</v>
      </c>
      <c r="K806" s="135" t="s">
        <v>4121</v>
      </c>
      <c r="L806" s="134" t="s">
        <v>2116</v>
      </c>
    </row>
    <row r="807" spans="1:12" x14ac:dyDescent="0.2">
      <c r="A807" s="158" t="s">
        <v>4133</v>
      </c>
      <c r="B807" s="242"/>
      <c r="C807" s="135" t="s">
        <v>2121</v>
      </c>
      <c r="D807" s="139" t="s">
        <v>1627</v>
      </c>
      <c r="E807" s="159">
        <v>29</v>
      </c>
      <c r="F807" s="159"/>
      <c r="G807" s="159"/>
      <c r="H807" s="160">
        <v>691.74</v>
      </c>
      <c r="I807" s="161">
        <f t="shared" si="18"/>
        <v>20060.46</v>
      </c>
      <c r="J807" s="135" t="s">
        <v>3762</v>
      </c>
      <c r="K807" s="135" t="s">
        <v>4121</v>
      </c>
      <c r="L807" s="134" t="s">
        <v>2120</v>
      </c>
    </row>
    <row r="808" spans="1:12" x14ac:dyDescent="0.2">
      <c r="A808" s="158" t="s">
        <v>4135</v>
      </c>
      <c r="B808" s="242"/>
      <c r="C808" s="135" t="s">
        <v>2125</v>
      </c>
      <c r="D808" s="139" t="s">
        <v>1627</v>
      </c>
      <c r="E808" s="159">
        <v>39</v>
      </c>
      <c r="F808" s="159"/>
      <c r="G808" s="159"/>
      <c r="H808" s="160">
        <v>454.57</v>
      </c>
      <c r="I808" s="161">
        <f t="shared" si="18"/>
        <v>17728.23</v>
      </c>
      <c r="J808" s="135" t="s">
        <v>3762</v>
      </c>
      <c r="K808" s="135" t="s">
        <v>4121</v>
      </c>
      <c r="L808" s="134" t="s">
        <v>2124</v>
      </c>
    </row>
    <row r="809" spans="1:12" x14ac:dyDescent="0.2">
      <c r="A809" s="158" t="s">
        <v>4137</v>
      </c>
      <c r="B809" s="242"/>
      <c r="C809" s="135" t="s">
        <v>2129</v>
      </c>
      <c r="D809" s="139" t="s">
        <v>1627</v>
      </c>
      <c r="E809" s="159">
        <v>39</v>
      </c>
      <c r="F809" s="159"/>
      <c r="G809" s="159"/>
      <c r="H809" s="160">
        <v>235.98</v>
      </c>
      <c r="I809" s="161">
        <f t="shared" si="18"/>
        <v>9203.2199999999993</v>
      </c>
      <c r="J809" s="135" t="s">
        <v>3762</v>
      </c>
      <c r="K809" s="135" t="s">
        <v>4121</v>
      </c>
      <c r="L809" s="134" t="s">
        <v>2128</v>
      </c>
    </row>
    <row r="810" spans="1:12" x14ac:dyDescent="0.2">
      <c r="A810" s="158" t="s">
        <v>4139</v>
      </c>
      <c r="B810" s="242"/>
      <c r="C810" s="135" t="s">
        <v>2133</v>
      </c>
      <c r="D810" s="139" t="s">
        <v>1627</v>
      </c>
      <c r="E810" s="159">
        <v>64</v>
      </c>
      <c r="F810" s="159"/>
      <c r="G810" s="159"/>
      <c r="H810" s="160">
        <v>67.59</v>
      </c>
      <c r="I810" s="161">
        <f t="shared" si="18"/>
        <v>4325.76</v>
      </c>
      <c r="J810" s="135" t="s">
        <v>3762</v>
      </c>
      <c r="K810" s="135" t="s">
        <v>4121</v>
      </c>
      <c r="L810" s="134" t="s">
        <v>2132</v>
      </c>
    </row>
    <row r="811" spans="1:12" x14ac:dyDescent="0.2">
      <c r="A811" s="158" t="s">
        <v>4141</v>
      </c>
      <c r="B811" s="242"/>
      <c r="C811" s="135" t="s">
        <v>2137</v>
      </c>
      <c r="D811" s="139" t="s">
        <v>1627</v>
      </c>
      <c r="E811" s="159">
        <v>3</v>
      </c>
      <c r="F811" s="159"/>
      <c r="G811" s="159"/>
      <c r="H811" s="160">
        <v>461.16</v>
      </c>
      <c r="I811" s="161">
        <f t="shared" si="18"/>
        <v>1383.48</v>
      </c>
      <c r="J811" s="135" t="s">
        <v>3762</v>
      </c>
      <c r="K811" s="135" t="s">
        <v>4121</v>
      </c>
      <c r="L811" s="134" t="s">
        <v>2136</v>
      </c>
    </row>
    <row r="812" spans="1:12" x14ac:dyDescent="0.2">
      <c r="A812" s="158" t="s">
        <v>4143</v>
      </c>
      <c r="B812" s="242"/>
      <c r="C812" s="135" t="s">
        <v>2141</v>
      </c>
      <c r="D812" s="139" t="s">
        <v>1627</v>
      </c>
      <c r="E812" s="159">
        <v>39</v>
      </c>
      <c r="F812" s="159"/>
      <c r="G812" s="159"/>
      <c r="H812" s="160">
        <v>133.41</v>
      </c>
      <c r="I812" s="161">
        <f t="shared" si="18"/>
        <v>5202.99</v>
      </c>
      <c r="J812" s="135" t="s">
        <v>3762</v>
      </c>
      <c r="K812" s="135" t="s">
        <v>4121</v>
      </c>
      <c r="L812" s="134" t="s">
        <v>2140</v>
      </c>
    </row>
    <row r="813" spans="1:12" x14ac:dyDescent="0.2">
      <c r="A813" s="158" t="s">
        <v>4145</v>
      </c>
      <c r="B813" s="242"/>
      <c r="C813" s="135" t="s">
        <v>2145</v>
      </c>
      <c r="D813" s="139" t="s">
        <v>1627</v>
      </c>
      <c r="E813" s="159">
        <v>663</v>
      </c>
      <c r="F813" s="159"/>
      <c r="G813" s="159"/>
      <c r="H813" s="160">
        <v>200.57</v>
      </c>
      <c r="I813" s="161">
        <f t="shared" si="18"/>
        <v>132977.91</v>
      </c>
      <c r="J813" s="135" t="s">
        <v>3762</v>
      </c>
      <c r="K813" s="135" t="s">
        <v>4121</v>
      </c>
      <c r="L813" s="134" t="s">
        <v>2144</v>
      </c>
    </row>
    <row r="814" spans="1:12" x14ac:dyDescent="0.2">
      <c r="A814" s="158" t="s">
        <v>4147</v>
      </c>
      <c r="B814" s="242"/>
      <c r="C814" s="135" t="s">
        <v>2149</v>
      </c>
      <c r="D814" s="139" t="s">
        <v>1627</v>
      </c>
      <c r="E814" s="159">
        <v>77</v>
      </c>
      <c r="F814" s="159"/>
      <c r="G814" s="159"/>
      <c r="H814" s="160">
        <v>198.9</v>
      </c>
      <c r="I814" s="161">
        <f t="shared" si="18"/>
        <v>15315.300000000001</v>
      </c>
      <c r="J814" s="135" t="s">
        <v>3762</v>
      </c>
      <c r="K814" s="135" t="s">
        <v>4121</v>
      </c>
      <c r="L814" s="134" t="s">
        <v>2148</v>
      </c>
    </row>
    <row r="815" spans="1:12" x14ac:dyDescent="0.2">
      <c r="A815" s="158" t="s">
        <v>4149</v>
      </c>
      <c r="B815" s="242"/>
      <c r="C815" s="135" t="s">
        <v>2153</v>
      </c>
      <c r="D815" s="139" t="s">
        <v>1627</v>
      </c>
      <c r="E815" s="159">
        <v>39</v>
      </c>
      <c r="F815" s="159"/>
      <c r="G815" s="159"/>
      <c r="H815" s="160">
        <v>156.6</v>
      </c>
      <c r="I815" s="161">
        <f t="shared" si="18"/>
        <v>6107.4</v>
      </c>
      <c r="J815" s="135" t="s">
        <v>3762</v>
      </c>
      <c r="K815" s="135" t="s">
        <v>4121</v>
      </c>
      <c r="L815" s="134" t="s">
        <v>2152</v>
      </c>
    </row>
    <row r="816" spans="1:12" x14ac:dyDescent="0.2">
      <c r="A816" s="158" t="s">
        <v>4151</v>
      </c>
      <c r="B816" s="242"/>
      <c r="C816" s="135" t="s">
        <v>4152</v>
      </c>
      <c r="D816" s="139" t="s">
        <v>1627</v>
      </c>
      <c r="E816" s="159">
        <v>39</v>
      </c>
      <c r="F816" s="159"/>
      <c r="G816" s="159"/>
      <c r="H816" s="160">
        <v>1223.29</v>
      </c>
      <c r="I816" s="161">
        <f t="shared" ref="I816:I881" si="19">E816*H816</f>
        <v>47708.31</v>
      </c>
      <c r="J816" s="135" t="s">
        <v>3762</v>
      </c>
      <c r="K816" s="135" t="s">
        <v>4121</v>
      </c>
      <c r="L816" s="134" t="s">
        <v>2156</v>
      </c>
    </row>
    <row r="817" spans="1:12" x14ac:dyDescent="0.2">
      <c r="A817" s="158" t="s">
        <v>4154</v>
      </c>
      <c r="B817" s="242"/>
      <c r="C817" s="135" t="s">
        <v>2161</v>
      </c>
      <c r="D817" s="139" t="s">
        <v>1627</v>
      </c>
      <c r="E817" s="159">
        <v>39</v>
      </c>
      <c r="F817" s="159"/>
      <c r="G817" s="159"/>
      <c r="H817" s="160">
        <v>204.23</v>
      </c>
      <c r="I817" s="161">
        <f t="shared" si="19"/>
        <v>7964.9699999999993</v>
      </c>
      <c r="J817" s="135" t="s">
        <v>3762</v>
      </c>
      <c r="K817" s="135" t="s">
        <v>4121</v>
      </c>
      <c r="L817" s="134" t="s">
        <v>2160</v>
      </c>
    </row>
    <row r="818" spans="1:12" x14ac:dyDescent="0.2">
      <c r="A818" s="158" t="s">
        <v>4156</v>
      </c>
      <c r="B818" s="242"/>
      <c r="C818" s="135" t="s">
        <v>2165</v>
      </c>
      <c r="D818" s="139" t="s">
        <v>1627</v>
      </c>
      <c r="E818" s="159">
        <v>39</v>
      </c>
      <c r="F818" s="159"/>
      <c r="G818" s="159"/>
      <c r="H818" s="160">
        <v>781.07</v>
      </c>
      <c r="I818" s="161">
        <f t="shared" si="19"/>
        <v>30461.730000000003</v>
      </c>
      <c r="J818" s="135" t="s">
        <v>3762</v>
      </c>
      <c r="K818" s="135" t="s">
        <v>4121</v>
      </c>
      <c r="L818" s="134" t="s">
        <v>2164</v>
      </c>
    </row>
    <row r="819" spans="1:12" x14ac:dyDescent="0.2">
      <c r="A819" s="158" t="s">
        <v>4158</v>
      </c>
      <c r="B819" s="242"/>
      <c r="C819" s="135" t="s">
        <v>2169</v>
      </c>
      <c r="D819" s="139" t="s">
        <v>1627</v>
      </c>
      <c r="E819" s="159">
        <v>39</v>
      </c>
      <c r="F819" s="159"/>
      <c r="G819" s="159"/>
      <c r="H819" s="160">
        <v>98.82</v>
      </c>
      <c r="I819" s="161">
        <f t="shared" si="19"/>
        <v>3853.9799999999996</v>
      </c>
      <c r="J819" s="135" t="s">
        <v>3762</v>
      </c>
      <c r="K819" s="135" t="s">
        <v>4121</v>
      </c>
      <c r="L819" s="134" t="s">
        <v>2168</v>
      </c>
    </row>
    <row r="820" spans="1:12" x14ac:dyDescent="0.2">
      <c r="A820" s="158" t="s">
        <v>4160</v>
      </c>
      <c r="B820" s="242"/>
      <c r="C820" s="135" t="s">
        <v>2103</v>
      </c>
      <c r="D820" s="139" t="s">
        <v>1627</v>
      </c>
      <c r="E820" s="159">
        <v>39</v>
      </c>
      <c r="F820" s="159"/>
      <c r="G820" s="159"/>
      <c r="H820" s="160">
        <v>204.27</v>
      </c>
      <c r="I820" s="161">
        <f t="shared" si="19"/>
        <v>7966.5300000000007</v>
      </c>
      <c r="J820" s="135" t="s">
        <v>3762</v>
      </c>
      <c r="K820" s="135" t="s">
        <v>4121</v>
      </c>
      <c r="L820" s="134" t="s">
        <v>2102</v>
      </c>
    </row>
    <row r="821" spans="1:12" x14ac:dyDescent="0.2">
      <c r="A821" s="158" t="s">
        <v>4162</v>
      </c>
      <c r="B821" s="242"/>
      <c r="C821" s="135" t="s">
        <v>4163</v>
      </c>
      <c r="D821" s="139" t="s">
        <v>1627</v>
      </c>
      <c r="E821" s="159">
        <v>39</v>
      </c>
      <c r="F821" s="159"/>
      <c r="G821" s="159"/>
      <c r="H821" s="160">
        <v>133.62</v>
      </c>
      <c r="I821" s="161">
        <f t="shared" si="19"/>
        <v>5211.18</v>
      </c>
      <c r="J821" s="135" t="s">
        <v>3762</v>
      </c>
      <c r="K821" s="135" t="s">
        <v>4121</v>
      </c>
      <c r="L821" s="134" t="s">
        <v>2098</v>
      </c>
    </row>
    <row r="822" spans="1:12" x14ac:dyDescent="0.2">
      <c r="A822" s="158" t="s">
        <v>4165</v>
      </c>
      <c r="B822" s="242"/>
      <c r="C822" s="135" t="s">
        <v>4166</v>
      </c>
      <c r="D822" s="139" t="s">
        <v>1627</v>
      </c>
      <c r="E822" s="159">
        <v>39</v>
      </c>
      <c r="F822" s="159"/>
      <c r="G822" s="159"/>
      <c r="H822" s="160">
        <v>428.22</v>
      </c>
      <c r="I822" s="161">
        <f t="shared" si="19"/>
        <v>16700.580000000002</v>
      </c>
      <c r="J822" s="135" t="s">
        <v>3762</v>
      </c>
      <c r="K822" s="135" t="s">
        <v>4121</v>
      </c>
      <c r="L822" s="134" t="s">
        <v>2172</v>
      </c>
    </row>
    <row r="823" spans="1:12" x14ac:dyDescent="0.2">
      <c r="A823" s="158" t="s">
        <v>4168</v>
      </c>
      <c r="B823" s="242"/>
      <c r="C823" s="135" t="s">
        <v>2177</v>
      </c>
      <c r="D823" s="139" t="s">
        <v>1627</v>
      </c>
      <c r="E823" s="159">
        <v>4</v>
      </c>
      <c r="F823" s="159"/>
      <c r="G823" s="159"/>
      <c r="H823" s="160">
        <v>2782.08</v>
      </c>
      <c r="I823" s="161">
        <f t="shared" si="19"/>
        <v>11128.32</v>
      </c>
      <c r="J823" s="135" t="s">
        <v>3762</v>
      </c>
      <c r="K823" s="135" t="s">
        <v>4121</v>
      </c>
      <c r="L823" s="134" t="s">
        <v>2176</v>
      </c>
    </row>
    <row r="824" spans="1:12" x14ac:dyDescent="0.2">
      <c r="A824" s="158" t="s">
        <v>4170</v>
      </c>
      <c r="B824" s="242"/>
      <c r="C824" s="135" t="s">
        <v>2189</v>
      </c>
      <c r="D824" s="139" t="s">
        <v>1361</v>
      </c>
      <c r="E824" s="159">
        <v>76.8</v>
      </c>
      <c r="F824" s="159"/>
      <c r="G824" s="159"/>
      <c r="H824" s="160">
        <v>10.41</v>
      </c>
      <c r="I824" s="161">
        <f t="shared" si="19"/>
        <v>799.48799999999994</v>
      </c>
      <c r="J824" s="135" t="s">
        <v>3762</v>
      </c>
      <c r="K824" s="135" t="s">
        <v>4121</v>
      </c>
      <c r="L824" s="134" t="s">
        <v>2188</v>
      </c>
    </row>
    <row r="825" spans="1:12" x14ac:dyDescent="0.2">
      <c r="A825" s="158" t="s">
        <v>4172</v>
      </c>
      <c r="B825" s="242"/>
      <c r="C825" s="135" t="s">
        <v>2193</v>
      </c>
      <c r="D825" s="139" t="s">
        <v>1361</v>
      </c>
      <c r="E825" s="159">
        <v>2208</v>
      </c>
      <c r="F825" s="159"/>
      <c r="G825" s="159"/>
      <c r="H825" s="160">
        <v>30.2</v>
      </c>
      <c r="I825" s="161">
        <f t="shared" si="19"/>
        <v>66681.599999999991</v>
      </c>
      <c r="J825" s="135" t="s">
        <v>3762</v>
      </c>
      <c r="K825" s="135" t="s">
        <v>4121</v>
      </c>
      <c r="L825" s="134" t="s">
        <v>2192</v>
      </c>
    </row>
    <row r="826" spans="1:12" x14ac:dyDescent="0.2">
      <c r="A826" s="158" t="s">
        <v>4174</v>
      </c>
      <c r="B826" s="242"/>
      <c r="C826" s="135" t="s">
        <v>4176</v>
      </c>
      <c r="D826" s="139" t="s">
        <v>1627</v>
      </c>
      <c r="E826" s="159">
        <v>20</v>
      </c>
      <c r="F826" s="159"/>
      <c r="G826" s="159"/>
      <c r="H826" s="160">
        <v>948.13</v>
      </c>
      <c r="I826" s="161">
        <f t="shared" si="19"/>
        <v>18962.599999999999</v>
      </c>
      <c r="J826" s="135" t="s">
        <v>3762</v>
      </c>
      <c r="K826" s="135" t="s">
        <v>4121</v>
      </c>
      <c r="L826" s="134" t="s">
        <v>4175</v>
      </c>
    </row>
    <row r="827" spans="1:12" x14ac:dyDescent="0.2">
      <c r="A827" s="158" t="s">
        <v>4178</v>
      </c>
      <c r="B827" s="242"/>
      <c r="C827" s="135" t="s">
        <v>4179</v>
      </c>
      <c r="D827" s="139" t="s">
        <v>1627</v>
      </c>
      <c r="E827" s="159">
        <v>2</v>
      </c>
      <c r="F827" s="159"/>
      <c r="G827" s="159"/>
      <c r="H827" s="160">
        <v>8320.34</v>
      </c>
      <c r="I827" s="161">
        <f t="shared" si="19"/>
        <v>16640.68</v>
      </c>
      <c r="J827" s="135" t="s">
        <v>3762</v>
      </c>
      <c r="K827" s="135" t="s">
        <v>4121</v>
      </c>
      <c r="L827" s="134" t="s">
        <v>2754</v>
      </c>
    </row>
    <row r="828" spans="1:12" x14ac:dyDescent="0.2">
      <c r="A828" s="158" t="s">
        <v>4181</v>
      </c>
      <c r="B828" s="242"/>
      <c r="C828" s="135" t="s">
        <v>4183</v>
      </c>
      <c r="D828" s="139" t="s">
        <v>1383</v>
      </c>
      <c r="E828" s="159">
        <v>18144</v>
      </c>
      <c r="F828" s="159"/>
      <c r="G828" s="159"/>
      <c r="H828" s="160">
        <v>67.180000000000007</v>
      </c>
      <c r="I828" s="161">
        <f t="shared" si="19"/>
        <v>1218913.9200000002</v>
      </c>
      <c r="J828" s="135" t="s">
        <v>3762</v>
      </c>
      <c r="K828" s="135" t="s">
        <v>4121</v>
      </c>
      <c r="L828" s="134" t="s">
        <v>4182</v>
      </c>
    </row>
    <row r="829" spans="1:12" x14ac:dyDescent="0.2">
      <c r="A829" s="158" t="s">
        <v>4185</v>
      </c>
      <c r="B829" s="242"/>
      <c r="C829" s="135" t="s">
        <v>2834</v>
      </c>
      <c r="D829" s="139" t="s">
        <v>1383</v>
      </c>
      <c r="E829" s="159">
        <v>35184</v>
      </c>
      <c r="F829" s="159"/>
      <c r="G829" s="159"/>
      <c r="H829" s="160">
        <v>240.45</v>
      </c>
      <c r="I829" s="161">
        <f t="shared" si="19"/>
        <v>8459992.7999999989</v>
      </c>
      <c r="J829" s="135" t="s">
        <v>3762</v>
      </c>
      <c r="K829" s="135" t="s">
        <v>4121</v>
      </c>
      <c r="L829" s="134" t="s">
        <v>2833</v>
      </c>
    </row>
    <row r="830" spans="1:12" x14ac:dyDescent="0.2">
      <c r="A830" s="158" t="s">
        <v>4187</v>
      </c>
      <c r="B830" s="242"/>
      <c r="C830" s="135" t="s">
        <v>4189</v>
      </c>
      <c r="D830" s="139" t="s">
        <v>1383</v>
      </c>
      <c r="E830" s="159">
        <v>250</v>
      </c>
      <c r="F830" s="159"/>
      <c r="G830" s="159"/>
      <c r="H830" s="160">
        <v>47.1</v>
      </c>
      <c r="I830" s="161">
        <f t="shared" si="19"/>
        <v>11775</v>
      </c>
      <c r="J830" s="135" t="s">
        <v>3762</v>
      </c>
      <c r="K830" s="135" t="s">
        <v>4121</v>
      </c>
      <c r="L830" s="134" t="s">
        <v>4188</v>
      </c>
    </row>
    <row r="831" spans="1:12" x14ac:dyDescent="0.2">
      <c r="A831" s="158" t="s">
        <v>4191</v>
      </c>
      <c r="B831" s="242"/>
      <c r="C831" s="135" t="s">
        <v>4193</v>
      </c>
      <c r="D831" s="139" t="s">
        <v>1383</v>
      </c>
      <c r="E831" s="159">
        <v>5100</v>
      </c>
      <c r="F831" s="159"/>
      <c r="G831" s="159"/>
      <c r="H831" s="160">
        <v>186.6</v>
      </c>
      <c r="I831" s="161">
        <f t="shared" si="19"/>
        <v>951660</v>
      </c>
      <c r="J831" s="135" t="s">
        <v>3762</v>
      </c>
      <c r="K831" s="135" t="s">
        <v>4121</v>
      </c>
      <c r="L831" s="134" t="s">
        <v>4192</v>
      </c>
    </row>
    <row r="832" spans="1:12" x14ac:dyDescent="0.2">
      <c r="A832" s="158" t="s">
        <v>4195</v>
      </c>
      <c r="B832" s="242"/>
      <c r="C832" s="135" t="s">
        <v>4197</v>
      </c>
      <c r="D832" s="139" t="s">
        <v>1383</v>
      </c>
      <c r="E832" s="159">
        <v>2576</v>
      </c>
      <c r="F832" s="159"/>
      <c r="G832" s="159"/>
      <c r="H832" s="160">
        <v>41.61</v>
      </c>
      <c r="I832" s="161">
        <f t="shared" si="19"/>
        <v>107187.36</v>
      </c>
      <c r="J832" s="135" t="s">
        <v>3762</v>
      </c>
      <c r="K832" s="135" t="s">
        <v>4121</v>
      </c>
      <c r="L832" s="134" t="s">
        <v>4196</v>
      </c>
    </row>
    <row r="833" spans="1:12" x14ac:dyDescent="0.2">
      <c r="A833" s="158" t="s">
        <v>4199</v>
      </c>
      <c r="B833" s="242"/>
      <c r="C833" s="135" t="s">
        <v>4201</v>
      </c>
      <c r="D833" s="139" t="s">
        <v>1383</v>
      </c>
      <c r="E833" s="159">
        <v>4600</v>
      </c>
      <c r="F833" s="159"/>
      <c r="G833" s="159"/>
      <c r="H833" s="160">
        <v>23.72</v>
      </c>
      <c r="I833" s="161">
        <f t="shared" si="19"/>
        <v>109112</v>
      </c>
      <c r="J833" s="135" t="s">
        <v>3762</v>
      </c>
      <c r="K833" s="135" t="s">
        <v>4121</v>
      </c>
      <c r="L833" s="134" t="s">
        <v>4200</v>
      </c>
    </row>
    <row r="834" spans="1:12" x14ac:dyDescent="0.2">
      <c r="A834" s="158" t="s">
        <v>4203</v>
      </c>
      <c r="B834" s="242"/>
      <c r="C834" s="135" t="s">
        <v>4205</v>
      </c>
      <c r="D834" s="139" t="s">
        <v>1383</v>
      </c>
      <c r="E834" s="159">
        <v>8160</v>
      </c>
      <c r="F834" s="159"/>
      <c r="G834" s="159"/>
      <c r="H834" s="160">
        <v>35.6</v>
      </c>
      <c r="I834" s="161">
        <f t="shared" si="19"/>
        <v>290496</v>
      </c>
      <c r="J834" s="135" t="s">
        <v>3762</v>
      </c>
      <c r="K834" s="135" t="s">
        <v>4121</v>
      </c>
      <c r="L834" s="134" t="s">
        <v>4204</v>
      </c>
    </row>
    <row r="835" spans="1:12" x14ac:dyDescent="0.2">
      <c r="A835" s="158" t="s">
        <v>4207</v>
      </c>
      <c r="B835" s="242"/>
      <c r="C835" s="135" t="s">
        <v>2706</v>
      </c>
      <c r="D835" s="139" t="s">
        <v>1361</v>
      </c>
      <c r="E835" s="159">
        <v>1840</v>
      </c>
      <c r="F835" s="159"/>
      <c r="G835" s="159"/>
      <c r="H835" s="160">
        <v>58.48</v>
      </c>
      <c r="I835" s="161">
        <f t="shared" si="19"/>
        <v>107603.2</v>
      </c>
      <c r="J835" s="135" t="s">
        <v>3762</v>
      </c>
      <c r="K835" s="135" t="s">
        <v>4121</v>
      </c>
      <c r="L835" s="134" t="s">
        <v>2705</v>
      </c>
    </row>
    <row r="836" spans="1:12" ht="13.5" thickBot="1" x14ac:dyDescent="0.25">
      <c r="A836" s="162" t="s">
        <v>4209</v>
      </c>
      <c r="B836" s="243"/>
      <c r="C836" s="142" t="s">
        <v>2710</v>
      </c>
      <c r="D836" s="143" t="s">
        <v>1361</v>
      </c>
      <c r="E836" s="163">
        <v>1840</v>
      </c>
      <c r="F836" s="163"/>
      <c r="G836" s="163"/>
      <c r="H836" s="164">
        <v>298.98</v>
      </c>
      <c r="I836" s="165">
        <f t="shared" si="19"/>
        <v>550123.20000000007</v>
      </c>
      <c r="J836" s="142" t="s">
        <v>3762</v>
      </c>
      <c r="K836" s="142" t="s">
        <v>4121</v>
      </c>
      <c r="L836" s="141" t="s">
        <v>2709</v>
      </c>
    </row>
    <row r="837" spans="1:12" ht="13.5" thickBot="1" x14ac:dyDescent="0.25">
      <c r="A837" s="200">
        <v>26</v>
      </c>
      <c r="B837" s="247"/>
      <c r="C837" s="201" t="str">
        <f>K837</f>
        <v xml:space="preserve"> SISTEMA DE VENTILAÇÃO  </v>
      </c>
      <c r="D837" s="202" t="s">
        <v>1528</v>
      </c>
      <c r="E837" s="203"/>
      <c r="F837" s="203"/>
      <c r="G837" s="203"/>
      <c r="H837" s="204"/>
      <c r="I837" s="205"/>
      <c r="J837" s="201" t="s">
        <v>3762</v>
      </c>
      <c r="K837" s="201" t="s">
        <v>4211</v>
      </c>
      <c r="L837" s="166" t="s">
        <v>3613</v>
      </c>
    </row>
    <row r="838" spans="1:12" x14ac:dyDescent="0.2">
      <c r="A838" s="154" t="s">
        <v>4213</v>
      </c>
      <c r="B838" s="241"/>
      <c r="C838" s="128" t="s">
        <v>4214</v>
      </c>
      <c r="D838" s="129" t="s">
        <v>1627</v>
      </c>
      <c r="E838" s="155">
        <v>38</v>
      </c>
      <c r="F838" s="155"/>
      <c r="G838" s="155"/>
      <c r="H838" s="156">
        <v>190350</v>
      </c>
      <c r="I838" s="157">
        <f t="shared" si="19"/>
        <v>7233300</v>
      </c>
      <c r="J838" s="128" t="s">
        <v>3762</v>
      </c>
      <c r="K838" s="128" t="s">
        <v>4211</v>
      </c>
      <c r="L838" s="127" t="s">
        <v>3613</v>
      </c>
    </row>
    <row r="839" spans="1:12" x14ac:dyDescent="0.2">
      <c r="A839" s="158" t="s">
        <v>4216</v>
      </c>
      <c r="B839" s="242"/>
      <c r="C839" s="135" t="s">
        <v>4217</v>
      </c>
      <c r="D839" s="139" t="s">
        <v>1627</v>
      </c>
      <c r="E839" s="159">
        <v>38</v>
      </c>
      <c r="F839" s="159"/>
      <c r="G839" s="159"/>
      <c r="H839" s="160">
        <v>17550</v>
      </c>
      <c r="I839" s="161">
        <f t="shared" si="19"/>
        <v>666900</v>
      </c>
      <c r="J839" s="135" t="s">
        <v>3762</v>
      </c>
      <c r="K839" s="135" t="s">
        <v>4211</v>
      </c>
      <c r="L839" s="134" t="s">
        <v>3613</v>
      </c>
    </row>
    <row r="840" spans="1:12" x14ac:dyDescent="0.2">
      <c r="A840" s="158" t="s">
        <v>4219</v>
      </c>
      <c r="B840" s="242"/>
      <c r="C840" s="135" t="s">
        <v>4220</v>
      </c>
      <c r="D840" s="139" t="s">
        <v>1627</v>
      </c>
      <c r="E840" s="159">
        <v>2</v>
      </c>
      <c r="F840" s="159"/>
      <c r="G840" s="159"/>
      <c r="H840" s="160">
        <v>978687.36</v>
      </c>
      <c r="I840" s="161">
        <f t="shared" si="19"/>
        <v>1957374.72</v>
      </c>
      <c r="J840" s="135" t="s">
        <v>3762</v>
      </c>
      <c r="K840" s="135" t="s">
        <v>4211</v>
      </c>
      <c r="L840" s="134" t="s">
        <v>3613</v>
      </c>
    </row>
    <row r="841" spans="1:12" x14ac:dyDescent="0.2">
      <c r="A841" s="158" t="s">
        <v>4222</v>
      </c>
      <c r="B841" s="242"/>
      <c r="C841" s="135" t="s">
        <v>4223</v>
      </c>
      <c r="D841" s="139" t="s">
        <v>1627</v>
      </c>
      <c r="E841" s="159">
        <v>2</v>
      </c>
      <c r="F841" s="159"/>
      <c r="G841" s="159"/>
      <c r="H841" s="160">
        <v>103950</v>
      </c>
      <c r="I841" s="161">
        <f t="shared" si="19"/>
        <v>207900</v>
      </c>
      <c r="J841" s="135" t="s">
        <v>3762</v>
      </c>
      <c r="K841" s="135" t="s">
        <v>4211</v>
      </c>
      <c r="L841" s="134" t="s">
        <v>3613</v>
      </c>
    </row>
    <row r="842" spans="1:12" ht="13.5" thickBot="1" x14ac:dyDescent="0.25">
      <c r="A842" s="162" t="s">
        <v>4225</v>
      </c>
      <c r="B842" s="243"/>
      <c r="C842" s="142" t="s">
        <v>4226</v>
      </c>
      <c r="D842" s="143" t="s">
        <v>1627</v>
      </c>
      <c r="E842" s="163">
        <v>200</v>
      </c>
      <c r="F842" s="163"/>
      <c r="G842" s="163"/>
      <c r="H842" s="164">
        <v>607.91</v>
      </c>
      <c r="I842" s="165">
        <f t="shared" si="19"/>
        <v>121582</v>
      </c>
      <c r="J842" s="142" t="s">
        <v>3762</v>
      </c>
      <c r="K842" s="142" t="s">
        <v>4211</v>
      </c>
      <c r="L842" s="141" t="s">
        <v>3613</v>
      </c>
    </row>
    <row r="843" spans="1:12" ht="13.5" thickBot="1" x14ac:dyDescent="0.25">
      <c r="A843" s="200">
        <v>27</v>
      </c>
      <c r="B843" s="247"/>
      <c r="C843" s="201" t="str">
        <f>K843</f>
        <v xml:space="preserve"> ELÉTRICA / ILUMINAÇÃO (INFRA-ESTRUTURA)  </v>
      </c>
      <c r="D843" s="202" t="s">
        <v>1528</v>
      </c>
      <c r="E843" s="203"/>
      <c r="F843" s="203"/>
      <c r="G843" s="203"/>
      <c r="H843" s="204"/>
      <c r="I843" s="205"/>
      <c r="J843" s="201" t="s">
        <v>3762</v>
      </c>
      <c r="K843" s="201" t="s">
        <v>2843</v>
      </c>
      <c r="L843" s="166" t="s">
        <v>3613</v>
      </c>
    </row>
    <row r="844" spans="1:12" x14ac:dyDescent="0.2">
      <c r="A844" s="154" t="s">
        <v>4229</v>
      </c>
      <c r="B844" s="241"/>
      <c r="C844" s="128" t="s">
        <v>4230</v>
      </c>
      <c r="D844" s="129" t="s">
        <v>1361</v>
      </c>
      <c r="E844" s="155">
        <v>6000</v>
      </c>
      <c r="F844" s="155"/>
      <c r="G844" s="155"/>
      <c r="H844" s="156">
        <v>47.05</v>
      </c>
      <c r="I844" s="157">
        <f t="shared" si="19"/>
        <v>282300</v>
      </c>
      <c r="J844" s="128" t="s">
        <v>3762</v>
      </c>
      <c r="K844" s="128" t="s">
        <v>2843</v>
      </c>
      <c r="L844" s="127" t="s">
        <v>2936</v>
      </c>
    </row>
    <row r="845" spans="1:12" x14ac:dyDescent="0.2">
      <c r="A845" s="158" t="s">
        <v>4232</v>
      </c>
      <c r="B845" s="242"/>
      <c r="C845" s="135" t="s">
        <v>4233</v>
      </c>
      <c r="D845" s="139" t="s">
        <v>1361</v>
      </c>
      <c r="E845" s="159">
        <v>1040</v>
      </c>
      <c r="F845" s="159"/>
      <c r="G845" s="159"/>
      <c r="H845" s="160">
        <v>31.75</v>
      </c>
      <c r="I845" s="161">
        <f t="shared" si="19"/>
        <v>33020</v>
      </c>
      <c r="J845" s="135" t="s">
        <v>3762</v>
      </c>
      <c r="K845" s="135" t="s">
        <v>2843</v>
      </c>
      <c r="L845" s="134">
        <v>39260102</v>
      </c>
    </row>
    <row r="846" spans="1:12" x14ac:dyDescent="0.2">
      <c r="A846" s="158" t="s">
        <v>4235</v>
      </c>
      <c r="B846" s="242"/>
      <c r="C846" s="135" t="s">
        <v>4236</v>
      </c>
      <c r="D846" s="139" t="s">
        <v>1361</v>
      </c>
      <c r="E846" s="159">
        <v>7800</v>
      </c>
      <c r="F846" s="159"/>
      <c r="G846" s="159"/>
      <c r="H846" s="160">
        <v>15.88</v>
      </c>
      <c r="I846" s="161">
        <f t="shared" si="19"/>
        <v>123864</v>
      </c>
      <c r="J846" s="135" t="s">
        <v>3762</v>
      </c>
      <c r="K846" s="135" t="s">
        <v>2843</v>
      </c>
      <c r="L846" s="134">
        <v>39260101</v>
      </c>
    </row>
    <row r="847" spans="1:12" x14ac:dyDescent="0.2">
      <c r="A847" s="158" t="s">
        <v>4238</v>
      </c>
      <c r="B847" s="242"/>
      <c r="C847" s="135" t="s">
        <v>3710</v>
      </c>
      <c r="D847" s="139" t="s">
        <v>1361</v>
      </c>
      <c r="E847" s="159">
        <v>115200</v>
      </c>
      <c r="F847" s="159"/>
      <c r="G847" s="159"/>
      <c r="H847" s="160">
        <v>23.95</v>
      </c>
      <c r="I847" s="161">
        <f t="shared" si="19"/>
        <v>2759040</v>
      </c>
      <c r="J847" s="135" t="s">
        <v>3762</v>
      </c>
      <c r="K847" s="135" t="s">
        <v>2843</v>
      </c>
      <c r="L847" s="134">
        <v>392608</v>
      </c>
    </row>
    <row r="848" spans="1:12" x14ac:dyDescent="0.2">
      <c r="A848" s="158" t="s">
        <v>4240</v>
      </c>
      <c r="B848" s="242"/>
      <c r="C848" s="135" t="s">
        <v>4241</v>
      </c>
      <c r="D848" s="139" t="s">
        <v>1361</v>
      </c>
      <c r="E848" s="159">
        <v>7800</v>
      </c>
      <c r="F848" s="159"/>
      <c r="G848" s="159"/>
      <c r="H848" s="160">
        <v>12.69</v>
      </c>
      <c r="I848" s="161">
        <f t="shared" si="19"/>
        <v>98982</v>
      </c>
      <c r="J848" s="135" t="s">
        <v>3762</v>
      </c>
      <c r="K848" s="135" t="s">
        <v>2843</v>
      </c>
      <c r="L848" s="134">
        <v>392606</v>
      </c>
    </row>
    <row r="849" spans="1:12" x14ac:dyDescent="0.2">
      <c r="A849" s="158" t="s">
        <v>4243</v>
      </c>
      <c r="B849" s="242"/>
      <c r="C849" s="135" t="s">
        <v>4244</v>
      </c>
      <c r="D849" s="139" t="s">
        <v>1361</v>
      </c>
      <c r="E849" s="159">
        <v>1500</v>
      </c>
      <c r="F849" s="159"/>
      <c r="G849" s="159"/>
      <c r="H849" s="160">
        <v>37.6</v>
      </c>
      <c r="I849" s="161">
        <f t="shared" si="19"/>
        <v>56400</v>
      </c>
      <c r="J849" s="135" t="s">
        <v>3762</v>
      </c>
      <c r="K849" s="135" t="s">
        <v>2843</v>
      </c>
      <c r="L849" s="134">
        <v>39882608</v>
      </c>
    </row>
    <row r="850" spans="1:12" x14ac:dyDescent="0.2">
      <c r="A850" s="158" t="s">
        <v>4246</v>
      </c>
      <c r="B850" s="242"/>
      <c r="C850" s="135" t="s">
        <v>4247</v>
      </c>
      <c r="D850" s="139" t="s">
        <v>1361</v>
      </c>
      <c r="E850" s="159">
        <v>9600</v>
      </c>
      <c r="F850" s="159"/>
      <c r="G850" s="159"/>
      <c r="H850" s="160">
        <v>5.0599999999999996</v>
      </c>
      <c r="I850" s="161">
        <f t="shared" si="19"/>
        <v>48575.999999999993</v>
      </c>
      <c r="J850" s="135" t="s">
        <v>3762</v>
      </c>
      <c r="K850" s="135" t="s">
        <v>2843</v>
      </c>
      <c r="L850" s="134">
        <v>392603</v>
      </c>
    </row>
    <row r="851" spans="1:12" x14ac:dyDescent="0.2">
      <c r="A851" s="158" t="s">
        <v>4249</v>
      </c>
      <c r="B851" s="242"/>
      <c r="C851" s="135" t="s">
        <v>4250</v>
      </c>
      <c r="D851" s="139" t="s">
        <v>1361</v>
      </c>
      <c r="E851" s="159">
        <v>180000</v>
      </c>
      <c r="F851" s="159"/>
      <c r="G851" s="159"/>
      <c r="H851" s="160">
        <v>60.25</v>
      </c>
      <c r="I851" s="161">
        <f t="shared" si="19"/>
        <v>10845000</v>
      </c>
      <c r="J851" s="135" t="s">
        <v>3762</v>
      </c>
      <c r="K851" s="135" t="s">
        <v>2843</v>
      </c>
      <c r="L851" s="134">
        <v>392611</v>
      </c>
    </row>
    <row r="852" spans="1:12" x14ac:dyDescent="0.2">
      <c r="A852" s="158" t="s">
        <v>4252</v>
      </c>
      <c r="B852" s="242"/>
      <c r="C852" s="135" t="s">
        <v>4254</v>
      </c>
      <c r="D852" s="139" t="s">
        <v>1361</v>
      </c>
      <c r="E852" s="159">
        <v>7200</v>
      </c>
      <c r="F852" s="159"/>
      <c r="G852" s="159"/>
      <c r="H852" s="160">
        <v>200.08</v>
      </c>
      <c r="I852" s="161">
        <f t="shared" si="19"/>
        <v>1440576</v>
      </c>
      <c r="J852" s="135" t="s">
        <v>3762</v>
      </c>
      <c r="K852" s="135" t="s">
        <v>2843</v>
      </c>
      <c r="L852" s="134" t="s">
        <v>4253</v>
      </c>
    </row>
    <row r="853" spans="1:12" x14ac:dyDescent="0.2">
      <c r="A853" s="158" t="s">
        <v>4256</v>
      </c>
      <c r="B853" s="242"/>
      <c r="C853" s="135" t="s">
        <v>4257</v>
      </c>
      <c r="D853" s="139" t="s">
        <v>1361</v>
      </c>
      <c r="E853" s="159">
        <v>7200</v>
      </c>
      <c r="F853" s="159"/>
      <c r="G853" s="159"/>
      <c r="H853" s="160">
        <v>200.08</v>
      </c>
      <c r="I853" s="161">
        <f t="shared" si="19"/>
        <v>1440576</v>
      </c>
      <c r="J853" s="135" t="s">
        <v>3762</v>
      </c>
      <c r="K853" s="135" t="s">
        <v>2843</v>
      </c>
      <c r="L853" s="134" t="s">
        <v>3064</v>
      </c>
    </row>
    <row r="854" spans="1:12" x14ac:dyDescent="0.2">
      <c r="A854" s="158" t="s">
        <v>4259</v>
      </c>
      <c r="B854" s="242"/>
      <c r="C854" s="135" t="s">
        <v>4260</v>
      </c>
      <c r="D854" s="139" t="s">
        <v>1361</v>
      </c>
      <c r="E854" s="159">
        <v>7200</v>
      </c>
      <c r="F854" s="159"/>
      <c r="G854" s="159"/>
      <c r="H854" s="160">
        <v>50.29</v>
      </c>
      <c r="I854" s="161">
        <f t="shared" si="19"/>
        <v>362088</v>
      </c>
      <c r="J854" s="135" t="s">
        <v>3762</v>
      </c>
      <c r="K854" s="135" t="s">
        <v>2843</v>
      </c>
      <c r="L854" s="134">
        <v>380608</v>
      </c>
    </row>
    <row r="855" spans="1:12" x14ac:dyDescent="0.2">
      <c r="A855" s="158" t="s">
        <v>4262</v>
      </c>
      <c r="B855" s="242"/>
      <c r="C855" s="135" t="s">
        <v>4263</v>
      </c>
      <c r="D855" s="139" t="s">
        <v>1361</v>
      </c>
      <c r="E855" s="159">
        <v>12000</v>
      </c>
      <c r="F855" s="159"/>
      <c r="G855" s="159"/>
      <c r="H855" s="160">
        <v>69.09</v>
      </c>
      <c r="I855" s="161">
        <f t="shared" si="19"/>
        <v>829080</v>
      </c>
      <c r="J855" s="135" t="s">
        <v>3762</v>
      </c>
      <c r="K855" s="135" t="s">
        <v>2843</v>
      </c>
      <c r="L855" s="134">
        <v>380612</v>
      </c>
    </row>
    <row r="856" spans="1:12" x14ac:dyDescent="0.2">
      <c r="A856" s="158" t="s">
        <v>4265</v>
      </c>
      <c r="B856" s="242"/>
      <c r="C856" s="135" t="s">
        <v>4266</v>
      </c>
      <c r="D856" s="139" t="s">
        <v>1361</v>
      </c>
      <c r="E856" s="159">
        <v>4800</v>
      </c>
      <c r="F856" s="159"/>
      <c r="G856" s="159"/>
      <c r="H856" s="160">
        <v>33.22</v>
      </c>
      <c r="I856" s="161">
        <f t="shared" si="19"/>
        <v>159456</v>
      </c>
      <c r="J856" s="135" t="s">
        <v>3762</v>
      </c>
      <c r="K856" s="135" t="s">
        <v>2843</v>
      </c>
      <c r="L856" s="134">
        <v>380604</v>
      </c>
    </row>
    <row r="857" spans="1:12" x14ac:dyDescent="0.2">
      <c r="A857" s="158" t="s">
        <v>4268</v>
      </c>
      <c r="B857" s="242"/>
      <c r="C857" s="135" t="s">
        <v>4269</v>
      </c>
      <c r="D857" s="139" t="s">
        <v>2764</v>
      </c>
      <c r="E857" s="159">
        <v>50</v>
      </c>
      <c r="F857" s="159"/>
      <c r="G857" s="159"/>
      <c r="H857" s="160">
        <v>103.64</v>
      </c>
      <c r="I857" s="161">
        <f t="shared" si="19"/>
        <v>5182</v>
      </c>
      <c r="J857" s="135" t="s">
        <v>3762</v>
      </c>
      <c r="K857" s="135" t="s">
        <v>2843</v>
      </c>
      <c r="L857" s="134">
        <v>38880612</v>
      </c>
    </row>
    <row r="858" spans="1:12" x14ac:dyDescent="0.2">
      <c r="A858" s="158" t="s">
        <v>4271</v>
      </c>
      <c r="B858" s="242"/>
      <c r="C858" s="135" t="s">
        <v>4272</v>
      </c>
      <c r="D858" s="139" t="s">
        <v>2764</v>
      </c>
      <c r="E858" s="159">
        <v>50</v>
      </c>
      <c r="F858" s="159"/>
      <c r="G858" s="159"/>
      <c r="H858" s="160">
        <v>49.84</v>
      </c>
      <c r="I858" s="161">
        <f t="shared" si="19"/>
        <v>2492</v>
      </c>
      <c r="J858" s="135" t="s">
        <v>3762</v>
      </c>
      <c r="K858" s="135" t="s">
        <v>2843</v>
      </c>
      <c r="L858" s="134">
        <v>38880604</v>
      </c>
    </row>
    <row r="859" spans="1:12" x14ac:dyDescent="0.2">
      <c r="A859" s="158" t="s">
        <v>4274</v>
      </c>
      <c r="B859" s="242"/>
      <c r="C859" s="135" t="s">
        <v>3154</v>
      </c>
      <c r="D859" s="139" t="s">
        <v>2983</v>
      </c>
      <c r="E859" s="159">
        <v>720</v>
      </c>
      <c r="F859" s="159"/>
      <c r="G859" s="159"/>
      <c r="H859" s="160">
        <v>209.6</v>
      </c>
      <c r="I859" s="161">
        <f t="shared" si="19"/>
        <v>150912</v>
      </c>
      <c r="J859" s="135" t="s">
        <v>3762</v>
      </c>
      <c r="K859" s="135" t="s">
        <v>2843</v>
      </c>
      <c r="L859" s="134" t="s">
        <v>3153</v>
      </c>
    </row>
    <row r="860" spans="1:12" x14ac:dyDescent="0.2">
      <c r="A860" s="158" t="s">
        <v>4276</v>
      </c>
      <c r="B860" s="242"/>
      <c r="C860" s="135" t="s">
        <v>3167</v>
      </c>
      <c r="D860" s="139" t="s">
        <v>2983</v>
      </c>
      <c r="E860" s="159">
        <v>480</v>
      </c>
      <c r="F860" s="159"/>
      <c r="G860" s="159"/>
      <c r="H860" s="160">
        <v>8026.43</v>
      </c>
      <c r="I860" s="161">
        <f t="shared" si="19"/>
        <v>3852686.4000000004</v>
      </c>
      <c r="J860" s="135" t="s">
        <v>3762</v>
      </c>
      <c r="K860" s="135" t="s">
        <v>2843</v>
      </c>
      <c r="L860" s="134" t="s">
        <v>3613</v>
      </c>
    </row>
    <row r="861" spans="1:12" x14ac:dyDescent="0.2">
      <c r="A861" s="158" t="s">
        <v>4278</v>
      </c>
      <c r="B861" s="242"/>
      <c r="C861" s="135" t="s">
        <v>3171</v>
      </c>
      <c r="D861" s="139" t="s">
        <v>2983</v>
      </c>
      <c r="E861" s="159">
        <v>800</v>
      </c>
      <c r="F861" s="159"/>
      <c r="G861" s="159"/>
      <c r="H861" s="160">
        <v>215.16</v>
      </c>
      <c r="I861" s="161">
        <f t="shared" si="19"/>
        <v>172128</v>
      </c>
      <c r="J861" s="135" t="s">
        <v>3762</v>
      </c>
      <c r="K861" s="135" t="s">
        <v>2843</v>
      </c>
      <c r="L861" s="134" t="s">
        <v>3170</v>
      </c>
    </row>
    <row r="862" spans="1:12" ht="13.5" thickBot="1" x14ac:dyDescent="0.25">
      <c r="A862" s="162" t="s">
        <v>4280</v>
      </c>
      <c r="B862" s="243"/>
      <c r="C862" s="142" t="s">
        <v>4281</v>
      </c>
      <c r="D862" s="143" t="s">
        <v>1361</v>
      </c>
      <c r="E862" s="163">
        <v>2400</v>
      </c>
      <c r="F862" s="163"/>
      <c r="G862" s="163"/>
      <c r="H862" s="164">
        <v>612.54</v>
      </c>
      <c r="I862" s="165">
        <f t="shared" si="19"/>
        <v>1470096</v>
      </c>
      <c r="J862" s="142" t="s">
        <v>3762</v>
      </c>
      <c r="K862" s="142" t="s">
        <v>2843</v>
      </c>
      <c r="L862" s="141" t="s">
        <v>3613</v>
      </c>
    </row>
    <row r="863" spans="1:12" ht="13.5" thickBot="1" x14ac:dyDescent="0.25">
      <c r="A863" s="200">
        <v>28</v>
      </c>
      <c r="B863" s="247"/>
      <c r="C863" s="201" t="str">
        <f>K863</f>
        <v xml:space="preserve"> INTERFERÊNCIA  </v>
      </c>
      <c r="D863" s="202" t="s">
        <v>1528</v>
      </c>
      <c r="E863" s="203"/>
      <c r="F863" s="203"/>
      <c r="G863" s="203"/>
      <c r="H863" s="204"/>
      <c r="I863" s="205"/>
      <c r="J863" s="201" t="s">
        <v>3762</v>
      </c>
      <c r="K863" s="201" t="s">
        <v>4283</v>
      </c>
      <c r="L863" s="166" t="s">
        <v>3613</v>
      </c>
    </row>
    <row r="864" spans="1:12" x14ac:dyDescent="0.2">
      <c r="A864" s="186" t="s">
        <v>4285</v>
      </c>
      <c r="B864" s="244"/>
      <c r="C864" s="188" t="str">
        <f>K864</f>
        <v xml:space="preserve"> INTERFERÊNCIA   INFRAESTRUTURA PARA LT -Linha de Transmissão 44 kV-2,600m  </v>
      </c>
      <c r="D864" s="129" t="s">
        <v>3613</v>
      </c>
      <c r="E864" s="155" t="s">
        <v>3613</v>
      </c>
      <c r="F864" s="155"/>
      <c r="G864" s="155"/>
      <c r="H864" s="156" t="s">
        <v>3613</v>
      </c>
      <c r="I864" s="157"/>
      <c r="J864" s="188" t="s">
        <v>3762</v>
      </c>
      <c r="K864" s="188" t="s">
        <v>4286</v>
      </c>
      <c r="L864" s="187" t="s">
        <v>3613</v>
      </c>
    </row>
    <row r="865" spans="1:12" ht="13.5" thickBot="1" x14ac:dyDescent="0.25">
      <c r="A865" s="192" t="s">
        <v>4288</v>
      </c>
      <c r="B865" s="246"/>
      <c r="C865" s="194" t="s">
        <v>3684</v>
      </c>
      <c r="D865" s="195" t="s">
        <v>1627</v>
      </c>
      <c r="E865" s="196">
        <v>19200</v>
      </c>
      <c r="F865" s="196"/>
      <c r="G865" s="196"/>
      <c r="H865" s="197">
        <v>70.34</v>
      </c>
      <c r="I865" s="198">
        <f t="shared" si="19"/>
        <v>1350528</v>
      </c>
      <c r="J865" s="194" t="s">
        <v>3762</v>
      </c>
      <c r="K865" s="194" t="s">
        <v>4286</v>
      </c>
      <c r="L865" s="193" t="s">
        <v>3683</v>
      </c>
    </row>
    <row r="866" spans="1:12" ht="13.5" thickBot="1" x14ac:dyDescent="0.25">
      <c r="A866" s="277"/>
      <c r="B866" s="277"/>
      <c r="C866" s="278"/>
      <c r="D866" s="279"/>
      <c r="E866" s="260"/>
      <c r="F866" s="280"/>
      <c r="G866" s="280"/>
      <c r="H866" s="281"/>
      <c r="I866" s="281"/>
      <c r="J866" s="258"/>
      <c r="K866" s="278"/>
      <c r="L866" s="282"/>
    </row>
    <row r="867" spans="1:12" ht="13.5" thickBot="1" x14ac:dyDescent="0.25">
      <c r="A867" s="283"/>
      <c r="B867" s="284"/>
      <c r="C867" s="285" t="s">
        <v>4290</v>
      </c>
      <c r="D867" s="286" t="s">
        <v>1528</v>
      </c>
      <c r="E867" s="287"/>
      <c r="F867" s="287"/>
      <c r="G867" s="273"/>
      <c r="H867" s="274"/>
      <c r="I867" s="275"/>
      <c r="J867" s="272"/>
      <c r="K867" s="272"/>
      <c r="L867" s="276"/>
    </row>
    <row r="868" spans="1:12" ht="13.5" thickBot="1" x14ac:dyDescent="0.25">
      <c r="A868" s="283" t="s">
        <v>1469</v>
      </c>
      <c r="B868" s="284"/>
      <c r="C868" s="285" t="str">
        <f>K868</f>
        <v xml:space="preserve"> OBRAS DE CONTENÇÃO GEOTÉCNICA  </v>
      </c>
      <c r="D868" s="286" t="s">
        <v>1528</v>
      </c>
      <c r="E868" s="287"/>
      <c r="F868" s="287"/>
      <c r="G868" s="287"/>
      <c r="H868" s="288"/>
      <c r="I868" s="289"/>
      <c r="J868" s="285" t="s">
        <v>4290</v>
      </c>
      <c r="K868" s="285" t="s">
        <v>1665</v>
      </c>
      <c r="L868" s="166">
        <v>25</v>
      </c>
    </row>
    <row r="869" spans="1:12" x14ac:dyDescent="0.2">
      <c r="A869" s="154" t="s">
        <v>4292</v>
      </c>
      <c r="B869" s="241"/>
      <c r="C869" s="128" t="s">
        <v>1669</v>
      </c>
      <c r="D869" s="129" t="s">
        <v>1374</v>
      </c>
      <c r="E869" s="155">
        <v>604</v>
      </c>
      <c r="F869" s="155"/>
      <c r="G869" s="155"/>
      <c r="H869" s="156">
        <v>294.37</v>
      </c>
      <c r="I869" s="157">
        <f t="shared" si="19"/>
        <v>177799.48</v>
      </c>
      <c r="J869" s="169" t="s">
        <v>4290</v>
      </c>
      <c r="K869" s="128" t="s">
        <v>1665</v>
      </c>
      <c r="L869" s="127" t="s">
        <v>4293</v>
      </c>
    </row>
    <row r="870" spans="1:12" x14ac:dyDescent="0.2">
      <c r="A870" s="158" t="s">
        <v>4295</v>
      </c>
      <c r="B870" s="242"/>
      <c r="C870" s="135" t="s">
        <v>1399</v>
      </c>
      <c r="D870" s="139" t="s">
        <v>1400</v>
      </c>
      <c r="E870" s="159">
        <v>28992</v>
      </c>
      <c r="F870" s="159"/>
      <c r="G870" s="159"/>
      <c r="H870" s="160">
        <v>1.24</v>
      </c>
      <c r="I870" s="161">
        <f t="shared" si="19"/>
        <v>35950.080000000002</v>
      </c>
      <c r="J870" s="174" t="s">
        <v>4290</v>
      </c>
      <c r="K870" s="135" t="s">
        <v>1665</v>
      </c>
      <c r="L870" s="134" t="s">
        <v>4296</v>
      </c>
    </row>
    <row r="871" spans="1:12" x14ac:dyDescent="0.2">
      <c r="A871" s="158" t="s">
        <v>4298</v>
      </c>
      <c r="B871" s="242"/>
      <c r="C871" s="135" t="s">
        <v>1413</v>
      </c>
      <c r="D871" s="139" t="s">
        <v>1409</v>
      </c>
      <c r="E871" s="159">
        <v>966.4</v>
      </c>
      <c r="F871" s="159"/>
      <c r="G871" s="159"/>
      <c r="H871" s="160">
        <v>67.5</v>
      </c>
      <c r="I871" s="161">
        <f t="shared" si="19"/>
        <v>65232</v>
      </c>
      <c r="J871" s="174" t="s">
        <v>4290</v>
      </c>
      <c r="K871" s="135" t="s">
        <v>1665</v>
      </c>
      <c r="L871" s="134" t="s">
        <v>4299</v>
      </c>
    </row>
    <row r="872" spans="1:12" x14ac:dyDescent="0.2">
      <c r="A872" s="158" t="s">
        <v>4301</v>
      </c>
      <c r="B872" s="242"/>
      <c r="C872" s="135" t="s">
        <v>1428</v>
      </c>
      <c r="D872" s="139" t="s">
        <v>1374</v>
      </c>
      <c r="E872" s="159">
        <v>114240</v>
      </c>
      <c r="F872" s="159"/>
      <c r="G872" s="159"/>
      <c r="H872" s="160">
        <v>4.9000000000000004</v>
      </c>
      <c r="I872" s="161">
        <f t="shared" si="19"/>
        <v>559776</v>
      </c>
      <c r="J872" s="174" t="s">
        <v>4290</v>
      </c>
      <c r="K872" s="135" t="s">
        <v>1665</v>
      </c>
      <c r="L872" s="134" t="s">
        <v>4302</v>
      </c>
    </row>
    <row r="873" spans="1:12" x14ac:dyDescent="0.2">
      <c r="A873" s="158" t="s">
        <v>4304</v>
      </c>
      <c r="B873" s="242"/>
      <c r="C873" s="135" t="s">
        <v>1675</v>
      </c>
      <c r="D873" s="139" t="s">
        <v>1374</v>
      </c>
      <c r="E873" s="159">
        <v>246330</v>
      </c>
      <c r="F873" s="159"/>
      <c r="G873" s="159"/>
      <c r="H873" s="160">
        <v>10.66</v>
      </c>
      <c r="I873" s="161">
        <f t="shared" si="19"/>
        <v>2625877.7999999998</v>
      </c>
      <c r="J873" s="174" t="s">
        <v>4290</v>
      </c>
      <c r="K873" s="135" t="s">
        <v>1665</v>
      </c>
      <c r="L873" s="134" t="s">
        <v>4305</v>
      </c>
    </row>
    <row r="874" spans="1:12" x14ac:dyDescent="0.2">
      <c r="A874" s="158" t="s">
        <v>4307</v>
      </c>
      <c r="B874" s="242"/>
      <c r="C874" s="135" t="s">
        <v>1482</v>
      </c>
      <c r="D874" s="139" t="s">
        <v>1374</v>
      </c>
      <c r="E874" s="159">
        <v>619290</v>
      </c>
      <c r="F874" s="159"/>
      <c r="G874" s="159"/>
      <c r="H874" s="160">
        <v>2.21</v>
      </c>
      <c r="I874" s="161">
        <f t="shared" si="19"/>
        <v>1368630.9</v>
      </c>
      <c r="J874" s="174" t="s">
        <v>4290</v>
      </c>
      <c r="K874" s="135" t="s">
        <v>1665</v>
      </c>
      <c r="L874" s="134" t="s">
        <v>4308</v>
      </c>
    </row>
    <row r="875" spans="1:12" x14ac:dyDescent="0.2">
      <c r="A875" s="158" t="s">
        <v>4310</v>
      </c>
      <c r="B875" s="242"/>
      <c r="C875" s="135" t="s">
        <v>1683</v>
      </c>
      <c r="D875" s="139" t="s">
        <v>1418</v>
      </c>
      <c r="E875" s="159">
        <v>7308000</v>
      </c>
      <c r="F875" s="159"/>
      <c r="G875" s="159"/>
      <c r="H875" s="160">
        <v>0.99</v>
      </c>
      <c r="I875" s="161">
        <f t="shared" si="19"/>
        <v>7234920</v>
      </c>
      <c r="J875" s="174" t="s">
        <v>4290</v>
      </c>
      <c r="K875" s="135" t="s">
        <v>1665</v>
      </c>
      <c r="L875" s="134" t="s">
        <v>4311</v>
      </c>
    </row>
    <row r="876" spans="1:12" x14ac:dyDescent="0.2">
      <c r="A876" s="158" t="s">
        <v>4313</v>
      </c>
      <c r="B876" s="242"/>
      <c r="C876" s="135" t="s">
        <v>1687</v>
      </c>
      <c r="D876" s="139" t="s">
        <v>1418</v>
      </c>
      <c r="E876" s="159">
        <v>4026930</v>
      </c>
      <c r="F876" s="159"/>
      <c r="G876" s="159"/>
      <c r="H876" s="160">
        <v>2.41</v>
      </c>
      <c r="I876" s="161">
        <f t="shared" si="19"/>
        <v>9704901.3000000007</v>
      </c>
      <c r="J876" s="174" t="s">
        <v>4290</v>
      </c>
      <c r="K876" s="135" t="s">
        <v>1665</v>
      </c>
      <c r="L876" s="134" t="s">
        <v>4314</v>
      </c>
    </row>
    <row r="877" spans="1:12" x14ac:dyDescent="0.2">
      <c r="A877" s="158" t="s">
        <v>4316</v>
      </c>
      <c r="B877" s="242"/>
      <c r="C877" s="135" t="s">
        <v>1693</v>
      </c>
      <c r="D877" s="139" t="s">
        <v>1374</v>
      </c>
      <c r="E877" s="159">
        <v>46620</v>
      </c>
      <c r="F877" s="159"/>
      <c r="G877" s="159"/>
      <c r="H877" s="160">
        <v>101.3</v>
      </c>
      <c r="I877" s="161">
        <f t="shared" si="19"/>
        <v>4722606</v>
      </c>
      <c r="J877" s="174" t="s">
        <v>4290</v>
      </c>
      <c r="K877" s="135" t="s">
        <v>1665</v>
      </c>
      <c r="L877" s="134" t="s">
        <v>4317</v>
      </c>
    </row>
    <row r="878" spans="1:12" x14ac:dyDescent="0.2">
      <c r="A878" s="158" t="s">
        <v>4319</v>
      </c>
      <c r="B878" s="242"/>
      <c r="C878" s="135" t="s">
        <v>1701</v>
      </c>
      <c r="D878" s="139" t="s">
        <v>1374</v>
      </c>
      <c r="E878" s="159">
        <v>1568</v>
      </c>
      <c r="F878" s="159"/>
      <c r="G878" s="159"/>
      <c r="H878" s="160">
        <v>131.19</v>
      </c>
      <c r="I878" s="161">
        <f t="shared" si="19"/>
        <v>205705.91999999998</v>
      </c>
      <c r="J878" s="174" t="s">
        <v>4290</v>
      </c>
      <c r="K878" s="135" t="s">
        <v>1665</v>
      </c>
      <c r="L878" s="134" t="s">
        <v>4320</v>
      </c>
    </row>
    <row r="879" spans="1:12" x14ac:dyDescent="0.2">
      <c r="A879" s="158" t="s">
        <v>4322</v>
      </c>
      <c r="B879" s="242"/>
      <c r="C879" s="135" t="s">
        <v>1705</v>
      </c>
      <c r="D879" s="139" t="s">
        <v>1383</v>
      </c>
      <c r="E879" s="159">
        <v>23310</v>
      </c>
      <c r="F879" s="159"/>
      <c r="G879" s="159"/>
      <c r="H879" s="160">
        <v>16.95</v>
      </c>
      <c r="I879" s="161">
        <f t="shared" si="19"/>
        <v>395104.5</v>
      </c>
      <c r="J879" s="174" t="s">
        <v>4290</v>
      </c>
      <c r="K879" s="135" t="s">
        <v>1665</v>
      </c>
      <c r="L879" s="134" t="s">
        <v>4323</v>
      </c>
    </row>
    <row r="880" spans="1:12" x14ac:dyDescent="0.2">
      <c r="A880" s="158" t="s">
        <v>4325</v>
      </c>
      <c r="B880" s="242"/>
      <c r="C880" s="135" t="s">
        <v>1709</v>
      </c>
      <c r="D880" s="139" t="s">
        <v>1361</v>
      </c>
      <c r="E880" s="159">
        <v>9114</v>
      </c>
      <c r="F880" s="159"/>
      <c r="G880" s="159"/>
      <c r="H880" s="160">
        <v>44.53</v>
      </c>
      <c r="I880" s="161">
        <f t="shared" si="19"/>
        <v>405846.42</v>
      </c>
      <c r="J880" s="174" t="s">
        <v>4290</v>
      </c>
      <c r="K880" s="135" t="s">
        <v>1665</v>
      </c>
      <c r="L880" s="134" t="s">
        <v>4326</v>
      </c>
    </row>
    <row r="881" spans="1:12" x14ac:dyDescent="0.2">
      <c r="A881" s="158" t="s">
        <v>4328</v>
      </c>
      <c r="B881" s="242"/>
      <c r="C881" s="135" t="s">
        <v>1713</v>
      </c>
      <c r="D881" s="139" t="s">
        <v>1627</v>
      </c>
      <c r="E881" s="159">
        <v>220</v>
      </c>
      <c r="F881" s="159"/>
      <c r="G881" s="159"/>
      <c r="H881" s="160">
        <v>334.46</v>
      </c>
      <c r="I881" s="161">
        <f t="shared" si="19"/>
        <v>73581.2</v>
      </c>
      <c r="J881" s="174" t="s">
        <v>4290</v>
      </c>
      <c r="K881" s="135" t="s">
        <v>1665</v>
      </c>
      <c r="L881" s="134" t="s">
        <v>4329</v>
      </c>
    </row>
    <row r="882" spans="1:12" x14ac:dyDescent="0.2">
      <c r="A882" s="158" t="s">
        <v>4331</v>
      </c>
      <c r="B882" s="242"/>
      <c r="C882" s="135" t="s">
        <v>4333</v>
      </c>
      <c r="D882" s="139" t="s">
        <v>1361</v>
      </c>
      <c r="E882" s="159">
        <v>15680</v>
      </c>
      <c r="F882" s="159"/>
      <c r="G882" s="159"/>
      <c r="H882" s="160">
        <v>35.42</v>
      </c>
      <c r="I882" s="161">
        <f t="shared" ref="I882:I904" si="20">E882*H882</f>
        <v>555385.59999999998</v>
      </c>
      <c r="J882" s="174" t="s">
        <v>4290</v>
      </c>
      <c r="K882" s="135" t="s">
        <v>1665</v>
      </c>
      <c r="L882" s="134" t="s">
        <v>4332</v>
      </c>
    </row>
    <row r="883" spans="1:12" x14ac:dyDescent="0.2">
      <c r="A883" s="158" t="s">
        <v>4335</v>
      </c>
      <c r="B883" s="242"/>
      <c r="C883" s="135" t="s">
        <v>1721</v>
      </c>
      <c r="D883" s="139" t="s">
        <v>1627</v>
      </c>
      <c r="E883" s="159">
        <v>6</v>
      </c>
      <c r="F883" s="159"/>
      <c r="G883" s="159"/>
      <c r="H883" s="160">
        <v>10475.85</v>
      </c>
      <c r="I883" s="161">
        <f t="shared" si="20"/>
        <v>62855.100000000006</v>
      </c>
      <c r="J883" s="174" t="s">
        <v>4290</v>
      </c>
      <c r="K883" s="135" t="s">
        <v>1665</v>
      </c>
      <c r="L883" s="134" t="s">
        <v>4336</v>
      </c>
    </row>
    <row r="884" spans="1:12" x14ac:dyDescent="0.2">
      <c r="A884" s="158" t="s">
        <v>4338</v>
      </c>
      <c r="B884" s="242"/>
      <c r="C884" s="135" t="s">
        <v>1725</v>
      </c>
      <c r="D884" s="139" t="s">
        <v>1361</v>
      </c>
      <c r="E884" s="159">
        <v>9114</v>
      </c>
      <c r="F884" s="159"/>
      <c r="G884" s="159"/>
      <c r="H884" s="160">
        <v>114.75</v>
      </c>
      <c r="I884" s="161">
        <f t="shared" si="20"/>
        <v>1045831.5</v>
      </c>
      <c r="J884" s="174" t="s">
        <v>4290</v>
      </c>
      <c r="K884" s="135" t="s">
        <v>1665</v>
      </c>
      <c r="L884" s="134" t="s">
        <v>4339</v>
      </c>
    </row>
    <row r="885" spans="1:12" x14ac:dyDescent="0.2">
      <c r="A885" s="158" t="s">
        <v>4341</v>
      </c>
      <c r="B885" s="242"/>
      <c r="C885" s="135" t="s">
        <v>1729</v>
      </c>
      <c r="D885" s="139" t="s">
        <v>1627</v>
      </c>
      <c r="E885" s="159">
        <v>20</v>
      </c>
      <c r="F885" s="159"/>
      <c r="G885" s="159"/>
      <c r="H885" s="160">
        <v>31671</v>
      </c>
      <c r="I885" s="161">
        <f t="shared" si="20"/>
        <v>633420</v>
      </c>
      <c r="J885" s="174" t="s">
        <v>4290</v>
      </c>
      <c r="K885" s="135" t="s">
        <v>1665</v>
      </c>
      <c r="L885" s="134" t="s">
        <v>4342</v>
      </c>
    </row>
    <row r="886" spans="1:12" x14ac:dyDescent="0.2">
      <c r="A886" s="158" t="s">
        <v>4344</v>
      </c>
      <c r="B886" s="242"/>
      <c r="C886" s="135" t="s">
        <v>1536</v>
      </c>
      <c r="D886" s="139" t="s">
        <v>1374</v>
      </c>
      <c r="E886" s="159">
        <v>376582</v>
      </c>
      <c r="F886" s="159"/>
      <c r="G886" s="159"/>
      <c r="H886" s="160">
        <v>10.92</v>
      </c>
      <c r="I886" s="161">
        <f t="shared" si="20"/>
        <v>4112275.44</v>
      </c>
      <c r="J886" s="174" t="s">
        <v>4290</v>
      </c>
      <c r="K886" s="135" t="s">
        <v>1665</v>
      </c>
      <c r="L886" s="134" t="s">
        <v>4345</v>
      </c>
    </row>
    <row r="887" spans="1:12" x14ac:dyDescent="0.2">
      <c r="A887" s="158" t="s">
        <v>4347</v>
      </c>
      <c r="B887" s="242"/>
      <c r="C887" s="135" t="s">
        <v>1552</v>
      </c>
      <c r="D887" s="139" t="s">
        <v>1383</v>
      </c>
      <c r="E887" s="159">
        <v>6036</v>
      </c>
      <c r="F887" s="159"/>
      <c r="G887" s="159"/>
      <c r="H887" s="160">
        <v>80.069999999999993</v>
      </c>
      <c r="I887" s="161">
        <f t="shared" si="20"/>
        <v>483302.51999999996</v>
      </c>
      <c r="J887" s="174" t="s">
        <v>4290</v>
      </c>
      <c r="K887" s="135" t="s">
        <v>1665</v>
      </c>
      <c r="L887" s="134" t="s">
        <v>4348</v>
      </c>
    </row>
    <row r="888" spans="1:12" x14ac:dyDescent="0.2">
      <c r="A888" s="158" t="s">
        <v>4350</v>
      </c>
      <c r="B888" s="242"/>
      <c r="C888" s="135" t="s">
        <v>1556</v>
      </c>
      <c r="D888" s="139" t="s">
        <v>1557</v>
      </c>
      <c r="E888" s="159">
        <v>7193820</v>
      </c>
      <c r="F888" s="159"/>
      <c r="G888" s="159"/>
      <c r="H888" s="160">
        <v>8.52</v>
      </c>
      <c r="I888" s="161">
        <f t="shared" si="20"/>
        <v>61291346.399999999</v>
      </c>
      <c r="J888" s="174" t="s">
        <v>4290</v>
      </c>
      <c r="K888" s="135" t="s">
        <v>1665</v>
      </c>
      <c r="L888" s="134" t="s">
        <v>4351</v>
      </c>
    </row>
    <row r="889" spans="1:12" x14ac:dyDescent="0.2">
      <c r="A889" s="158" t="s">
        <v>4353</v>
      </c>
      <c r="B889" s="242"/>
      <c r="C889" s="135" t="s">
        <v>1746</v>
      </c>
      <c r="D889" s="139" t="s">
        <v>1557</v>
      </c>
      <c r="E889" s="159">
        <v>11847</v>
      </c>
      <c r="F889" s="159"/>
      <c r="G889" s="159"/>
      <c r="H889" s="160">
        <v>7.38</v>
      </c>
      <c r="I889" s="161">
        <f t="shared" si="20"/>
        <v>87430.86</v>
      </c>
      <c r="J889" s="174" t="s">
        <v>4290</v>
      </c>
      <c r="K889" s="135" t="s">
        <v>1665</v>
      </c>
      <c r="L889" s="134" t="s">
        <v>4354</v>
      </c>
    </row>
    <row r="890" spans="1:12" x14ac:dyDescent="0.2">
      <c r="A890" s="158" t="s">
        <v>4356</v>
      </c>
      <c r="B890" s="242"/>
      <c r="C890" s="135" t="s">
        <v>1565</v>
      </c>
      <c r="D890" s="139" t="s">
        <v>1374</v>
      </c>
      <c r="E890" s="159">
        <v>604</v>
      </c>
      <c r="F890" s="159"/>
      <c r="G890" s="159"/>
      <c r="H890" s="160">
        <v>426.19</v>
      </c>
      <c r="I890" s="161">
        <f t="shared" si="20"/>
        <v>257418.76</v>
      </c>
      <c r="J890" s="174" t="s">
        <v>4290</v>
      </c>
      <c r="K890" s="135" t="s">
        <v>1665</v>
      </c>
      <c r="L890" s="134" t="s">
        <v>4357</v>
      </c>
    </row>
    <row r="891" spans="1:12" x14ac:dyDescent="0.2">
      <c r="A891" s="158" t="s">
        <v>4359</v>
      </c>
      <c r="B891" s="242"/>
      <c r="C891" s="135" t="s">
        <v>1569</v>
      </c>
      <c r="D891" s="139" t="s">
        <v>1374</v>
      </c>
      <c r="E891" s="159">
        <v>85720.8</v>
      </c>
      <c r="F891" s="159"/>
      <c r="G891" s="159"/>
      <c r="H891" s="160">
        <v>455.28</v>
      </c>
      <c r="I891" s="161">
        <f t="shared" si="20"/>
        <v>39026965.824000001</v>
      </c>
      <c r="J891" s="174" t="s">
        <v>4290</v>
      </c>
      <c r="K891" s="135" t="s">
        <v>1665</v>
      </c>
      <c r="L891" s="134" t="s">
        <v>4360</v>
      </c>
    </row>
    <row r="892" spans="1:12" x14ac:dyDescent="0.2">
      <c r="A892" s="158" t="s">
        <v>4362</v>
      </c>
      <c r="B892" s="242"/>
      <c r="C892" s="135" t="s">
        <v>1756</v>
      </c>
      <c r="D892" s="139" t="s">
        <v>1557</v>
      </c>
      <c r="E892" s="159">
        <v>1119435</v>
      </c>
      <c r="F892" s="159"/>
      <c r="G892" s="159"/>
      <c r="H892" s="160">
        <v>10.69</v>
      </c>
      <c r="I892" s="161">
        <f t="shared" si="20"/>
        <v>11966760.15</v>
      </c>
      <c r="J892" s="174" t="s">
        <v>4290</v>
      </c>
      <c r="K892" s="135" t="s">
        <v>1665</v>
      </c>
      <c r="L892" s="134" t="s">
        <v>4363</v>
      </c>
    </row>
    <row r="893" spans="1:12" x14ac:dyDescent="0.2">
      <c r="A893" s="158" t="s">
        <v>4365</v>
      </c>
      <c r="B893" s="242"/>
      <c r="C893" s="135" t="s">
        <v>1760</v>
      </c>
      <c r="D893" s="139" t="s">
        <v>1557</v>
      </c>
      <c r="E893" s="159">
        <v>224865</v>
      </c>
      <c r="F893" s="159"/>
      <c r="G893" s="159"/>
      <c r="H893" s="160">
        <v>10.89</v>
      </c>
      <c r="I893" s="161">
        <f t="shared" si="20"/>
        <v>2448779.85</v>
      </c>
      <c r="J893" s="174" t="s">
        <v>4290</v>
      </c>
      <c r="K893" s="135" t="s">
        <v>1665</v>
      </c>
      <c r="L893" s="134" t="s">
        <v>4366</v>
      </c>
    </row>
    <row r="894" spans="1:12" x14ac:dyDescent="0.2">
      <c r="A894" s="158" t="s">
        <v>4368</v>
      </c>
      <c r="B894" s="242"/>
      <c r="C894" s="135" t="s">
        <v>1764</v>
      </c>
      <c r="D894" s="139" t="s">
        <v>1361</v>
      </c>
      <c r="E894" s="159">
        <v>250</v>
      </c>
      <c r="F894" s="159"/>
      <c r="G894" s="159"/>
      <c r="H894" s="160">
        <v>4830</v>
      </c>
      <c r="I894" s="161">
        <f t="shared" si="20"/>
        <v>1207500</v>
      </c>
      <c r="J894" s="174" t="s">
        <v>4290</v>
      </c>
      <c r="K894" s="135" t="s">
        <v>1665</v>
      </c>
      <c r="L894" s="134" t="s">
        <v>4369</v>
      </c>
    </row>
    <row r="895" spans="1:12" x14ac:dyDescent="0.2">
      <c r="A895" s="158" t="s">
        <v>4371</v>
      </c>
      <c r="B895" s="242"/>
      <c r="C895" s="135" t="s">
        <v>4373</v>
      </c>
      <c r="D895" s="139" t="s">
        <v>1374</v>
      </c>
      <c r="E895" s="159">
        <v>55767</v>
      </c>
      <c r="F895" s="159"/>
      <c r="G895" s="159"/>
      <c r="H895" s="160">
        <v>471</v>
      </c>
      <c r="I895" s="161">
        <f t="shared" si="20"/>
        <v>26266257</v>
      </c>
      <c r="J895" s="174" t="s">
        <v>4290</v>
      </c>
      <c r="K895" s="135" t="s">
        <v>1665</v>
      </c>
      <c r="L895" s="134" t="s">
        <v>4372</v>
      </c>
    </row>
    <row r="896" spans="1:12" x14ac:dyDescent="0.2">
      <c r="A896" s="158" t="s">
        <v>4375</v>
      </c>
      <c r="B896" s="242"/>
      <c r="C896" s="135" t="s">
        <v>4377</v>
      </c>
      <c r="D896" s="139" t="s">
        <v>1374</v>
      </c>
      <c r="E896" s="159">
        <v>21112.2</v>
      </c>
      <c r="F896" s="159"/>
      <c r="G896" s="159"/>
      <c r="H896" s="160">
        <v>3090</v>
      </c>
      <c r="I896" s="161">
        <f t="shared" si="20"/>
        <v>65236698</v>
      </c>
      <c r="J896" s="174" t="s">
        <v>4290</v>
      </c>
      <c r="K896" s="135" t="s">
        <v>1665</v>
      </c>
      <c r="L896" s="134" t="s">
        <v>4376</v>
      </c>
    </row>
    <row r="897" spans="1:12" x14ac:dyDescent="0.2">
      <c r="A897" s="158" t="s">
        <v>4379</v>
      </c>
      <c r="B897" s="242"/>
      <c r="C897" s="135" t="s">
        <v>1784</v>
      </c>
      <c r="D897" s="139" t="s">
        <v>1361</v>
      </c>
      <c r="E897" s="159">
        <v>176000</v>
      </c>
      <c r="F897" s="159"/>
      <c r="G897" s="159"/>
      <c r="H897" s="160">
        <v>49.95</v>
      </c>
      <c r="I897" s="161">
        <f t="shared" si="20"/>
        <v>8791200</v>
      </c>
      <c r="J897" s="174" t="s">
        <v>4290</v>
      </c>
      <c r="K897" s="135" t="s">
        <v>1665</v>
      </c>
      <c r="L897" s="134" t="s">
        <v>2819</v>
      </c>
    </row>
    <row r="898" spans="1:12" ht="13.5" thickBot="1" x14ac:dyDescent="0.25">
      <c r="A898" s="192" t="s">
        <v>4381</v>
      </c>
      <c r="B898" s="246"/>
      <c r="C898" s="194" t="s">
        <v>1788</v>
      </c>
      <c r="D898" s="195" t="s">
        <v>1361</v>
      </c>
      <c r="E898" s="196">
        <v>27500</v>
      </c>
      <c r="F898" s="196"/>
      <c r="G898" s="196"/>
      <c r="H898" s="197">
        <v>618.6</v>
      </c>
      <c r="I898" s="198">
        <f t="shared" si="20"/>
        <v>17011500</v>
      </c>
      <c r="J898" s="213" t="s">
        <v>4290</v>
      </c>
      <c r="K898" s="194" t="s">
        <v>1665</v>
      </c>
      <c r="L898" s="193" t="s">
        <v>2822</v>
      </c>
    </row>
    <row r="899" spans="1:12" ht="13.5" thickBot="1" x14ac:dyDescent="0.25">
      <c r="A899" s="277"/>
      <c r="B899" s="277"/>
      <c r="C899" s="278"/>
      <c r="D899" s="279"/>
      <c r="E899" s="260"/>
      <c r="F899" s="280"/>
      <c r="G899" s="280"/>
      <c r="H899" s="281"/>
      <c r="I899" s="281"/>
      <c r="J899" s="258"/>
      <c r="K899" s="278"/>
      <c r="L899" s="282"/>
    </row>
    <row r="900" spans="1:12" ht="13.5" thickBot="1" x14ac:dyDescent="0.25">
      <c r="A900" s="214"/>
      <c r="B900" s="249"/>
      <c r="C900" s="215" t="s">
        <v>4383</v>
      </c>
      <c r="D900" s="216" t="s">
        <v>1528</v>
      </c>
      <c r="E900" s="217"/>
      <c r="F900" s="290"/>
      <c r="G900" s="290"/>
      <c r="H900" s="291"/>
      <c r="I900" s="292"/>
      <c r="J900" s="293"/>
      <c r="K900" s="293"/>
      <c r="L900" s="167"/>
    </row>
    <row r="901" spans="1:12" ht="13.5" thickBot="1" x14ac:dyDescent="0.25">
      <c r="A901" s="214" t="s">
        <v>1473</v>
      </c>
      <c r="B901" s="249"/>
      <c r="C901" s="215" t="s">
        <v>4383</v>
      </c>
      <c r="D901" s="216" t="s">
        <v>1528</v>
      </c>
      <c r="E901" s="217"/>
      <c r="F901" s="217"/>
      <c r="G901" s="217"/>
      <c r="H901" s="218"/>
      <c r="I901" s="219"/>
      <c r="J901" s="215" t="s">
        <v>4383</v>
      </c>
      <c r="K901" s="215" t="s">
        <v>4383</v>
      </c>
      <c r="L901" s="166">
        <v>36</v>
      </c>
    </row>
    <row r="902" spans="1:12" x14ac:dyDescent="0.2">
      <c r="A902" s="154" t="s">
        <v>4385</v>
      </c>
      <c r="B902" s="241"/>
      <c r="C902" s="128" t="s">
        <v>4387</v>
      </c>
      <c r="D902" s="129" t="s">
        <v>3372</v>
      </c>
      <c r="E902" s="155">
        <v>1</v>
      </c>
      <c r="F902" s="155"/>
      <c r="G902" s="155"/>
      <c r="H902" s="156">
        <v>27063472.620000001</v>
      </c>
      <c r="I902" s="157">
        <f t="shared" si="20"/>
        <v>27063472.620000001</v>
      </c>
      <c r="J902" s="169" t="s">
        <v>4383</v>
      </c>
      <c r="K902" s="169" t="s">
        <v>4383</v>
      </c>
      <c r="L902" s="127" t="s">
        <v>4386</v>
      </c>
    </row>
    <row r="903" spans="1:12" x14ac:dyDescent="0.2">
      <c r="A903" s="158" t="s">
        <v>4389</v>
      </c>
      <c r="B903" s="242"/>
      <c r="C903" s="135" t="s">
        <v>4391</v>
      </c>
      <c r="D903" s="139" t="s">
        <v>3372</v>
      </c>
      <c r="E903" s="159">
        <v>1</v>
      </c>
      <c r="F903" s="159"/>
      <c r="G903" s="159"/>
      <c r="H903" s="160">
        <v>15787025.689999999</v>
      </c>
      <c r="I903" s="161">
        <f t="shared" si="20"/>
        <v>15787025.689999999</v>
      </c>
      <c r="J903" s="174" t="s">
        <v>4383</v>
      </c>
      <c r="K903" s="174" t="s">
        <v>4383</v>
      </c>
      <c r="L903" s="134" t="s">
        <v>4390</v>
      </c>
    </row>
    <row r="904" spans="1:12" ht="13.5" thickBot="1" x14ac:dyDescent="0.25">
      <c r="A904" s="192" t="s">
        <v>4393</v>
      </c>
      <c r="B904" s="246"/>
      <c r="C904" s="194" t="s">
        <v>4395</v>
      </c>
      <c r="D904" s="195" t="s">
        <v>3372</v>
      </c>
      <c r="E904" s="196">
        <v>1</v>
      </c>
      <c r="F904" s="196"/>
      <c r="G904" s="196"/>
      <c r="H904" s="197">
        <v>2255289.38</v>
      </c>
      <c r="I904" s="198">
        <f t="shared" si="20"/>
        <v>2255289.38</v>
      </c>
      <c r="J904" s="213" t="s">
        <v>4383</v>
      </c>
      <c r="K904" s="213" t="s">
        <v>4383</v>
      </c>
      <c r="L904" s="193" t="s">
        <v>4394</v>
      </c>
    </row>
    <row r="905" spans="1:12" x14ac:dyDescent="0.2">
      <c r="D905" s="112"/>
    </row>
    <row r="906" spans="1:12" x14ac:dyDescent="0.2">
      <c r="I906" s="199">
        <f>SUM(I10:I905)</f>
        <v>1894903770.0184002</v>
      </c>
    </row>
    <row r="907" spans="1:12" x14ac:dyDescent="0.2">
      <c r="I907" s="220"/>
    </row>
  </sheetData>
  <autoFilter ref="A8:L904"/>
  <mergeCells count="1">
    <mergeCell ref="A2:C2"/>
  </mergeCells>
  <pageMargins left="0.11811023622047245" right="0.11811023622047245" top="0.19685039370078741" bottom="0.19685039370078741" header="0.31496062992125984" footer="0.31496062992125984"/>
  <pageSetup paperSize="9" scale="99" orientation="landscape" horizontalDpi="300" verticalDpi="300" r:id="rId1"/>
  <rowBreaks count="1" manualBreakCount="1">
    <brk id="36" max="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894"/>
  <sheetViews>
    <sheetView topLeftCell="B1" zoomScale="85" zoomScaleNormal="85" workbookViewId="0">
      <selection activeCell="D132" sqref="D132"/>
    </sheetView>
  </sheetViews>
  <sheetFormatPr defaultColWidth="9.140625" defaultRowHeight="12.75" x14ac:dyDescent="0.25"/>
  <cols>
    <col min="1" max="1" width="4" style="9" customWidth="1"/>
    <col min="2" max="2" width="10.140625" style="84" customWidth="1"/>
    <col min="3" max="3" width="9.28515625" style="84" bestFit="1" customWidth="1"/>
    <col min="4" max="4" width="30.85546875" style="85" customWidth="1"/>
    <col min="5" max="5" width="35.5703125" style="9" customWidth="1"/>
    <col min="6" max="6" width="26.42578125" style="9" customWidth="1"/>
    <col min="7" max="7" width="64.85546875" style="9" customWidth="1"/>
    <col min="8" max="8" width="13.7109375" style="110" bestFit="1" customWidth="1"/>
    <col min="9" max="9" width="12.7109375" style="86" bestFit="1" customWidth="1"/>
    <col min="10" max="10" width="17.85546875" style="87" customWidth="1"/>
    <col min="11" max="11" width="20" style="87" customWidth="1"/>
    <col min="12" max="12" width="16.85546875" style="9" bestFit="1" customWidth="1"/>
    <col min="13" max="16384" width="9.140625" style="9"/>
  </cols>
  <sheetData>
    <row r="1" spans="2:11" ht="42.75" customHeight="1" thickBot="1" x14ac:dyDescent="0.3">
      <c r="B1" s="3" t="s">
        <v>1345</v>
      </c>
      <c r="C1" s="4" t="s">
        <v>1346</v>
      </c>
      <c r="D1" s="5"/>
      <c r="E1" s="5" t="s">
        <v>1347</v>
      </c>
      <c r="F1" s="5" t="s">
        <v>1348</v>
      </c>
      <c r="G1" s="5" t="s">
        <v>1349</v>
      </c>
      <c r="H1" s="5" t="s">
        <v>1350</v>
      </c>
      <c r="I1" s="6" t="s">
        <v>1351</v>
      </c>
      <c r="J1" s="7" t="s">
        <v>1352</v>
      </c>
      <c r="K1" s="8" t="s">
        <v>1353</v>
      </c>
    </row>
    <row r="2" spans="2:11" ht="13.5" thickBot="1" x14ac:dyDescent="0.3">
      <c r="B2" s="10" t="s">
        <v>1354</v>
      </c>
      <c r="C2" s="10">
        <v>1</v>
      </c>
      <c r="D2" s="11">
        <v>21</v>
      </c>
      <c r="E2" s="12" t="s">
        <v>1355</v>
      </c>
      <c r="F2" s="12" t="s">
        <v>1356</v>
      </c>
      <c r="G2" s="12"/>
      <c r="H2" s="12"/>
      <c r="I2" s="13"/>
      <c r="J2" s="14"/>
      <c r="K2" s="15"/>
    </row>
    <row r="3" spans="2:11" x14ac:dyDescent="0.25">
      <c r="B3" s="16" t="s">
        <v>1357</v>
      </c>
      <c r="C3" s="16" t="s">
        <v>1358</v>
      </c>
      <c r="D3" s="17" t="s">
        <v>1359</v>
      </c>
      <c r="E3" s="18" t="s">
        <v>1355</v>
      </c>
      <c r="F3" s="18" t="s">
        <v>1356</v>
      </c>
      <c r="G3" s="18" t="s">
        <v>1360</v>
      </c>
      <c r="H3" s="18" t="s">
        <v>1361</v>
      </c>
      <c r="I3" s="19">
        <v>400</v>
      </c>
      <c r="J3" s="20">
        <v>12.03</v>
      </c>
      <c r="K3" s="21">
        <f>I3*J3</f>
        <v>4812</v>
      </c>
    </row>
    <row r="4" spans="2:11" x14ac:dyDescent="0.25">
      <c r="B4" s="22" t="s">
        <v>1362</v>
      </c>
      <c r="C4" s="22" t="s">
        <v>1363</v>
      </c>
      <c r="D4" s="23" t="s">
        <v>1364</v>
      </c>
      <c r="E4" s="24" t="s">
        <v>1355</v>
      </c>
      <c r="F4" s="24" t="s">
        <v>1356</v>
      </c>
      <c r="G4" s="24" t="s">
        <v>1365</v>
      </c>
      <c r="H4" s="18" t="s">
        <v>1361</v>
      </c>
      <c r="I4" s="25">
        <v>200</v>
      </c>
      <c r="J4" s="26">
        <v>43.91</v>
      </c>
      <c r="K4" s="27">
        <f t="shared" ref="K4:K31" si="0">I4*J4</f>
        <v>8782</v>
      </c>
    </row>
    <row r="5" spans="2:11" x14ac:dyDescent="0.25">
      <c r="B5" s="22" t="s">
        <v>1366</v>
      </c>
      <c r="C5" s="22" t="s">
        <v>1367</v>
      </c>
      <c r="D5" s="23" t="s">
        <v>1368</v>
      </c>
      <c r="E5" s="24" t="s">
        <v>1355</v>
      </c>
      <c r="F5" s="24" t="s">
        <v>1356</v>
      </c>
      <c r="G5" s="24" t="s">
        <v>1369</v>
      </c>
      <c r="H5" s="18" t="s">
        <v>1361</v>
      </c>
      <c r="I5" s="25">
        <v>18670.46</v>
      </c>
      <c r="J5" s="26">
        <v>17.64</v>
      </c>
      <c r="K5" s="27">
        <f t="shared" si="0"/>
        <v>329346.91440000001</v>
      </c>
    </row>
    <row r="6" spans="2:11" x14ac:dyDescent="0.25">
      <c r="B6" s="22" t="s">
        <v>1370</v>
      </c>
      <c r="C6" s="22" t="s">
        <v>1371</v>
      </c>
      <c r="D6" s="23" t="s">
        <v>1372</v>
      </c>
      <c r="E6" s="24" t="s">
        <v>1355</v>
      </c>
      <c r="F6" s="24" t="s">
        <v>1356</v>
      </c>
      <c r="G6" s="24" t="s">
        <v>1373</v>
      </c>
      <c r="H6" s="24" t="s">
        <v>1374</v>
      </c>
      <c r="I6" s="25">
        <v>39039.410000000003</v>
      </c>
      <c r="J6" s="26">
        <v>294.37</v>
      </c>
      <c r="K6" s="27">
        <f t="shared" si="0"/>
        <v>11492031.121700002</v>
      </c>
    </row>
    <row r="7" spans="2:11" ht="14.25" customHeight="1" x14ac:dyDescent="0.25">
      <c r="B7" s="22" t="s">
        <v>1375</v>
      </c>
      <c r="C7" s="22" t="s">
        <v>1376</v>
      </c>
      <c r="D7" s="23" t="s">
        <v>1377</v>
      </c>
      <c r="E7" s="24" t="s">
        <v>1355</v>
      </c>
      <c r="F7" s="24" t="s">
        <v>1356</v>
      </c>
      <c r="G7" s="24" t="s">
        <v>1378</v>
      </c>
      <c r="H7" s="24" t="s">
        <v>1374</v>
      </c>
      <c r="I7" s="25">
        <v>63709.51</v>
      </c>
      <c r="J7" s="26">
        <v>154.29</v>
      </c>
      <c r="K7" s="27">
        <f>(I7*J7)-0.008</f>
        <v>9829740.2899000011</v>
      </c>
    </row>
    <row r="8" spans="2:11" ht="14.25" customHeight="1" x14ac:dyDescent="0.25">
      <c r="B8" s="22" t="s">
        <v>1379</v>
      </c>
      <c r="C8" s="22" t="s">
        <v>1380</v>
      </c>
      <c r="D8" s="23" t="s">
        <v>1381</v>
      </c>
      <c r="E8" s="24" t="s">
        <v>1355</v>
      </c>
      <c r="F8" s="24" t="s">
        <v>1356</v>
      </c>
      <c r="G8" s="24" t="s">
        <v>1382</v>
      </c>
      <c r="H8" s="24" t="s">
        <v>1383</v>
      </c>
      <c r="I8" s="25">
        <v>66412.679999999993</v>
      </c>
      <c r="J8" s="26">
        <v>35.6</v>
      </c>
      <c r="K8" s="27">
        <f t="shared" si="0"/>
        <v>2364291.4079999998</v>
      </c>
    </row>
    <row r="9" spans="2:11" x14ac:dyDescent="0.25">
      <c r="B9" s="22" t="s">
        <v>1384</v>
      </c>
      <c r="C9" s="22" t="s">
        <v>1385</v>
      </c>
      <c r="D9" s="23" t="s">
        <v>1386</v>
      </c>
      <c r="E9" s="24" t="s">
        <v>1355</v>
      </c>
      <c r="F9" s="24" t="s">
        <v>1356</v>
      </c>
      <c r="G9" s="24" t="s">
        <v>1387</v>
      </c>
      <c r="H9" s="24" t="s">
        <v>1383</v>
      </c>
      <c r="I9" s="25">
        <v>34516.269999999997</v>
      </c>
      <c r="J9" s="26">
        <v>13.19</v>
      </c>
      <c r="K9" s="27">
        <f t="shared" si="0"/>
        <v>455269.60129999992</v>
      </c>
    </row>
    <row r="10" spans="2:11" x14ac:dyDescent="0.25">
      <c r="B10" s="22" t="s">
        <v>1388</v>
      </c>
      <c r="C10" s="22" t="s">
        <v>1389</v>
      </c>
      <c r="D10" s="23" t="s">
        <v>1390</v>
      </c>
      <c r="E10" s="24" t="s">
        <v>1355</v>
      </c>
      <c r="F10" s="24" t="s">
        <v>1356</v>
      </c>
      <c r="G10" s="24" t="s">
        <v>1391</v>
      </c>
      <c r="H10" s="24" t="s">
        <v>1374</v>
      </c>
      <c r="I10" s="25">
        <v>41618.81</v>
      </c>
      <c r="J10" s="26">
        <v>18.52</v>
      </c>
      <c r="K10" s="27">
        <f t="shared" si="0"/>
        <v>770780.36119999993</v>
      </c>
    </row>
    <row r="11" spans="2:11" x14ac:dyDescent="0.25">
      <c r="B11" s="22" t="s">
        <v>1392</v>
      </c>
      <c r="C11" s="22" t="s">
        <v>1393</v>
      </c>
      <c r="D11" s="23" t="s">
        <v>1394</v>
      </c>
      <c r="E11" s="24" t="s">
        <v>1355</v>
      </c>
      <c r="F11" s="24" t="s">
        <v>1356</v>
      </c>
      <c r="G11" s="24" t="s">
        <v>1395</v>
      </c>
      <c r="H11" s="18" t="s">
        <v>1361</v>
      </c>
      <c r="I11" s="25">
        <v>100</v>
      </c>
      <c r="J11" s="26">
        <v>125.96</v>
      </c>
      <c r="K11" s="27">
        <f t="shared" si="0"/>
        <v>12596</v>
      </c>
    </row>
    <row r="12" spans="2:11" x14ac:dyDescent="0.25">
      <c r="B12" s="22" t="s">
        <v>1396</v>
      </c>
      <c r="C12" s="22" t="s">
        <v>1397</v>
      </c>
      <c r="D12" s="23" t="s">
        <v>1398</v>
      </c>
      <c r="E12" s="24" t="s">
        <v>1355</v>
      </c>
      <c r="F12" s="24" t="s">
        <v>1356</v>
      </c>
      <c r="G12" s="24" t="s">
        <v>1399</v>
      </c>
      <c r="H12" s="24" t="s">
        <v>1400</v>
      </c>
      <c r="I12" s="25">
        <v>7813575.7999999998</v>
      </c>
      <c r="J12" s="26">
        <v>1.24</v>
      </c>
      <c r="K12" s="27">
        <f t="shared" si="0"/>
        <v>9688833.9920000006</v>
      </c>
    </row>
    <row r="13" spans="2:11" x14ac:dyDescent="0.25">
      <c r="B13" s="22" t="s">
        <v>1401</v>
      </c>
      <c r="C13" s="22" t="s">
        <v>1402</v>
      </c>
      <c r="D13" s="23" t="s">
        <v>1403</v>
      </c>
      <c r="E13" s="24" t="s">
        <v>1355</v>
      </c>
      <c r="F13" s="24" t="s">
        <v>1356</v>
      </c>
      <c r="G13" s="24" t="s">
        <v>1404</v>
      </c>
      <c r="H13" s="24" t="s">
        <v>1374</v>
      </c>
      <c r="I13" s="25">
        <v>101234.38</v>
      </c>
      <c r="J13" s="26">
        <v>50.86</v>
      </c>
      <c r="K13" s="27">
        <f t="shared" si="0"/>
        <v>5148780.5668000001</v>
      </c>
    </row>
    <row r="14" spans="2:11" x14ac:dyDescent="0.25">
      <c r="B14" s="22" t="s">
        <v>1405</v>
      </c>
      <c r="C14" s="22" t="s">
        <v>1406</v>
      </c>
      <c r="D14" s="23" t="s">
        <v>1407</v>
      </c>
      <c r="E14" s="24" t="s">
        <v>1355</v>
      </c>
      <c r="F14" s="24" t="s">
        <v>1356</v>
      </c>
      <c r="G14" s="24" t="s">
        <v>1408</v>
      </c>
      <c r="H14" s="24" t="s">
        <v>1409</v>
      </c>
      <c r="I14" s="25">
        <v>151405.85</v>
      </c>
      <c r="J14" s="26">
        <v>94.5</v>
      </c>
      <c r="K14" s="27">
        <f t="shared" si="0"/>
        <v>14307852.825000001</v>
      </c>
    </row>
    <row r="15" spans="2:11" x14ac:dyDescent="0.25">
      <c r="B15" s="22" t="s">
        <v>1410</v>
      </c>
      <c r="C15" s="22" t="s">
        <v>1411</v>
      </c>
      <c r="D15" s="23" t="s">
        <v>1412</v>
      </c>
      <c r="E15" s="24" t="s">
        <v>1355</v>
      </c>
      <c r="F15" s="24" t="s">
        <v>1356</v>
      </c>
      <c r="G15" s="24" t="s">
        <v>1413</v>
      </c>
      <c r="H15" s="24" t="s">
        <v>1409</v>
      </c>
      <c r="I15" s="25">
        <v>151401.71</v>
      </c>
      <c r="J15" s="26">
        <v>67.5</v>
      </c>
      <c r="K15" s="27">
        <f t="shared" si="0"/>
        <v>10219615.424999999</v>
      </c>
    </row>
    <row r="16" spans="2:11" ht="13.5" thickBot="1" x14ac:dyDescent="0.3">
      <c r="B16" s="22" t="s">
        <v>1414</v>
      </c>
      <c r="C16" s="28" t="s">
        <v>1415</v>
      </c>
      <c r="D16" s="29" t="s">
        <v>1416</v>
      </c>
      <c r="E16" s="30" t="s">
        <v>1355</v>
      </c>
      <c r="F16" s="30" t="s">
        <v>1356</v>
      </c>
      <c r="G16" s="30" t="s">
        <v>1417</v>
      </c>
      <c r="H16" s="30" t="s">
        <v>1418</v>
      </c>
      <c r="I16" s="31">
        <v>506171.91</v>
      </c>
      <c r="J16" s="32">
        <v>1.71</v>
      </c>
      <c r="K16" s="33">
        <f t="shared" si="0"/>
        <v>865553.96609999996</v>
      </c>
    </row>
    <row r="17" spans="2:11" ht="13.5" thickBot="1" x14ac:dyDescent="0.3">
      <c r="B17" s="22" t="s">
        <v>1419</v>
      </c>
      <c r="C17" s="34">
        <v>2</v>
      </c>
      <c r="D17" s="35">
        <v>22</v>
      </c>
      <c r="E17" s="36" t="s">
        <v>1355</v>
      </c>
      <c r="F17" s="36" t="s">
        <v>1420</v>
      </c>
      <c r="G17" s="36"/>
      <c r="H17" s="36"/>
      <c r="I17" s="37"/>
      <c r="J17" s="38"/>
      <c r="K17" s="39"/>
    </row>
    <row r="18" spans="2:11" x14ac:dyDescent="0.25">
      <c r="B18" s="22" t="s">
        <v>1421</v>
      </c>
      <c r="C18" s="40" t="s">
        <v>1422</v>
      </c>
      <c r="D18" s="17" t="s">
        <v>1423</v>
      </c>
      <c r="E18" s="18" t="s">
        <v>1355</v>
      </c>
      <c r="F18" s="18" t="s">
        <v>1420</v>
      </c>
      <c r="G18" s="18" t="s">
        <v>1424</v>
      </c>
      <c r="H18" s="24" t="s">
        <v>1383</v>
      </c>
      <c r="I18" s="41">
        <v>181263</v>
      </c>
      <c r="J18" s="42">
        <v>0.28000000000000003</v>
      </c>
      <c r="K18" s="43">
        <f t="shared" si="0"/>
        <v>50753.640000000007</v>
      </c>
    </row>
    <row r="19" spans="2:11" x14ac:dyDescent="0.25">
      <c r="B19" s="22" t="s">
        <v>1425</v>
      </c>
      <c r="C19" s="44" t="s">
        <v>1426</v>
      </c>
      <c r="D19" s="23" t="s">
        <v>1427</v>
      </c>
      <c r="E19" s="24" t="s">
        <v>1355</v>
      </c>
      <c r="F19" s="24" t="s">
        <v>1420</v>
      </c>
      <c r="G19" s="24" t="s">
        <v>1428</v>
      </c>
      <c r="H19" s="24" t="s">
        <v>1374</v>
      </c>
      <c r="I19" s="45">
        <v>49049.95</v>
      </c>
      <c r="J19" s="46">
        <v>4.9000000000000004</v>
      </c>
      <c r="K19" s="47">
        <f t="shared" si="0"/>
        <v>240344.755</v>
      </c>
    </row>
    <row r="20" spans="2:11" x14ac:dyDescent="0.25">
      <c r="B20" s="22" t="s">
        <v>1429</v>
      </c>
      <c r="C20" s="44" t="s">
        <v>1430</v>
      </c>
      <c r="D20" s="23" t="s">
        <v>1431</v>
      </c>
      <c r="E20" s="24" t="s">
        <v>1355</v>
      </c>
      <c r="F20" s="24" t="s">
        <v>1420</v>
      </c>
      <c r="G20" s="24" t="s">
        <v>1432</v>
      </c>
      <c r="H20" s="24" t="s">
        <v>1374</v>
      </c>
      <c r="I20" s="45">
        <v>691.55</v>
      </c>
      <c r="J20" s="46">
        <v>5.44</v>
      </c>
      <c r="K20" s="47">
        <f t="shared" si="0"/>
        <v>3762.0320000000002</v>
      </c>
    </row>
    <row r="21" spans="2:11" x14ac:dyDescent="0.25">
      <c r="B21" s="22" t="s">
        <v>1433</v>
      </c>
      <c r="C21" s="44" t="s">
        <v>1434</v>
      </c>
      <c r="D21" s="23" t="s">
        <v>1435</v>
      </c>
      <c r="E21" s="24" t="s">
        <v>1355</v>
      </c>
      <c r="F21" s="24" t="s">
        <v>1420</v>
      </c>
      <c r="G21" s="24" t="s">
        <v>1436</v>
      </c>
      <c r="H21" s="24" t="s">
        <v>1374</v>
      </c>
      <c r="I21" s="45">
        <v>36252.6</v>
      </c>
      <c r="J21" s="46">
        <v>2.2599999999999998</v>
      </c>
      <c r="K21" s="47">
        <f t="shared" si="0"/>
        <v>81930.875999999989</v>
      </c>
    </row>
    <row r="22" spans="2:11" x14ac:dyDescent="0.25">
      <c r="B22" s="22" t="s">
        <v>1437</v>
      </c>
      <c r="C22" s="44" t="s">
        <v>1438</v>
      </c>
      <c r="D22" s="23" t="s">
        <v>1439</v>
      </c>
      <c r="E22" s="24" t="s">
        <v>1355</v>
      </c>
      <c r="F22" s="24" t="s">
        <v>1420</v>
      </c>
      <c r="G22" s="24" t="s">
        <v>1440</v>
      </c>
      <c r="H22" s="30" t="s">
        <v>1418</v>
      </c>
      <c r="I22" s="45">
        <v>729.26</v>
      </c>
      <c r="J22" s="46">
        <v>3.74</v>
      </c>
      <c r="K22" s="47">
        <f t="shared" si="0"/>
        <v>2727.4324000000001</v>
      </c>
    </row>
    <row r="23" spans="2:11" x14ac:dyDescent="0.25">
      <c r="B23" s="22" t="s">
        <v>1441</v>
      </c>
      <c r="C23" s="44" t="s">
        <v>1442</v>
      </c>
      <c r="D23" s="23" t="s">
        <v>1443</v>
      </c>
      <c r="E23" s="24" t="s">
        <v>1355</v>
      </c>
      <c r="F23" s="24" t="s">
        <v>1420</v>
      </c>
      <c r="G23" s="24" t="s">
        <v>1444</v>
      </c>
      <c r="H23" s="30" t="s">
        <v>1418</v>
      </c>
      <c r="I23" s="45">
        <v>2187.7600000000002</v>
      </c>
      <c r="J23" s="46">
        <v>2.2000000000000002</v>
      </c>
      <c r="K23" s="47">
        <f t="shared" si="0"/>
        <v>4813.072000000001</v>
      </c>
    </row>
    <row r="24" spans="2:11" x14ac:dyDescent="0.25">
      <c r="B24" s="22" t="s">
        <v>1445</v>
      </c>
      <c r="C24" s="44" t="s">
        <v>1446</v>
      </c>
      <c r="D24" s="23" t="s">
        <v>1447</v>
      </c>
      <c r="E24" s="24" t="s">
        <v>1355</v>
      </c>
      <c r="F24" s="24" t="s">
        <v>1420</v>
      </c>
      <c r="G24" s="24" t="s">
        <v>1448</v>
      </c>
      <c r="H24" s="30" t="s">
        <v>1418</v>
      </c>
      <c r="I24" s="45">
        <v>3000.93</v>
      </c>
      <c r="J24" s="46">
        <v>1.71</v>
      </c>
      <c r="K24" s="47">
        <f t="shared" si="0"/>
        <v>5131.5902999999998</v>
      </c>
    </row>
    <row r="25" spans="2:11" x14ac:dyDescent="0.25">
      <c r="B25" s="22" t="s">
        <v>1449</v>
      </c>
      <c r="C25" s="44" t="s">
        <v>1450</v>
      </c>
      <c r="D25" s="23" t="s">
        <v>1451</v>
      </c>
      <c r="E25" s="24" t="s">
        <v>1355</v>
      </c>
      <c r="F25" s="24" t="s">
        <v>1420</v>
      </c>
      <c r="G25" s="24" t="s">
        <v>1452</v>
      </c>
      <c r="H25" s="30" t="s">
        <v>1418</v>
      </c>
      <c r="I25" s="45">
        <v>247956.53</v>
      </c>
      <c r="J25" s="46">
        <v>1.43</v>
      </c>
      <c r="K25" s="47">
        <f t="shared" si="0"/>
        <v>354577.83789999998</v>
      </c>
    </row>
    <row r="26" spans="2:11" x14ac:dyDescent="0.25">
      <c r="B26" s="22" t="s">
        <v>1453</v>
      </c>
      <c r="C26" s="44" t="s">
        <v>1454</v>
      </c>
      <c r="D26" s="23" t="s">
        <v>1455</v>
      </c>
      <c r="E26" s="24" t="s">
        <v>1355</v>
      </c>
      <c r="F26" s="24" t="s">
        <v>1420</v>
      </c>
      <c r="G26" s="24" t="s">
        <v>1456</v>
      </c>
      <c r="H26" s="30" t="s">
        <v>1418</v>
      </c>
      <c r="I26" s="45">
        <v>63019.43</v>
      </c>
      <c r="J26" s="46">
        <v>1.26</v>
      </c>
      <c r="K26" s="47">
        <f t="shared" si="0"/>
        <v>79404.481799999994</v>
      </c>
    </row>
    <row r="27" spans="2:11" x14ac:dyDescent="0.25">
      <c r="B27" s="22" t="s">
        <v>1457</v>
      </c>
      <c r="C27" s="44" t="s">
        <v>1458</v>
      </c>
      <c r="D27" s="23" t="s">
        <v>1459</v>
      </c>
      <c r="E27" s="24" t="s">
        <v>1355</v>
      </c>
      <c r="F27" s="24" t="s">
        <v>1420</v>
      </c>
      <c r="G27" s="24" t="s">
        <v>1460</v>
      </c>
      <c r="H27" s="30" t="s">
        <v>1418</v>
      </c>
      <c r="I27" s="45">
        <v>35550.75</v>
      </c>
      <c r="J27" s="46">
        <v>1.93</v>
      </c>
      <c r="K27" s="47">
        <f t="shared" si="0"/>
        <v>68612.947499999995</v>
      </c>
    </row>
    <row r="28" spans="2:11" x14ac:dyDescent="0.25">
      <c r="B28" s="22" t="s">
        <v>1461</v>
      </c>
      <c r="C28" s="44" t="s">
        <v>1462</v>
      </c>
      <c r="D28" s="23" t="s">
        <v>1463</v>
      </c>
      <c r="E28" s="24" t="s">
        <v>1355</v>
      </c>
      <c r="F28" s="24" t="s">
        <v>1420</v>
      </c>
      <c r="G28" s="24" t="s">
        <v>1464</v>
      </c>
      <c r="H28" s="30" t="s">
        <v>1418</v>
      </c>
      <c r="I28" s="45">
        <v>205980.75</v>
      </c>
      <c r="J28" s="46">
        <v>1.44</v>
      </c>
      <c r="K28" s="47">
        <f t="shared" si="0"/>
        <v>296612.27999999997</v>
      </c>
    </row>
    <row r="29" spans="2:11" x14ac:dyDescent="0.25">
      <c r="B29" s="22" t="s">
        <v>1465</v>
      </c>
      <c r="C29" s="44" t="s">
        <v>1466</v>
      </c>
      <c r="D29" s="23" t="s">
        <v>1467</v>
      </c>
      <c r="E29" s="24" t="s">
        <v>1355</v>
      </c>
      <c r="F29" s="24" t="s">
        <v>1420</v>
      </c>
      <c r="G29" s="24" t="s">
        <v>1468</v>
      </c>
      <c r="H29" s="30" t="s">
        <v>1418</v>
      </c>
      <c r="I29" s="45">
        <v>17088.75</v>
      </c>
      <c r="J29" s="46">
        <v>1.3</v>
      </c>
      <c r="K29" s="47">
        <f t="shared" si="0"/>
        <v>22215.375</v>
      </c>
    </row>
    <row r="30" spans="2:11" x14ac:dyDescent="0.25">
      <c r="B30" s="22" t="s">
        <v>1469</v>
      </c>
      <c r="C30" s="44" t="s">
        <v>1470</v>
      </c>
      <c r="D30" s="23" t="s">
        <v>1471</v>
      </c>
      <c r="E30" s="24" t="s">
        <v>1355</v>
      </c>
      <c r="F30" s="24" t="s">
        <v>1420</v>
      </c>
      <c r="G30" s="24" t="s">
        <v>1472</v>
      </c>
      <c r="H30" s="30" t="s">
        <v>1418</v>
      </c>
      <c r="I30" s="45">
        <v>87885</v>
      </c>
      <c r="J30" s="46">
        <v>1.1200000000000001</v>
      </c>
      <c r="K30" s="47">
        <f t="shared" si="0"/>
        <v>98431.200000000012</v>
      </c>
    </row>
    <row r="31" spans="2:11" ht="13.5" thickBot="1" x14ac:dyDescent="0.3">
      <c r="B31" s="22" t="s">
        <v>1473</v>
      </c>
      <c r="C31" s="48" t="s">
        <v>1474</v>
      </c>
      <c r="D31" s="29" t="s">
        <v>1475</v>
      </c>
      <c r="E31" s="30" t="s">
        <v>1355</v>
      </c>
      <c r="F31" s="30" t="s">
        <v>1420</v>
      </c>
      <c r="G31" s="30" t="s">
        <v>1476</v>
      </c>
      <c r="H31" s="24" t="s">
        <v>1374</v>
      </c>
      <c r="I31" s="49">
        <v>30672</v>
      </c>
      <c r="J31" s="50">
        <v>3.01</v>
      </c>
      <c r="K31" s="51">
        <f t="shared" si="0"/>
        <v>92322.719999999987</v>
      </c>
    </row>
    <row r="32" spans="2:11" ht="13.5" thickBot="1" x14ac:dyDescent="0.3">
      <c r="B32" s="22" t="s">
        <v>1477</v>
      </c>
      <c r="C32" s="34">
        <v>3</v>
      </c>
      <c r="D32" s="35">
        <v>23</v>
      </c>
      <c r="E32" s="36" t="s">
        <v>1355</v>
      </c>
      <c r="F32" s="36" t="s">
        <v>1478</v>
      </c>
      <c r="G32" s="36"/>
      <c r="H32" s="36"/>
      <c r="I32" s="37"/>
      <c r="J32" s="38"/>
      <c r="K32" s="39"/>
    </row>
    <row r="33" spans="2:11" x14ac:dyDescent="0.25">
      <c r="B33" s="22" t="s">
        <v>1479</v>
      </c>
      <c r="C33" s="40" t="s">
        <v>1480</v>
      </c>
      <c r="D33" s="17" t="s">
        <v>1481</v>
      </c>
      <c r="E33" s="18" t="s">
        <v>1355</v>
      </c>
      <c r="F33" s="18" t="s">
        <v>1478</v>
      </c>
      <c r="G33" s="18" t="s">
        <v>1482</v>
      </c>
      <c r="H33" s="24" t="s">
        <v>1374</v>
      </c>
      <c r="I33" s="41">
        <v>39829.93</v>
      </c>
      <c r="J33" s="20">
        <v>2.21</v>
      </c>
      <c r="K33" s="43">
        <f>I33*J33</f>
        <v>88024.145300000004</v>
      </c>
    </row>
    <row r="34" spans="2:11" x14ac:dyDescent="0.25">
      <c r="B34" s="22" t="s">
        <v>1483</v>
      </c>
      <c r="C34" s="44" t="s">
        <v>1484</v>
      </c>
      <c r="D34" s="23" t="s">
        <v>1481</v>
      </c>
      <c r="E34" s="24" t="s">
        <v>1355</v>
      </c>
      <c r="F34" s="24" t="s">
        <v>1478</v>
      </c>
      <c r="G34" s="24" t="s">
        <v>1485</v>
      </c>
      <c r="H34" s="24" t="s">
        <v>1383</v>
      </c>
      <c r="I34" s="45">
        <v>106846.37</v>
      </c>
      <c r="J34" s="26">
        <v>1.1399999999999999</v>
      </c>
      <c r="K34" s="47">
        <f t="shared" ref="K34:K79" si="1">I34*J34</f>
        <v>121804.86179999998</v>
      </c>
    </row>
    <row r="35" spans="2:11" x14ac:dyDescent="0.25">
      <c r="B35" s="22" t="s">
        <v>1486</v>
      </c>
      <c r="C35" s="44" t="s">
        <v>1487</v>
      </c>
      <c r="D35" s="23" t="s">
        <v>1488</v>
      </c>
      <c r="E35" s="24" t="s">
        <v>1355</v>
      </c>
      <c r="F35" s="24" t="s">
        <v>1478</v>
      </c>
      <c r="G35" s="24" t="s">
        <v>1489</v>
      </c>
      <c r="H35" s="24" t="s">
        <v>1374</v>
      </c>
      <c r="I35" s="45">
        <v>21323.73</v>
      </c>
      <c r="J35" s="26">
        <v>168.38</v>
      </c>
      <c r="K35" s="47">
        <f t="shared" si="1"/>
        <v>3590489.6573999999</v>
      </c>
    </row>
    <row r="36" spans="2:11" x14ac:dyDescent="0.25">
      <c r="B36" s="22" t="s">
        <v>1490</v>
      </c>
      <c r="C36" s="44" t="s">
        <v>1491</v>
      </c>
      <c r="D36" s="23" t="s">
        <v>1492</v>
      </c>
      <c r="E36" s="24" t="s">
        <v>1355</v>
      </c>
      <c r="F36" s="24" t="s">
        <v>1478</v>
      </c>
      <c r="G36" s="24" t="s">
        <v>1493</v>
      </c>
      <c r="H36" s="24" t="s">
        <v>1374</v>
      </c>
      <c r="I36" s="45">
        <v>48590.87</v>
      </c>
      <c r="J36" s="26">
        <v>168.04</v>
      </c>
      <c r="K36" s="47">
        <f t="shared" si="1"/>
        <v>8165209.7948000003</v>
      </c>
    </row>
    <row r="37" spans="2:11" x14ac:dyDescent="0.25">
      <c r="B37" s="22" t="s">
        <v>1494</v>
      </c>
      <c r="C37" s="44" t="s">
        <v>1495</v>
      </c>
      <c r="D37" s="23" t="s">
        <v>1496</v>
      </c>
      <c r="E37" s="24" t="s">
        <v>1355</v>
      </c>
      <c r="F37" s="24" t="s">
        <v>1478</v>
      </c>
      <c r="G37" s="24" t="s">
        <v>1497</v>
      </c>
      <c r="H37" s="24" t="s">
        <v>1374</v>
      </c>
      <c r="I37" s="45">
        <v>23047.05</v>
      </c>
      <c r="J37" s="26">
        <v>208.16</v>
      </c>
      <c r="K37" s="47">
        <f t="shared" si="1"/>
        <v>4797473.9279999994</v>
      </c>
    </row>
    <row r="38" spans="2:11" x14ac:dyDescent="0.25">
      <c r="B38" s="22" t="s">
        <v>1498</v>
      </c>
      <c r="C38" s="44" t="s">
        <v>1499</v>
      </c>
      <c r="D38" s="23" t="s">
        <v>1500</v>
      </c>
      <c r="E38" s="24" t="s">
        <v>1355</v>
      </c>
      <c r="F38" s="24" t="s">
        <v>1478</v>
      </c>
      <c r="G38" s="24" t="s">
        <v>1501</v>
      </c>
      <c r="H38" s="24" t="s">
        <v>1383</v>
      </c>
      <c r="I38" s="45">
        <v>127597.58</v>
      </c>
      <c r="J38" s="26">
        <v>3.42</v>
      </c>
      <c r="K38" s="47">
        <f t="shared" si="1"/>
        <v>436383.72359999997</v>
      </c>
    </row>
    <row r="39" spans="2:11" x14ac:dyDescent="0.25">
      <c r="B39" s="22" t="s">
        <v>1502</v>
      </c>
      <c r="C39" s="44" t="s">
        <v>1503</v>
      </c>
      <c r="D39" s="23" t="s">
        <v>1504</v>
      </c>
      <c r="E39" s="24" t="s">
        <v>1355</v>
      </c>
      <c r="F39" s="24" t="s">
        <v>1478</v>
      </c>
      <c r="G39" s="24" t="s">
        <v>1505</v>
      </c>
      <c r="H39" s="24" t="s">
        <v>1383</v>
      </c>
      <c r="I39" s="45">
        <v>320347.81</v>
      </c>
      <c r="J39" s="26">
        <v>1.32</v>
      </c>
      <c r="K39" s="47">
        <f t="shared" si="1"/>
        <v>422859.10920000001</v>
      </c>
    </row>
    <row r="40" spans="2:11" x14ac:dyDescent="0.25">
      <c r="B40" s="22" t="s">
        <v>1506</v>
      </c>
      <c r="C40" s="44" t="s">
        <v>1507</v>
      </c>
      <c r="D40" s="23" t="s">
        <v>1508</v>
      </c>
      <c r="E40" s="24" t="s">
        <v>1355</v>
      </c>
      <c r="F40" s="24" t="s">
        <v>1478</v>
      </c>
      <c r="G40" s="24" t="s">
        <v>1509</v>
      </c>
      <c r="H40" s="24" t="s">
        <v>1383</v>
      </c>
      <c r="I40" s="45">
        <v>92170.2</v>
      </c>
      <c r="J40" s="26">
        <v>1.71</v>
      </c>
      <c r="K40" s="47">
        <f t="shared" si="1"/>
        <v>157611.04199999999</v>
      </c>
    </row>
    <row r="41" spans="2:11" x14ac:dyDescent="0.25">
      <c r="B41" s="22" t="s">
        <v>1510</v>
      </c>
      <c r="C41" s="44" t="s">
        <v>1511</v>
      </c>
      <c r="D41" s="23" t="s">
        <v>1512</v>
      </c>
      <c r="E41" s="24" t="s">
        <v>1355</v>
      </c>
      <c r="F41" s="24" t="s">
        <v>1478</v>
      </c>
      <c r="G41" s="24" t="s">
        <v>1513</v>
      </c>
      <c r="H41" s="24" t="s">
        <v>1374</v>
      </c>
      <c r="I41" s="45">
        <v>10071.280000000001</v>
      </c>
      <c r="J41" s="26">
        <v>488.89</v>
      </c>
      <c r="K41" s="47">
        <f t="shared" si="1"/>
        <v>4923748.0792000005</v>
      </c>
    </row>
    <row r="42" spans="2:11" x14ac:dyDescent="0.25">
      <c r="B42" s="22" t="s">
        <v>1514</v>
      </c>
      <c r="C42" s="44" t="s">
        <v>1515</v>
      </c>
      <c r="D42" s="23" t="s">
        <v>1516</v>
      </c>
      <c r="E42" s="24" t="s">
        <v>1355</v>
      </c>
      <c r="F42" s="24" t="s">
        <v>1478</v>
      </c>
      <c r="G42" s="24" t="s">
        <v>1517</v>
      </c>
      <c r="H42" s="24" t="s">
        <v>1374</v>
      </c>
      <c r="I42" s="45">
        <v>7254.62</v>
      </c>
      <c r="J42" s="26">
        <v>526.62</v>
      </c>
      <c r="K42" s="47">
        <f t="shared" si="1"/>
        <v>3820427.9844</v>
      </c>
    </row>
    <row r="43" spans="2:11" x14ac:dyDescent="0.25">
      <c r="B43" s="22" t="s">
        <v>1518</v>
      </c>
      <c r="C43" s="44" t="s">
        <v>1519</v>
      </c>
      <c r="D43" s="23" t="s">
        <v>1520</v>
      </c>
      <c r="E43" s="24" t="s">
        <v>1355</v>
      </c>
      <c r="F43" s="24" t="s">
        <v>1478</v>
      </c>
      <c r="G43" s="24" t="s">
        <v>1521</v>
      </c>
      <c r="H43" s="24" t="s">
        <v>1374</v>
      </c>
      <c r="I43" s="45">
        <v>4343.57</v>
      </c>
      <c r="J43" s="26">
        <v>637.36</v>
      </c>
      <c r="K43" s="47">
        <f t="shared" si="1"/>
        <v>2768417.7752</v>
      </c>
    </row>
    <row r="44" spans="2:11" ht="13.5" thickBot="1" x14ac:dyDescent="0.3">
      <c r="B44" s="22" t="s">
        <v>1522</v>
      </c>
      <c r="C44" s="48" t="s">
        <v>1523</v>
      </c>
      <c r="D44" s="29" t="s">
        <v>1524</v>
      </c>
      <c r="E44" s="30" t="s">
        <v>1355</v>
      </c>
      <c r="F44" s="30" t="s">
        <v>1478</v>
      </c>
      <c r="G44" s="30" t="s">
        <v>1525</v>
      </c>
      <c r="H44" s="24" t="s">
        <v>1374</v>
      </c>
      <c r="I44" s="49">
        <v>4776.51</v>
      </c>
      <c r="J44" s="32">
        <v>139.28</v>
      </c>
      <c r="K44" s="51">
        <f t="shared" si="1"/>
        <v>665272.31280000007</v>
      </c>
    </row>
    <row r="45" spans="2:11" ht="13.5" thickBot="1" x14ac:dyDescent="0.3">
      <c r="B45" s="22" t="s">
        <v>1526</v>
      </c>
      <c r="C45" s="34">
        <v>4</v>
      </c>
      <c r="D45" s="35">
        <v>24</v>
      </c>
      <c r="E45" s="36" t="s">
        <v>1355</v>
      </c>
      <c r="F45" s="36" t="s">
        <v>1527</v>
      </c>
      <c r="G45" s="36"/>
      <c r="H45" s="36" t="s">
        <v>1528</v>
      </c>
      <c r="I45" s="37"/>
      <c r="J45" s="38"/>
      <c r="K45" s="39"/>
    </row>
    <row r="46" spans="2:11" x14ac:dyDescent="0.25">
      <c r="B46" s="22" t="s">
        <v>1529</v>
      </c>
      <c r="C46" s="40" t="s">
        <v>1530</v>
      </c>
      <c r="D46" s="17" t="s">
        <v>1481</v>
      </c>
      <c r="E46" s="18" t="s">
        <v>1355</v>
      </c>
      <c r="F46" s="18" t="s">
        <v>1527</v>
      </c>
      <c r="G46" s="18" t="s">
        <v>1482</v>
      </c>
      <c r="H46" s="24" t="s">
        <v>1374</v>
      </c>
      <c r="I46" s="41">
        <v>25813.9</v>
      </c>
      <c r="J46" s="42">
        <v>2.21</v>
      </c>
      <c r="K46" s="43">
        <f>I46*J46</f>
        <v>57048.719000000005</v>
      </c>
    </row>
    <row r="47" spans="2:11" x14ac:dyDescent="0.25">
      <c r="B47" s="22" t="s">
        <v>1531</v>
      </c>
      <c r="C47" s="44" t="s">
        <v>1532</v>
      </c>
      <c r="D47" s="23" t="s">
        <v>1447</v>
      </c>
      <c r="E47" s="24" t="s">
        <v>1355</v>
      </c>
      <c r="F47" s="24" t="s">
        <v>1527</v>
      </c>
      <c r="G47" s="24" t="s">
        <v>1448</v>
      </c>
      <c r="H47" s="30" t="s">
        <v>1418</v>
      </c>
      <c r="I47" s="45">
        <v>129069.46</v>
      </c>
      <c r="J47" s="46">
        <v>1.71</v>
      </c>
      <c r="K47" s="47">
        <f t="shared" si="1"/>
        <v>220708.77660000001</v>
      </c>
    </row>
    <row r="48" spans="2:11" x14ac:dyDescent="0.25">
      <c r="B48" s="22" t="s">
        <v>1533</v>
      </c>
      <c r="C48" s="44" t="s">
        <v>1534</v>
      </c>
      <c r="D48" s="23" t="s">
        <v>1535</v>
      </c>
      <c r="E48" s="24" t="s">
        <v>1355</v>
      </c>
      <c r="F48" s="24" t="s">
        <v>1527</v>
      </c>
      <c r="G48" s="24" t="s">
        <v>1536</v>
      </c>
      <c r="H48" s="24" t="s">
        <v>1374</v>
      </c>
      <c r="I48" s="45">
        <v>15021.05</v>
      </c>
      <c r="J48" s="46">
        <v>10.92</v>
      </c>
      <c r="K48" s="47">
        <f t="shared" si="1"/>
        <v>164029.86599999998</v>
      </c>
    </row>
    <row r="49" spans="2:11" x14ac:dyDescent="0.25">
      <c r="B49" s="22" t="s">
        <v>1537</v>
      </c>
      <c r="C49" s="44" t="s">
        <v>1538</v>
      </c>
      <c r="D49" s="23" t="s">
        <v>1539</v>
      </c>
      <c r="E49" s="24" t="s">
        <v>1355</v>
      </c>
      <c r="F49" s="24" t="s">
        <v>1527</v>
      </c>
      <c r="G49" s="24" t="s">
        <v>1540</v>
      </c>
      <c r="H49" s="24" t="s">
        <v>1374</v>
      </c>
      <c r="I49" s="45">
        <v>121417.43</v>
      </c>
      <c r="J49" s="46">
        <v>62.83</v>
      </c>
      <c r="K49" s="47">
        <f t="shared" si="1"/>
        <v>7628657.1268999996</v>
      </c>
    </row>
    <row r="50" spans="2:11" x14ac:dyDescent="0.25">
      <c r="B50" s="22" t="s">
        <v>1541</v>
      </c>
      <c r="C50" s="44" t="s">
        <v>1542</v>
      </c>
      <c r="D50" s="23" t="s">
        <v>1543</v>
      </c>
      <c r="E50" s="24" t="s">
        <v>1355</v>
      </c>
      <c r="F50" s="24" t="s">
        <v>1527</v>
      </c>
      <c r="G50" s="24" t="s">
        <v>1544</v>
      </c>
      <c r="H50" s="24" t="s">
        <v>1383</v>
      </c>
      <c r="I50" s="45">
        <v>23510.93</v>
      </c>
      <c r="J50" s="46">
        <v>96</v>
      </c>
      <c r="K50" s="47">
        <f t="shared" si="1"/>
        <v>2257049.2800000003</v>
      </c>
    </row>
    <row r="51" spans="2:11" x14ac:dyDescent="0.25">
      <c r="B51" s="22" t="s">
        <v>1545</v>
      </c>
      <c r="C51" s="44" t="s">
        <v>1546</v>
      </c>
      <c r="D51" s="23" t="s">
        <v>1547</v>
      </c>
      <c r="E51" s="24" t="s">
        <v>1355</v>
      </c>
      <c r="F51" s="24" t="s">
        <v>1527</v>
      </c>
      <c r="G51" s="24" t="s">
        <v>1548</v>
      </c>
      <c r="H51" s="24" t="s">
        <v>1383</v>
      </c>
      <c r="I51" s="45">
        <v>110292.14</v>
      </c>
      <c r="J51" s="46">
        <v>64.680000000000007</v>
      </c>
      <c r="K51" s="47">
        <f t="shared" si="1"/>
        <v>7133695.6152000008</v>
      </c>
    </row>
    <row r="52" spans="2:11" x14ac:dyDescent="0.25">
      <c r="B52" s="22" t="s">
        <v>1549</v>
      </c>
      <c r="C52" s="44" t="s">
        <v>1550</v>
      </c>
      <c r="D52" s="23" t="s">
        <v>1551</v>
      </c>
      <c r="E52" s="24" t="s">
        <v>1355</v>
      </c>
      <c r="F52" s="24" t="s">
        <v>1527</v>
      </c>
      <c r="G52" s="24" t="s">
        <v>1552</v>
      </c>
      <c r="H52" s="24" t="s">
        <v>1383</v>
      </c>
      <c r="I52" s="45">
        <v>8338.5499999999993</v>
      </c>
      <c r="J52" s="46">
        <v>80.069999999999993</v>
      </c>
      <c r="K52" s="47">
        <f t="shared" si="1"/>
        <v>667667.69849999994</v>
      </c>
    </row>
    <row r="53" spans="2:11" x14ac:dyDescent="0.25">
      <c r="B53" s="22" t="s">
        <v>1553</v>
      </c>
      <c r="C53" s="44" t="s">
        <v>1554</v>
      </c>
      <c r="D53" s="23" t="s">
        <v>1555</v>
      </c>
      <c r="E53" s="24" t="s">
        <v>1355</v>
      </c>
      <c r="F53" s="24" t="s">
        <v>1527</v>
      </c>
      <c r="G53" s="24" t="s">
        <v>1556</v>
      </c>
      <c r="H53" s="24" t="s">
        <v>1557</v>
      </c>
      <c r="I53" s="45">
        <v>270419.44</v>
      </c>
      <c r="J53" s="46">
        <v>8.52</v>
      </c>
      <c r="K53" s="47">
        <f t="shared" si="1"/>
        <v>2303973.6288000001</v>
      </c>
    </row>
    <row r="54" spans="2:11" x14ac:dyDescent="0.25">
      <c r="B54" s="22" t="s">
        <v>1558</v>
      </c>
      <c r="C54" s="44" t="s">
        <v>1559</v>
      </c>
      <c r="D54" s="23" t="s">
        <v>1560</v>
      </c>
      <c r="E54" s="24" t="s">
        <v>1355</v>
      </c>
      <c r="F54" s="24" t="s">
        <v>1527</v>
      </c>
      <c r="G54" s="24" t="s">
        <v>1561</v>
      </c>
      <c r="H54" s="24" t="s">
        <v>1374</v>
      </c>
      <c r="I54" s="45">
        <v>453.61</v>
      </c>
      <c r="J54" s="46">
        <v>386.3</v>
      </c>
      <c r="K54" s="47">
        <f t="shared" si="1"/>
        <v>175229.54300000001</v>
      </c>
    </row>
    <row r="55" spans="2:11" x14ac:dyDescent="0.25">
      <c r="B55" s="22" t="s">
        <v>1562</v>
      </c>
      <c r="C55" s="44" t="s">
        <v>1563</v>
      </c>
      <c r="D55" s="23" t="s">
        <v>1564</v>
      </c>
      <c r="E55" s="24" t="s">
        <v>1355</v>
      </c>
      <c r="F55" s="24" t="s">
        <v>1527</v>
      </c>
      <c r="G55" s="24" t="s">
        <v>1565</v>
      </c>
      <c r="H55" s="24" t="s">
        <v>1374</v>
      </c>
      <c r="I55" s="45">
        <v>1241.07</v>
      </c>
      <c r="J55" s="46">
        <v>426.19</v>
      </c>
      <c r="K55" s="47">
        <f t="shared" si="1"/>
        <v>528931.62329999998</v>
      </c>
    </row>
    <row r="56" spans="2:11" x14ac:dyDescent="0.25">
      <c r="B56" s="22" t="s">
        <v>1566</v>
      </c>
      <c r="C56" s="44" t="s">
        <v>1567</v>
      </c>
      <c r="D56" s="23" t="s">
        <v>1568</v>
      </c>
      <c r="E56" s="24" t="s">
        <v>1355</v>
      </c>
      <c r="F56" s="24" t="s">
        <v>1527</v>
      </c>
      <c r="G56" s="24" t="s">
        <v>1569</v>
      </c>
      <c r="H56" s="24" t="s">
        <v>1374</v>
      </c>
      <c r="I56" s="45">
        <v>1248.8399999999999</v>
      </c>
      <c r="J56" s="46">
        <v>455.28</v>
      </c>
      <c r="K56" s="47">
        <f t="shared" si="1"/>
        <v>568571.87519999989</v>
      </c>
    </row>
    <row r="57" spans="2:11" x14ac:dyDescent="0.25">
      <c r="B57" s="22" t="s">
        <v>1570</v>
      </c>
      <c r="C57" s="44" t="s">
        <v>1571</v>
      </c>
      <c r="D57" s="23" t="s">
        <v>1572</v>
      </c>
      <c r="E57" s="24" t="s">
        <v>1355</v>
      </c>
      <c r="F57" s="24" t="s">
        <v>1527</v>
      </c>
      <c r="G57" s="24" t="s">
        <v>1573</v>
      </c>
      <c r="H57" s="24" t="s">
        <v>1374</v>
      </c>
      <c r="I57" s="45">
        <v>1049.76</v>
      </c>
      <c r="J57" s="46">
        <v>467.63</v>
      </c>
      <c r="K57" s="47">
        <f t="shared" si="1"/>
        <v>490899.26880000002</v>
      </c>
    </row>
    <row r="58" spans="2:11" x14ac:dyDescent="0.25">
      <c r="B58" s="22" t="s">
        <v>1574</v>
      </c>
      <c r="C58" s="44" t="s">
        <v>1575</v>
      </c>
      <c r="D58" s="23" t="s">
        <v>1576</v>
      </c>
      <c r="E58" s="24" t="s">
        <v>1355</v>
      </c>
      <c r="F58" s="24" t="s">
        <v>1527</v>
      </c>
      <c r="G58" s="24" t="s">
        <v>1577</v>
      </c>
      <c r="H58" s="24" t="s">
        <v>1374</v>
      </c>
      <c r="I58" s="45">
        <v>1706.98</v>
      </c>
      <c r="J58" s="46">
        <v>610.14</v>
      </c>
      <c r="K58" s="47">
        <f t="shared" si="1"/>
        <v>1041496.7772</v>
      </c>
    </row>
    <row r="59" spans="2:11" x14ac:dyDescent="0.25">
      <c r="B59" s="22" t="s">
        <v>1578</v>
      </c>
      <c r="C59" s="44" t="s">
        <v>1579</v>
      </c>
      <c r="D59" s="23" t="s">
        <v>1580</v>
      </c>
      <c r="E59" s="24" t="s">
        <v>1355</v>
      </c>
      <c r="F59" s="24" t="s">
        <v>1527</v>
      </c>
      <c r="G59" s="24" t="s">
        <v>1581</v>
      </c>
      <c r="H59" s="24" t="s">
        <v>1374</v>
      </c>
      <c r="I59" s="45">
        <v>2271.85</v>
      </c>
      <c r="J59" s="46">
        <v>460.87</v>
      </c>
      <c r="K59" s="47">
        <f t="shared" si="1"/>
        <v>1047027.5094999999</v>
      </c>
    </row>
    <row r="60" spans="2:11" x14ac:dyDescent="0.25">
      <c r="B60" s="22" t="s">
        <v>1582</v>
      </c>
      <c r="C60" s="44" t="s">
        <v>1583</v>
      </c>
      <c r="D60" s="23" t="s">
        <v>1584</v>
      </c>
      <c r="E60" s="24" t="s">
        <v>1355</v>
      </c>
      <c r="F60" s="24" t="s">
        <v>1527</v>
      </c>
      <c r="G60" s="24" t="s">
        <v>1585</v>
      </c>
      <c r="H60" s="24" t="s">
        <v>1383</v>
      </c>
      <c r="I60" s="45">
        <v>10811.41</v>
      </c>
      <c r="J60" s="46">
        <v>34.409999999999997</v>
      </c>
      <c r="K60" s="47">
        <f t="shared" si="1"/>
        <v>372020.61809999996</v>
      </c>
    </row>
    <row r="61" spans="2:11" x14ac:dyDescent="0.25">
      <c r="B61" s="22" t="s">
        <v>1586</v>
      </c>
      <c r="C61" s="44" t="s">
        <v>1587</v>
      </c>
      <c r="D61" s="23" t="s">
        <v>1588</v>
      </c>
      <c r="E61" s="24" t="s">
        <v>1355</v>
      </c>
      <c r="F61" s="24" t="s">
        <v>1527</v>
      </c>
      <c r="G61" s="24" t="s">
        <v>1589</v>
      </c>
      <c r="H61" s="24" t="s">
        <v>1374</v>
      </c>
      <c r="I61" s="45">
        <v>7411.57</v>
      </c>
      <c r="J61" s="46">
        <v>98.43</v>
      </c>
      <c r="K61" s="47">
        <f t="shared" si="1"/>
        <v>729520.83510000003</v>
      </c>
    </row>
    <row r="62" spans="2:11" x14ac:dyDescent="0.25">
      <c r="B62" s="22" t="s">
        <v>1590</v>
      </c>
      <c r="C62" s="44" t="s">
        <v>1591</v>
      </c>
      <c r="D62" s="23" t="s">
        <v>1592</v>
      </c>
      <c r="E62" s="24" t="s">
        <v>1355</v>
      </c>
      <c r="F62" s="24" t="s">
        <v>1527</v>
      </c>
      <c r="G62" s="24" t="s">
        <v>1593</v>
      </c>
      <c r="H62" s="24" t="s">
        <v>1374</v>
      </c>
      <c r="I62" s="45">
        <v>110624.59</v>
      </c>
      <c r="J62" s="46">
        <v>24.16</v>
      </c>
      <c r="K62" s="47">
        <f t="shared" si="1"/>
        <v>2672690.0943999998</v>
      </c>
    </row>
    <row r="63" spans="2:11" x14ac:dyDescent="0.25">
      <c r="B63" s="22" t="s">
        <v>1594</v>
      </c>
      <c r="C63" s="44" t="s">
        <v>1595</v>
      </c>
      <c r="D63" s="23" t="s">
        <v>1596</v>
      </c>
      <c r="E63" s="24" t="s">
        <v>1355</v>
      </c>
      <c r="F63" s="24" t="s">
        <v>1527</v>
      </c>
      <c r="G63" s="24" t="s">
        <v>1597</v>
      </c>
      <c r="H63" s="18" t="s">
        <v>1361</v>
      </c>
      <c r="I63" s="45">
        <v>1534</v>
      </c>
      <c r="J63" s="46">
        <v>183.95</v>
      </c>
      <c r="K63" s="47">
        <f t="shared" si="1"/>
        <v>282179.3</v>
      </c>
    </row>
    <row r="64" spans="2:11" x14ac:dyDescent="0.25">
      <c r="B64" s="22" t="s">
        <v>1598</v>
      </c>
      <c r="C64" s="44" t="s">
        <v>1599</v>
      </c>
      <c r="D64" s="23" t="s">
        <v>1600</v>
      </c>
      <c r="E64" s="24" t="s">
        <v>1355</v>
      </c>
      <c r="F64" s="24" t="s">
        <v>1527</v>
      </c>
      <c r="G64" s="24" t="s">
        <v>1601</v>
      </c>
      <c r="H64" s="18" t="s">
        <v>1361</v>
      </c>
      <c r="I64" s="45">
        <v>10654.4</v>
      </c>
      <c r="J64" s="46">
        <v>224.28</v>
      </c>
      <c r="K64" s="47">
        <f t="shared" si="1"/>
        <v>2389568.8319999999</v>
      </c>
    </row>
    <row r="65" spans="2:11" x14ac:dyDescent="0.25">
      <c r="B65" s="22" t="s">
        <v>1602</v>
      </c>
      <c r="C65" s="44" t="s">
        <v>1603</v>
      </c>
      <c r="D65" s="23" t="s">
        <v>1604</v>
      </c>
      <c r="E65" s="24" t="s">
        <v>1355</v>
      </c>
      <c r="F65" s="24" t="s">
        <v>1527</v>
      </c>
      <c r="G65" s="24" t="s">
        <v>1605</v>
      </c>
      <c r="H65" s="18" t="s">
        <v>1361</v>
      </c>
      <c r="I65" s="45">
        <v>5361</v>
      </c>
      <c r="J65" s="46">
        <v>328.77</v>
      </c>
      <c r="K65" s="47">
        <f t="shared" si="1"/>
        <v>1762535.97</v>
      </c>
    </row>
    <row r="66" spans="2:11" x14ac:dyDescent="0.25">
      <c r="B66" s="22" t="s">
        <v>1606</v>
      </c>
      <c r="C66" s="44" t="s">
        <v>1607</v>
      </c>
      <c r="D66" s="23" t="s">
        <v>1608</v>
      </c>
      <c r="E66" s="24" t="s">
        <v>1355</v>
      </c>
      <c r="F66" s="24" t="s">
        <v>1527</v>
      </c>
      <c r="G66" s="24" t="s">
        <v>1609</v>
      </c>
      <c r="H66" s="18" t="s">
        <v>1361</v>
      </c>
      <c r="I66" s="45">
        <v>2367</v>
      </c>
      <c r="J66" s="46">
        <v>453.48</v>
      </c>
      <c r="K66" s="47">
        <f t="shared" si="1"/>
        <v>1073387.1600000001</v>
      </c>
    </row>
    <row r="67" spans="2:11" x14ac:dyDescent="0.25">
      <c r="B67" s="22" t="s">
        <v>1610</v>
      </c>
      <c r="C67" s="44" t="s">
        <v>1611</v>
      </c>
      <c r="D67" s="23" t="s">
        <v>1612</v>
      </c>
      <c r="E67" s="24" t="s">
        <v>1355</v>
      </c>
      <c r="F67" s="24" t="s">
        <v>1527</v>
      </c>
      <c r="G67" s="24" t="s">
        <v>1613</v>
      </c>
      <c r="H67" s="24" t="s">
        <v>1614</v>
      </c>
      <c r="I67" s="45">
        <v>1796</v>
      </c>
      <c r="J67" s="46">
        <v>715.88</v>
      </c>
      <c r="K67" s="47">
        <f t="shared" si="1"/>
        <v>1285720.48</v>
      </c>
    </row>
    <row r="68" spans="2:11" x14ac:dyDescent="0.25">
      <c r="B68" s="22" t="s">
        <v>1615</v>
      </c>
      <c r="C68" s="44" t="s">
        <v>1616</v>
      </c>
      <c r="D68" s="23" t="s">
        <v>1617</v>
      </c>
      <c r="E68" s="24" t="s">
        <v>1355</v>
      </c>
      <c r="F68" s="24" t="s">
        <v>1527</v>
      </c>
      <c r="G68" s="24" t="s">
        <v>1618</v>
      </c>
      <c r="H68" s="24" t="s">
        <v>1374</v>
      </c>
      <c r="I68" s="45">
        <v>1599.94</v>
      </c>
      <c r="J68" s="46">
        <v>603.32000000000005</v>
      </c>
      <c r="K68" s="47">
        <f t="shared" si="1"/>
        <v>965275.80080000008</v>
      </c>
    </row>
    <row r="69" spans="2:11" x14ac:dyDescent="0.25">
      <c r="B69" s="22" t="s">
        <v>1619</v>
      </c>
      <c r="C69" s="44" t="s">
        <v>1620</v>
      </c>
      <c r="D69" s="23" t="s">
        <v>1621</v>
      </c>
      <c r="E69" s="24" t="s">
        <v>1355</v>
      </c>
      <c r="F69" s="24" t="s">
        <v>1527</v>
      </c>
      <c r="G69" s="24" t="s">
        <v>1622</v>
      </c>
      <c r="H69" s="24" t="s">
        <v>1374</v>
      </c>
      <c r="I69" s="45">
        <v>1326.05</v>
      </c>
      <c r="J69" s="46">
        <v>751.75</v>
      </c>
      <c r="K69" s="47">
        <f t="shared" si="1"/>
        <v>996858.08750000002</v>
      </c>
    </row>
    <row r="70" spans="2:11" x14ac:dyDescent="0.25">
      <c r="B70" s="22" t="s">
        <v>1623</v>
      </c>
      <c r="C70" s="44" t="s">
        <v>1624</v>
      </c>
      <c r="D70" s="23" t="s">
        <v>1625</v>
      </c>
      <c r="E70" s="24" t="s">
        <v>1355</v>
      </c>
      <c r="F70" s="24" t="s">
        <v>1527</v>
      </c>
      <c r="G70" s="24" t="s">
        <v>1626</v>
      </c>
      <c r="H70" s="24" t="s">
        <v>1627</v>
      </c>
      <c r="I70" s="45">
        <v>466</v>
      </c>
      <c r="J70" s="46">
        <v>455.44</v>
      </c>
      <c r="K70" s="47">
        <f t="shared" si="1"/>
        <v>212235.04</v>
      </c>
    </row>
    <row r="71" spans="2:11" x14ac:dyDescent="0.25">
      <c r="B71" s="22" t="s">
        <v>1628</v>
      </c>
      <c r="C71" s="44" t="s">
        <v>1629</v>
      </c>
      <c r="D71" s="23" t="s">
        <v>1630</v>
      </c>
      <c r="E71" s="24" t="s">
        <v>1355</v>
      </c>
      <c r="F71" s="24" t="s">
        <v>1527</v>
      </c>
      <c r="G71" s="24" t="s">
        <v>1631</v>
      </c>
      <c r="H71" s="24" t="s">
        <v>1627</v>
      </c>
      <c r="I71" s="45">
        <v>22</v>
      </c>
      <c r="J71" s="46">
        <v>6466.5</v>
      </c>
      <c r="K71" s="47">
        <f t="shared" si="1"/>
        <v>142263</v>
      </c>
    </row>
    <row r="72" spans="2:11" x14ac:dyDescent="0.25">
      <c r="B72" s="22" t="s">
        <v>1632</v>
      </c>
      <c r="C72" s="44" t="s">
        <v>1633</v>
      </c>
      <c r="D72" s="23" t="s">
        <v>1634</v>
      </c>
      <c r="E72" s="24" t="s">
        <v>1355</v>
      </c>
      <c r="F72" s="24" t="s">
        <v>1527</v>
      </c>
      <c r="G72" s="24" t="s">
        <v>1635</v>
      </c>
      <c r="H72" s="24" t="s">
        <v>1627</v>
      </c>
      <c r="I72" s="45">
        <v>2</v>
      </c>
      <c r="J72" s="46">
        <v>3510</v>
      </c>
      <c r="K72" s="47">
        <f t="shared" si="1"/>
        <v>7020</v>
      </c>
    </row>
    <row r="73" spans="2:11" x14ac:dyDescent="0.25">
      <c r="B73" s="22" t="s">
        <v>1636</v>
      </c>
      <c r="C73" s="44" t="s">
        <v>1637</v>
      </c>
      <c r="D73" s="23" t="s">
        <v>1638</v>
      </c>
      <c r="E73" s="24" t="s">
        <v>1355</v>
      </c>
      <c r="F73" s="24" t="s">
        <v>1527</v>
      </c>
      <c r="G73" s="24" t="s">
        <v>1639</v>
      </c>
      <c r="H73" s="24" t="s">
        <v>1627</v>
      </c>
      <c r="I73" s="45">
        <v>605</v>
      </c>
      <c r="J73" s="46">
        <v>83.05</v>
      </c>
      <c r="K73" s="47">
        <f t="shared" si="1"/>
        <v>50245.25</v>
      </c>
    </row>
    <row r="74" spans="2:11" x14ac:dyDescent="0.25">
      <c r="B74" s="22" t="s">
        <v>1640</v>
      </c>
      <c r="C74" s="44" t="s">
        <v>1641</v>
      </c>
      <c r="D74" s="23" t="s">
        <v>1642</v>
      </c>
      <c r="E74" s="24" t="s">
        <v>1355</v>
      </c>
      <c r="F74" s="24" t="s">
        <v>1527</v>
      </c>
      <c r="G74" s="24" t="s">
        <v>1643</v>
      </c>
      <c r="H74" s="24" t="s">
        <v>1627</v>
      </c>
      <c r="I74" s="45">
        <v>2148</v>
      </c>
      <c r="J74" s="46">
        <v>83.05</v>
      </c>
      <c r="K74" s="47">
        <f t="shared" si="1"/>
        <v>178391.4</v>
      </c>
    </row>
    <row r="75" spans="2:11" x14ac:dyDescent="0.25">
      <c r="B75" s="22" t="s">
        <v>1644</v>
      </c>
      <c r="C75" s="44" t="s">
        <v>1645</v>
      </c>
      <c r="D75" s="23" t="s">
        <v>1646</v>
      </c>
      <c r="E75" s="24" t="s">
        <v>1355</v>
      </c>
      <c r="F75" s="24" t="s">
        <v>1527</v>
      </c>
      <c r="G75" s="24" t="s">
        <v>1647</v>
      </c>
      <c r="H75" s="24" t="s">
        <v>1627</v>
      </c>
      <c r="I75" s="45">
        <v>8592</v>
      </c>
      <c r="J75" s="46">
        <v>83.05</v>
      </c>
      <c r="K75" s="47">
        <f t="shared" si="1"/>
        <v>713565.6</v>
      </c>
    </row>
    <row r="76" spans="2:11" x14ac:dyDescent="0.25">
      <c r="B76" s="22" t="s">
        <v>1648</v>
      </c>
      <c r="C76" s="44" t="s">
        <v>1649</v>
      </c>
      <c r="D76" s="23" t="s">
        <v>1650</v>
      </c>
      <c r="E76" s="24" t="s">
        <v>1355</v>
      </c>
      <c r="F76" s="24" t="s">
        <v>1527</v>
      </c>
      <c r="G76" s="24" t="s">
        <v>1651</v>
      </c>
      <c r="H76" s="18" t="s">
        <v>1361</v>
      </c>
      <c r="I76" s="45">
        <v>2166</v>
      </c>
      <c r="J76" s="46">
        <v>510.91</v>
      </c>
      <c r="K76" s="47">
        <f t="shared" si="1"/>
        <v>1106631.06</v>
      </c>
    </row>
    <row r="77" spans="2:11" x14ac:dyDescent="0.25">
      <c r="B77" s="22" t="s">
        <v>1652</v>
      </c>
      <c r="C77" s="44" t="s">
        <v>1653</v>
      </c>
      <c r="D77" s="23" t="s">
        <v>1654</v>
      </c>
      <c r="E77" s="24" t="s">
        <v>1355</v>
      </c>
      <c r="F77" s="24" t="s">
        <v>1527</v>
      </c>
      <c r="G77" s="24" t="s">
        <v>1655</v>
      </c>
      <c r="H77" s="18" t="s">
        <v>1361</v>
      </c>
      <c r="I77" s="45">
        <v>690.6</v>
      </c>
      <c r="J77" s="46">
        <v>343.28</v>
      </c>
      <c r="K77" s="47">
        <f t="shared" si="1"/>
        <v>237069.16799999998</v>
      </c>
    </row>
    <row r="78" spans="2:11" x14ac:dyDescent="0.25">
      <c r="B78" s="22" t="s">
        <v>1656</v>
      </c>
      <c r="C78" s="44" t="s">
        <v>1657</v>
      </c>
      <c r="D78" s="23" t="s">
        <v>1658</v>
      </c>
      <c r="E78" s="24" t="s">
        <v>1355</v>
      </c>
      <c r="F78" s="24" t="s">
        <v>1527</v>
      </c>
      <c r="G78" s="24" t="s">
        <v>1659</v>
      </c>
      <c r="H78" s="24" t="s">
        <v>1627</v>
      </c>
      <c r="I78" s="45">
        <v>130</v>
      </c>
      <c r="J78" s="46">
        <v>133.96</v>
      </c>
      <c r="K78" s="47">
        <f t="shared" si="1"/>
        <v>17414.8</v>
      </c>
    </row>
    <row r="79" spans="2:11" ht="13.5" thickBot="1" x14ac:dyDescent="0.3">
      <c r="B79" s="22" t="s">
        <v>1660</v>
      </c>
      <c r="C79" s="48" t="s">
        <v>1661</v>
      </c>
      <c r="D79" s="29" t="s">
        <v>1662</v>
      </c>
      <c r="E79" s="30" t="s">
        <v>1355</v>
      </c>
      <c r="F79" s="30" t="s">
        <v>1527</v>
      </c>
      <c r="G79" s="30" t="s">
        <v>1663</v>
      </c>
      <c r="H79" s="24" t="s">
        <v>1383</v>
      </c>
      <c r="I79" s="49">
        <v>10386</v>
      </c>
      <c r="J79" s="50">
        <v>55.24</v>
      </c>
      <c r="K79" s="51">
        <f t="shared" si="1"/>
        <v>573722.64</v>
      </c>
    </row>
    <row r="80" spans="2:11" ht="13.5" thickBot="1" x14ac:dyDescent="0.3">
      <c r="B80" s="22" t="s">
        <v>1664</v>
      </c>
      <c r="C80" s="34">
        <v>5</v>
      </c>
      <c r="D80" s="52">
        <v>25</v>
      </c>
      <c r="E80" s="36" t="s">
        <v>1355</v>
      </c>
      <c r="F80" s="36" t="s">
        <v>1665</v>
      </c>
      <c r="G80" s="36"/>
      <c r="H80" s="36" t="s">
        <v>1528</v>
      </c>
      <c r="I80" s="37"/>
      <c r="J80" s="38"/>
      <c r="K80" s="39"/>
    </row>
    <row r="81" spans="2:11" x14ac:dyDescent="0.25">
      <c r="B81" s="22" t="s">
        <v>1666</v>
      </c>
      <c r="C81" s="40" t="s">
        <v>1667</v>
      </c>
      <c r="D81" s="17" t="s">
        <v>1668</v>
      </c>
      <c r="E81" s="18" t="s">
        <v>1355</v>
      </c>
      <c r="F81" s="18" t="s">
        <v>1665</v>
      </c>
      <c r="G81" s="18" t="s">
        <v>1669</v>
      </c>
      <c r="H81" s="24" t="s">
        <v>1374</v>
      </c>
      <c r="I81" s="41">
        <v>1562.9</v>
      </c>
      <c r="J81" s="42">
        <v>294.37</v>
      </c>
      <c r="K81" s="43">
        <f>I81*J81</f>
        <v>460070.87300000002</v>
      </c>
    </row>
    <row r="82" spans="2:11" x14ac:dyDescent="0.25">
      <c r="B82" s="22" t="s">
        <v>1670</v>
      </c>
      <c r="C82" s="44" t="s">
        <v>1671</v>
      </c>
      <c r="D82" s="23" t="s">
        <v>1427</v>
      </c>
      <c r="E82" s="24" t="s">
        <v>1355</v>
      </c>
      <c r="F82" s="24" t="s">
        <v>1665</v>
      </c>
      <c r="G82" s="24" t="s">
        <v>1428</v>
      </c>
      <c r="H82" s="24" t="s">
        <v>1374</v>
      </c>
      <c r="I82" s="45">
        <v>199090</v>
      </c>
      <c r="J82" s="46">
        <v>4.9000000000000004</v>
      </c>
      <c r="K82" s="47">
        <f t="shared" ref="K82:K115" si="2">I82*J82</f>
        <v>975541.00000000012</v>
      </c>
    </row>
    <row r="83" spans="2:11" x14ac:dyDescent="0.25">
      <c r="B83" s="22" t="s">
        <v>1672</v>
      </c>
      <c r="C83" s="44" t="s">
        <v>1673</v>
      </c>
      <c r="D83" s="23" t="s">
        <v>1674</v>
      </c>
      <c r="E83" s="24" t="s">
        <v>1355</v>
      </c>
      <c r="F83" s="24" t="s">
        <v>1665</v>
      </c>
      <c r="G83" s="24" t="s">
        <v>1675</v>
      </c>
      <c r="H83" s="24" t="s">
        <v>1374</v>
      </c>
      <c r="I83" s="45">
        <v>90000</v>
      </c>
      <c r="J83" s="46">
        <v>10.66</v>
      </c>
      <c r="K83" s="47">
        <f t="shared" si="2"/>
        <v>959400</v>
      </c>
    </row>
    <row r="84" spans="2:11" x14ac:dyDescent="0.25">
      <c r="B84" s="22" t="s">
        <v>1676</v>
      </c>
      <c r="C84" s="44" t="s">
        <v>1677</v>
      </c>
      <c r="D84" s="23" t="s">
        <v>1481</v>
      </c>
      <c r="E84" s="24" t="s">
        <v>1355</v>
      </c>
      <c r="F84" s="24" t="s">
        <v>1665</v>
      </c>
      <c r="G84" s="24" t="s">
        <v>1482</v>
      </c>
      <c r="H84" s="24" t="s">
        <v>1374</v>
      </c>
      <c r="I84" s="45">
        <v>268240</v>
      </c>
      <c r="J84" s="46">
        <v>2.21</v>
      </c>
      <c r="K84" s="47">
        <f t="shared" si="2"/>
        <v>592810.4</v>
      </c>
    </row>
    <row r="85" spans="2:11" x14ac:dyDescent="0.25">
      <c r="B85" s="22" t="s">
        <v>1678</v>
      </c>
      <c r="C85" s="44" t="s">
        <v>1679</v>
      </c>
      <c r="D85" s="23" t="s">
        <v>1455</v>
      </c>
      <c r="E85" s="24" t="s">
        <v>1355</v>
      </c>
      <c r="F85" s="24" t="s">
        <v>1665</v>
      </c>
      <c r="G85" s="24" t="s">
        <v>1456</v>
      </c>
      <c r="H85" s="30" t="s">
        <v>1418</v>
      </c>
      <c r="I85" s="45">
        <v>2836200</v>
      </c>
      <c r="J85" s="46">
        <v>1.26</v>
      </c>
      <c r="K85" s="47">
        <f t="shared" si="2"/>
        <v>3573612</v>
      </c>
    </row>
    <row r="86" spans="2:11" x14ac:dyDescent="0.25">
      <c r="B86" s="22" t="s">
        <v>1680</v>
      </c>
      <c r="C86" s="44" t="s">
        <v>1681</v>
      </c>
      <c r="D86" s="23" t="s">
        <v>1682</v>
      </c>
      <c r="E86" s="24" t="s">
        <v>1355</v>
      </c>
      <c r="F86" s="24" t="s">
        <v>1665</v>
      </c>
      <c r="G86" s="24" t="s">
        <v>1683</v>
      </c>
      <c r="H86" s="30" t="s">
        <v>1418</v>
      </c>
      <c r="I86" s="45">
        <v>7129600</v>
      </c>
      <c r="J86" s="46">
        <v>0.99</v>
      </c>
      <c r="K86" s="47">
        <f t="shared" si="2"/>
        <v>7058304</v>
      </c>
    </row>
    <row r="87" spans="2:11" x14ac:dyDescent="0.25">
      <c r="B87" s="22" t="s">
        <v>1684</v>
      </c>
      <c r="C87" s="44" t="s">
        <v>1685</v>
      </c>
      <c r="D87" s="23" t="s">
        <v>1686</v>
      </c>
      <c r="E87" s="24" t="s">
        <v>1355</v>
      </c>
      <c r="F87" s="24" t="s">
        <v>1665</v>
      </c>
      <c r="G87" s="24" t="s">
        <v>1687</v>
      </c>
      <c r="H87" s="30" t="s">
        <v>1418</v>
      </c>
      <c r="I87" s="45">
        <v>4394542.09</v>
      </c>
      <c r="J87" s="46">
        <v>2.41</v>
      </c>
      <c r="K87" s="47">
        <f t="shared" si="2"/>
        <v>10590846.436900001</v>
      </c>
    </row>
    <row r="88" spans="2:11" x14ac:dyDescent="0.25">
      <c r="B88" s="22" t="s">
        <v>1688</v>
      </c>
      <c r="C88" s="44" t="s">
        <v>1689</v>
      </c>
      <c r="D88" s="23" t="s">
        <v>1475</v>
      </c>
      <c r="E88" s="24" t="s">
        <v>1355</v>
      </c>
      <c r="F88" s="24" t="s">
        <v>1665</v>
      </c>
      <c r="G88" s="24" t="s">
        <v>1476</v>
      </c>
      <c r="H88" s="24" t="s">
        <v>1374</v>
      </c>
      <c r="I88" s="45">
        <v>189080</v>
      </c>
      <c r="J88" s="46">
        <v>3.01</v>
      </c>
      <c r="K88" s="47">
        <f t="shared" si="2"/>
        <v>569130.79999999993</v>
      </c>
    </row>
    <row r="89" spans="2:11" x14ac:dyDescent="0.25">
      <c r="B89" s="22" t="s">
        <v>1690</v>
      </c>
      <c r="C89" s="44" t="s">
        <v>1691</v>
      </c>
      <c r="D89" s="23" t="s">
        <v>1692</v>
      </c>
      <c r="E89" s="24" t="s">
        <v>1355</v>
      </c>
      <c r="F89" s="24" t="s">
        <v>1665</v>
      </c>
      <c r="G89" s="24" t="s">
        <v>1693</v>
      </c>
      <c r="H89" s="24" t="s">
        <v>1374</v>
      </c>
      <c r="I89" s="45">
        <v>24396</v>
      </c>
      <c r="J89" s="46">
        <v>101.3</v>
      </c>
      <c r="K89" s="47">
        <f t="shared" si="2"/>
        <v>2471314.7999999998</v>
      </c>
    </row>
    <row r="90" spans="2:11" x14ac:dyDescent="0.25">
      <c r="B90" s="22" t="s">
        <v>1694</v>
      </c>
      <c r="C90" s="44" t="s">
        <v>1695</v>
      </c>
      <c r="D90" s="23" t="s">
        <v>1696</v>
      </c>
      <c r="E90" s="24" t="s">
        <v>1355</v>
      </c>
      <c r="F90" s="24" t="s">
        <v>1665</v>
      </c>
      <c r="G90" s="24" t="s">
        <v>1697</v>
      </c>
      <c r="H90" s="24" t="s">
        <v>1374</v>
      </c>
      <c r="I90" s="45">
        <v>25662.52</v>
      </c>
      <c r="J90" s="46">
        <v>8.52</v>
      </c>
      <c r="K90" s="47">
        <f t="shared" si="2"/>
        <v>218644.6704</v>
      </c>
    </row>
    <row r="91" spans="2:11" x14ac:dyDescent="0.25">
      <c r="B91" s="22" t="s">
        <v>1698</v>
      </c>
      <c r="C91" s="44" t="s">
        <v>1699</v>
      </c>
      <c r="D91" s="23" t="s">
        <v>1700</v>
      </c>
      <c r="E91" s="24" t="s">
        <v>1355</v>
      </c>
      <c r="F91" s="24" t="s">
        <v>1665</v>
      </c>
      <c r="G91" s="24" t="s">
        <v>1701</v>
      </c>
      <c r="H91" s="24" t="s">
        <v>1374</v>
      </c>
      <c r="I91" s="45">
        <v>1100</v>
      </c>
      <c r="J91" s="46">
        <v>131.19</v>
      </c>
      <c r="K91" s="47">
        <f t="shared" si="2"/>
        <v>144309</v>
      </c>
    </row>
    <row r="92" spans="2:11" x14ac:dyDescent="0.25">
      <c r="B92" s="22" t="s">
        <v>1702</v>
      </c>
      <c r="C92" s="44" t="s">
        <v>1703</v>
      </c>
      <c r="D92" s="23" t="s">
        <v>1704</v>
      </c>
      <c r="E92" s="24" t="s">
        <v>1355</v>
      </c>
      <c r="F92" s="24" t="s">
        <v>1665</v>
      </c>
      <c r="G92" s="24" t="s">
        <v>1705</v>
      </c>
      <c r="H92" s="24" t="s">
        <v>1383</v>
      </c>
      <c r="I92" s="45">
        <v>40660</v>
      </c>
      <c r="J92" s="46">
        <v>16.95</v>
      </c>
      <c r="K92" s="47">
        <f t="shared" si="2"/>
        <v>689187</v>
      </c>
    </row>
    <row r="93" spans="2:11" x14ac:dyDescent="0.25">
      <c r="B93" s="22" t="s">
        <v>1706</v>
      </c>
      <c r="C93" s="44" t="s">
        <v>1707</v>
      </c>
      <c r="D93" s="23" t="s">
        <v>1708</v>
      </c>
      <c r="E93" s="24" t="s">
        <v>1355</v>
      </c>
      <c r="F93" s="24" t="s">
        <v>1665</v>
      </c>
      <c r="G93" s="24" t="s">
        <v>1709</v>
      </c>
      <c r="H93" s="18" t="s">
        <v>1361</v>
      </c>
      <c r="I93" s="45">
        <v>630</v>
      </c>
      <c r="J93" s="46">
        <v>44.53</v>
      </c>
      <c r="K93" s="47">
        <f t="shared" si="2"/>
        <v>28053.9</v>
      </c>
    </row>
    <row r="94" spans="2:11" x14ac:dyDescent="0.25">
      <c r="B94" s="22" t="s">
        <v>1710</v>
      </c>
      <c r="C94" s="44" t="s">
        <v>1711</v>
      </c>
      <c r="D94" s="23" t="s">
        <v>1712</v>
      </c>
      <c r="E94" s="24" t="s">
        <v>1355</v>
      </c>
      <c r="F94" s="24" t="s">
        <v>1665</v>
      </c>
      <c r="G94" s="24" t="s">
        <v>1713</v>
      </c>
      <c r="H94" s="24" t="s">
        <v>1627</v>
      </c>
      <c r="I94" s="45">
        <v>280</v>
      </c>
      <c r="J94" s="46">
        <v>334.46</v>
      </c>
      <c r="K94" s="47">
        <f t="shared" si="2"/>
        <v>93648.799999999988</v>
      </c>
    </row>
    <row r="95" spans="2:11" x14ac:dyDescent="0.25">
      <c r="B95" s="22" t="s">
        <v>1714</v>
      </c>
      <c r="C95" s="44" t="s">
        <v>1715</v>
      </c>
      <c r="D95" s="23" t="s">
        <v>1716</v>
      </c>
      <c r="E95" s="24" t="s">
        <v>1355</v>
      </c>
      <c r="F95" s="24" t="s">
        <v>1665</v>
      </c>
      <c r="G95" s="24" t="s">
        <v>1717</v>
      </c>
      <c r="H95" s="18" t="s">
        <v>1361</v>
      </c>
      <c r="I95" s="45">
        <v>9144</v>
      </c>
      <c r="J95" s="46">
        <v>35.42</v>
      </c>
      <c r="K95" s="47">
        <f t="shared" si="2"/>
        <v>323880.48000000004</v>
      </c>
    </row>
    <row r="96" spans="2:11" x14ac:dyDescent="0.25">
      <c r="B96" s="22" t="s">
        <v>1718</v>
      </c>
      <c r="C96" s="44" t="s">
        <v>1719</v>
      </c>
      <c r="D96" s="23" t="s">
        <v>1720</v>
      </c>
      <c r="E96" s="24" t="s">
        <v>1355</v>
      </c>
      <c r="F96" s="24" t="s">
        <v>1665</v>
      </c>
      <c r="G96" s="24" t="s">
        <v>1721</v>
      </c>
      <c r="H96" s="24" t="s">
        <v>1627</v>
      </c>
      <c r="I96" s="45">
        <v>10</v>
      </c>
      <c r="J96" s="46">
        <v>10475.85</v>
      </c>
      <c r="K96" s="47">
        <f t="shared" si="2"/>
        <v>104758.5</v>
      </c>
    </row>
    <row r="97" spans="2:11" x14ac:dyDescent="0.25">
      <c r="B97" s="22" t="s">
        <v>1722</v>
      </c>
      <c r="C97" s="44" t="s">
        <v>1723</v>
      </c>
      <c r="D97" s="23" t="s">
        <v>1724</v>
      </c>
      <c r="E97" s="24" t="s">
        <v>1355</v>
      </c>
      <c r="F97" s="24" t="s">
        <v>1665</v>
      </c>
      <c r="G97" s="24" t="s">
        <v>1725</v>
      </c>
      <c r="H97" s="18" t="s">
        <v>1361</v>
      </c>
      <c r="I97" s="45">
        <v>690</v>
      </c>
      <c r="J97" s="46">
        <v>114.75</v>
      </c>
      <c r="K97" s="47">
        <f t="shared" si="2"/>
        <v>79177.5</v>
      </c>
    </row>
    <row r="98" spans="2:11" x14ac:dyDescent="0.25">
      <c r="B98" s="22" t="s">
        <v>1726</v>
      </c>
      <c r="C98" s="44" t="s">
        <v>1727</v>
      </c>
      <c r="D98" s="23" t="s">
        <v>1728</v>
      </c>
      <c r="E98" s="24" t="s">
        <v>1355</v>
      </c>
      <c r="F98" s="24" t="s">
        <v>1665</v>
      </c>
      <c r="G98" s="24" t="s">
        <v>1729</v>
      </c>
      <c r="H98" s="24" t="s">
        <v>1627</v>
      </c>
      <c r="I98" s="45">
        <v>70</v>
      </c>
      <c r="J98" s="46">
        <v>31671</v>
      </c>
      <c r="K98" s="47">
        <f t="shared" si="2"/>
        <v>2216970</v>
      </c>
    </row>
    <row r="99" spans="2:11" x14ac:dyDescent="0.25">
      <c r="B99" s="22" t="s">
        <v>1730</v>
      </c>
      <c r="C99" s="44" t="s">
        <v>1731</v>
      </c>
      <c r="D99" s="23" t="s">
        <v>1732</v>
      </c>
      <c r="E99" s="24" t="s">
        <v>1355</v>
      </c>
      <c r="F99" s="24" t="s">
        <v>1665</v>
      </c>
      <c r="G99" s="24" t="s">
        <v>1536</v>
      </c>
      <c r="H99" s="24" t="s">
        <v>1374</v>
      </c>
      <c r="I99" s="45">
        <v>542191.72</v>
      </c>
      <c r="J99" s="46">
        <v>10.92</v>
      </c>
      <c r="K99" s="47">
        <f t="shared" si="2"/>
        <v>5920733.5823999997</v>
      </c>
    </row>
    <row r="100" spans="2:11" x14ac:dyDescent="0.25">
      <c r="B100" s="22" t="s">
        <v>1733</v>
      </c>
      <c r="C100" s="44" t="s">
        <v>1734</v>
      </c>
      <c r="D100" s="23" t="s">
        <v>1735</v>
      </c>
      <c r="E100" s="24" t="s">
        <v>1355</v>
      </c>
      <c r="F100" s="24" t="s">
        <v>1665</v>
      </c>
      <c r="G100" s="24" t="s">
        <v>1552</v>
      </c>
      <c r="H100" s="24" t="s">
        <v>1383</v>
      </c>
      <c r="I100" s="45">
        <v>15769.66</v>
      </c>
      <c r="J100" s="46">
        <v>80.069999999999993</v>
      </c>
      <c r="K100" s="47">
        <f t="shared" si="2"/>
        <v>1262676.6761999999</v>
      </c>
    </row>
    <row r="101" spans="2:11" x14ac:dyDescent="0.25">
      <c r="B101" s="22" t="s">
        <v>1736</v>
      </c>
      <c r="C101" s="44" t="s">
        <v>1737</v>
      </c>
      <c r="D101" s="23" t="s">
        <v>1738</v>
      </c>
      <c r="E101" s="24" t="s">
        <v>1355</v>
      </c>
      <c r="F101" s="24" t="s">
        <v>1665</v>
      </c>
      <c r="G101" s="24" t="s">
        <v>1556</v>
      </c>
      <c r="H101" s="24" t="s">
        <v>1557</v>
      </c>
      <c r="I101" s="45">
        <v>11022784.800000001</v>
      </c>
      <c r="J101" s="46">
        <v>8.52</v>
      </c>
      <c r="K101" s="47">
        <f t="shared" si="2"/>
        <v>93914126.496000007</v>
      </c>
    </row>
    <row r="102" spans="2:11" x14ac:dyDescent="0.25">
      <c r="B102" s="22" t="s">
        <v>1739</v>
      </c>
      <c r="C102" s="44" t="s">
        <v>1740</v>
      </c>
      <c r="D102" s="23" t="s">
        <v>1741</v>
      </c>
      <c r="E102" s="24" t="s">
        <v>1355</v>
      </c>
      <c r="F102" s="24" t="s">
        <v>1665</v>
      </c>
      <c r="G102" s="24" t="s">
        <v>1742</v>
      </c>
      <c r="H102" s="24" t="s">
        <v>1557</v>
      </c>
      <c r="I102" s="45">
        <v>198481.2</v>
      </c>
      <c r="J102" s="46">
        <v>9.1999999999999993</v>
      </c>
      <c r="K102" s="47">
        <f t="shared" si="2"/>
        <v>1826027.04</v>
      </c>
    </row>
    <row r="103" spans="2:11" x14ac:dyDescent="0.25">
      <c r="B103" s="22" t="s">
        <v>1743</v>
      </c>
      <c r="C103" s="44" t="s">
        <v>1744</v>
      </c>
      <c r="D103" s="23" t="s">
        <v>1745</v>
      </c>
      <c r="E103" s="24" t="s">
        <v>1355</v>
      </c>
      <c r="F103" s="24" t="s">
        <v>1665</v>
      </c>
      <c r="G103" s="24" t="s">
        <v>1746</v>
      </c>
      <c r="H103" s="24" t="s">
        <v>1557</v>
      </c>
      <c r="I103" s="45">
        <v>33033.550000000003</v>
      </c>
      <c r="J103" s="46">
        <v>7.38</v>
      </c>
      <c r="K103" s="47">
        <f t="shared" si="2"/>
        <v>243787.59900000002</v>
      </c>
    </row>
    <row r="104" spans="2:11" x14ac:dyDescent="0.25">
      <c r="B104" s="22" t="s">
        <v>1747</v>
      </c>
      <c r="C104" s="44" t="s">
        <v>1748</v>
      </c>
      <c r="D104" s="23" t="s">
        <v>1749</v>
      </c>
      <c r="E104" s="24" t="s">
        <v>1355</v>
      </c>
      <c r="F104" s="24" t="s">
        <v>1665</v>
      </c>
      <c r="G104" s="24" t="s">
        <v>1565</v>
      </c>
      <c r="H104" s="24" t="s">
        <v>1374</v>
      </c>
      <c r="I104" s="45">
        <v>1562.9</v>
      </c>
      <c r="J104" s="46">
        <v>426.19</v>
      </c>
      <c r="K104" s="47">
        <f t="shared" si="2"/>
        <v>666092.35100000002</v>
      </c>
    </row>
    <row r="105" spans="2:11" x14ac:dyDescent="0.25">
      <c r="B105" s="22" t="s">
        <v>1750</v>
      </c>
      <c r="C105" s="44" t="s">
        <v>1751</v>
      </c>
      <c r="D105" s="23" t="s">
        <v>1752</v>
      </c>
      <c r="E105" s="24" t="s">
        <v>1355</v>
      </c>
      <c r="F105" s="24" t="s">
        <v>1665</v>
      </c>
      <c r="G105" s="24" t="s">
        <v>1569</v>
      </c>
      <c r="H105" s="24" t="s">
        <v>1374</v>
      </c>
      <c r="I105" s="45">
        <v>108993</v>
      </c>
      <c r="J105" s="46">
        <v>455.28</v>
      </c>
      <c r="K105" s="47">
        <f t="shared" si="2"/>
        <v>49622333.039999999</v>
      </c>
    </row>
    <row r="106" spans="2:11" x14ac:dyDescent="0.25">
      <c r="B106" s="22" t="s">
        <v>1753</v>
      </c>
      <c r="C106" s="44" t="s">
        <v>1754</v>
      </c>
      <c r="D106" s="23" t="s">
        <v>1755</v>
      </c>
      <c r="E106" s="24" t="s">
        <v>1355</v>
      </c>
      <c r="F106" s="24" t="s">
        <v>1665</v>
      </c>
      <c r="G106" s="24" t="s">
        <v>1756</v>
      </c>
      <c r="H106" s="24" t="s">
        <v>1557</v>
      </c>
      <c r="I106" s="45">
        <v>1591744.5</v>
      </c>
      <c r="J106" s="46">
        <v>10.69</v>
      </c>
      <c r="K106" s="47">
        <f t="shared" si="2"/>
        <v>17015748.704999998</v>
      </c>
    </row>
    <row r="107" spans="2:11" x14ac:dyDescent="0.25">
      <c r="B107" s="22" t="s">
        <v>1757</v>
      </c>
      <c r="C107" s="44" t="s">
        <v>1758</v>
      </c>
      <c r="D107" s="23" t="s">
        <v>1759</v>
      </c>
      <c r="E107" s="24" t="s">
        <v>1355</v>
      </c>
      <c r="F107" s="24" t="s">
        <v>1665</v>
      </c>
      <c r="G107" s="24" t="s">
        <v>1760</v>
      </c>
      <c r="H107" s="24" t="s">
        <v>1557</v>
      </c>
      <c r="I107" s="45">
        <v>10492093.15</v>
      </c>
      <c r="J107" s="46">
        <v>10.89</v>
      </c>
      <c r="K107" s="47">
        <f t="shared" si="2"/>
        <v>114258894.40350001</v>
      </c>
    </row>
    <row r="108" spans="2:11" x14ac:dyDescent="0.25">
      <c r="B108" s="22" t="s">
        <v>1761</v>
      </c>
      <c r="C108" s="44" t="s">
        <v>1762</v>
      </c>
      <c r="D108" s="23" t="s">
        <v>1763</v>
      </c>
      <c r="E108" s="24" t="s">
        <v>1355</v>
      </c>
      <c r="F108" s="24" t="s">
        <v>1665</v>
      </c>
      <c r="G108" s="24" t="s">
        <v>1764</v>
      </c>
      <c r="H108" s="18" t="s">
        <v>1361</v>
      </c>
      <c r="I108" s="45">
        <v>1200</v>
      </c>
      <c r="J108" s="46">
        <v>4830</v>
      </c>
      <c r="K108" s="47">
        <f t="shared" si="2"/>
        <v>5796000</v>
      </c>
    </row>
    <row r="109" spans="2:11" x14ac:dyDescent="0.25">
      <c r="B109" s="22" t="s">
        <v>1765</v>
      </c>
      <c r="C109" s="44" t="s">
        <v>1766</v>
      </c>
      <c r="D109" s="23" t="s">
        <v>1767</v>
      </c>
      <c r="E109" s="24" t="s">
        <v>1355</v>
      </c>
      <c r="F109" s="24" t="s">
        <v>1665</v>
      </c>
      <c r="G109" s="24" t="s">
        <v>1768</v>
      </c>
      <c r="H109" s="24" t="s">
        <v>1374</v>
      </c>
      <c r="I109" s="45">
        <v>48342.36</v>
      </c>
      <c r="J109" s="46">
        <v>541.88</v>
      </c>
      <c r="K109" s="47">
        <f t="shared" si="2"/>
        <v>26195758.036800001</v>
      </c>
    </row>
    <row r="110" spans="2:11" x14ac:dyDescent="0.25">
      <c r="B110" s="22" t="s">
        <v>1769</v>
      </c>
      <c r="C110" s="44" t="s">
        <v>1770</v>
      </c>
      <c r="D110" s="23" t="s">
        <v>1771</v>
      </c>
      <c r="E110" s="24" t="s">
        <v>1355</v>
      </c>
      <c r="F110" s="24" t="s">
        <v>1665</v>
      </c>
      <c r="G110" s="24" t="s">
        <v>1772</v>
      </c>
      <c r="H110" s="24" t="s">
        <v>1374</v>
      </c>
      <c r="I110" s="45">
        <v>29731.05</v>
      </c>
      <c r="J110" s="46">
        <v>3427.5</v>
      </c>
      <c r="K110" s="47">
        <f t="shared" si="2"/>
        <v>101903173.875</v>
      </c>
    </row>
    <row r="111" spans="2:11" x14ac:dyDescent="0.25">
      <c r="B111" s="22" t="s">
        <v>1773</v>
      </c>
      <c r="C111" s="44" t="s">
        <v>1774</v>
      </c>
      <c r="D111" s="23" t="s">
        <v>1775</v>
      </c>
      <c r="E111" s="24" t="s">
        <v>1355</v>
      </c>
      <c r="F111" s="24" t="s">
        <v>1665</v>
      </c>
      <c r="G111" s="24" t="s">
        <v>1776</v>
      </c>
      <c r="H111" s="24" t="s">
        <v>1374</v>
      </c>
      <c r="I111" s="45">
        <v>11993</v>
      </c>
      <c r="J111" s="46">
        <v>3427.5</v>
      </c>
      <c r="K111" s="47">
        <f t="shared" si="2"/>
        <v>41106007.5</v>
      </c>
    </row>
    <row r="112" spans="2:11" x14ac:dyDescent="0.25">
      <c r="B112" s="22" t="s">
        <v>1777</v>
      </c>
      <c r="C112" s="44" t="s">
        <v>1778</v>
      </c>
      <c r="D112" s="23" t="s">
        <v>1779</v>
      </c>
      <c r="E112" s="24" t="s">
        <v>1355</v>
      </c>
      <c r="F112" s="24" t="s">
        <v>1665</v>
      </c>
      <c r="G112" s="24" t="s">
        <v>1780</v>
      </c>
      <c r="H112" s="24" t="s">
        <v>1374</v>
      </c>
      <c r="I112" s="45">
        <v>11993</v>
      </c>
      <c r="J112" s="46">
        <v>541.88</v>
      </c>
      <c r="K112" s="47">
        <f t="shared" si="2"/>
        <v>6498766.8399999999</v>
      </c>
    </row>
    <row r="113" spans="2:11" x14ac:dyDescent="0.25">
      <c r="B113" s="22" t="s">
        <v>1781</v>
      </c>
      <c r="C113" s="44" t="s">
        <v>1782</v>
      </c>
      <c r="D113" s="23" t="s">
        <v>1783</v>
      </c>
      <c r="E113" s="24" t="s">
        <v>1355</v>
      </c>
      <c r="F113" s="24" t="s">
        <v>1665</v>
      </c>
      <c r="G113" s="24" t="s">
        <v>1784</v>
      </c>
      <c r="H113" s="18" t="s">
        <v>1361</v>
      </c>
      <c r="I113" s="45">
        <v>341430</v>
      </c>
      <c r="J113" s="46">
        <v>49.95</v>
      </c>
      <c r="K113" s="47">
        <f t="shared" si="2"/>
        <v>17054428.5</v>
      </c>
    </row>
    <row r="114" spans="2:11" x14ac:dyDescent="0.25">
      <c r="B114" s="22" t="s">
        <v>1785</v>
      </c>
      <c r="C114" s="44" t="s">
        <v>1786</v>
      </c>
      <c r="D114" s="23" t="s">
        <v>1787</v>
      </c>
      <c r="E114" s="24" t="s">
        <v>1355</v>
      </c>
      <c r="F114" s="24" t="s">
        <v>1665</v>
      </c>
      <c r="G114" s="24" t="s">
        <v>1788</v>
      </c>
      <c r="H114" s="18" t="s">
        <v>1361</v>
      </c>
      <c r="I114" s="45">
        <v>74148</v>
      </c>
      <c r="J114" s="46">
        <v>618.6</v>
      </c>
      <c r="K114" s="47">
        <f t="shared" si="2"/>
        <v>45867952.800000004</v>
      </c>
    </row>
    <row r="115" spans="2:11" ht="13.5" thickBot="1" x14ac:dyDescent="0.3">
      <c r="B115" s="22" t="s">
        <v>1789</v>
      </c>
      <c r="C115" s="48" t="s">
        <v>1790</v>
      </c>
      <c r="D115" s="29" t="s">
        <v>1791</v>
      </c>
      <c r="E115" s="30" t="s">
        <v>1355</v>
      </c>
      <c r="F115" s="30" t="s">
        <v>1665</v>
      </c>
      <c r="G115" s="30" t="s">
        <v>1792</v>
      </c>
      <c r="H115" s="24" t="s">
        <v>1557</v>
      </c>
      <c r="I115" s="49">
        <v>203812.21</v>
      </c>
      <c r="J115" s="50">
        <v>10.76</v>
      </c>
      <c r="K115" s="51">
        <f t="shared" si="2"/>
        <v>2193019.3795999996</v>
      </c>
    </row>
    <row r="116" spans="2:11" ht="13.5" thickBot="1" x14ac:dyDescent="0.3">
      <c r="B116" s="22" t="s">
        <v>1793</v>
      </c>
      <c r="C116" s="34">
        <v>6</v>
      </c>
      <c r="D116" s="52">
        <v>26</v>
      </c>
      <c r="E116" s="36" t="s">
        <v>1355</v>
      </c>
      <c r="F116" s="36" t="s">
        <v>1794</v>
      </c>
      <c r="G116" s="36"/>
      <c r="H116" s="36" t="s">
        <v>1528</v>
      </c>
      <c r="I116" s="37"/>
      <c r="J116" s="38"/>
      <c r="K116" s="39"/>
    </row>
    <row r="117" spans="2:11" x14ac:dyDescent="0.25">
      <c r="B117" s="22" t="s">
        <v>1795</v>
      </c>
      <c r="C117" s="40" t="s">
        <v>1796</v>
      </c>
      <c r="D117" s="17" t="s">
        <v>1674</v>
      </c>
      <c r="E117" s="18" t="s">
        <v>1355</v>
      </c>
      <c r="F117" s="18" t="s">
        <v>1794</v>
      </c>
      <c r="G117" s="18" t="s">
        <v>1675</v>
      </c>
      <c r="H117" s="24" t="s">
        <v>1374</v>
      </c>
      <c r="I117" s="41">
        <v>9836</v>
      </c>
      <c r="J117" s="42">
        <v>10.66</v>
      </c>
      <c r="K117" s="43">
        <f>I117*J117</f>
        <v>104851.76</v>
      </c>
    </row>
    <row r="118" spans="2:11" x14ac:dyDescent="0.25">
      <c r="B118" s="22" t="s">
        <v>1797</v>
      </c>
      <c r="C118" s="44" t="s">
        <v>1798</v>
      </c>
      <c r="D118" s="23" t="s">
        <v>1592</v>
      </c>
      <c r="E118" s="24" t="s">
        <v>1355</v>
      </c>
      <c r="F118" s="24" t="s">
        <v>1794</v>
      </c>
      <c r="G118" s="24" t="s">
        <v>1593</v>
      </c>
      <c r="H118" s="24" t="s">
        <v>1374</v>
      </c>
      <c r="I118" s="45">
        <v>2067</v>
      </c>
      <c r="J118" s="46">
        <v>24.16</v>
      </c>
      <c r="K118" s="47">
        <f t="shared" ref="K118:K155" si="3">I118*J118</f>
        <v>49938.720000000001</v>
      </c>
    </row>
    <row r="119" spans="2:11" x14ac:dyDescent="0.25">
      <c r="B119" s="22" t="s">
        <v>1799</v>
      </c>
      <c r="C119" s="44" t="s">
        <v>1800</v>
      </c>
      <c r="D119" s="23" t="s">
        <v>1801</v>
      </c>
      <c r="E119" s="24" t="s">
        <v>1355</v>
      </c>
      <c r="F119" s="24" t="s">
        <v>1794</v>
      </c>
      <c r="G119" s="24" t="s">
        <v>1802</v>
      </c>
      <c r="H119" s="24" t="s">
        <v>1383</v>
      </c>
      <c r="I119" s="45">
        <v>19520</v>
      </c>
      <c r="J119" s="46">
        <v>716.86</v>
      </c>
      <c r="K119" s="47">
        <f t="shared" si="3"/>
        <v>13993107.200000001</v>
      </c>
    </row>
    <row r="120" spans="2:11" x14ac:dyDescent="0.25">
      <c r="B120" s="22" t="s">
        <v>1803</v>
      </c>
      <c r="C120" s="44" t="s">
        <v>1804</v>
      </c>
      <c r="D120" s="23" t="s">
        <v>1759</v>
      </c>
      <c r="E120" s="24" t="s">
        <v>1355</v>
      </c>
      <c r="F120" s="24" t="s">
        <v>1794</v>
      </c>
      <c r="G120" s="24" t="s">
        <v>1760</v>
      </c>
      <c r="H120" s="24" t="s">
        <v>1557</v>
      </c>
      <c r="I120" s="45">
        <v>311987.7</v>
      </c>
      <c r="J120" s="46">
        <v>10.89</v>
      </c>
      <c r="K120" s="47">
        <f t="shared" si="3"/>
        <v>3397546.0530000003</v>
      </c>
    </row>
    <row r="121" spans="2:11" x14ac:dyDescent="0.25">
      <c r="B121" s="22" t="s">
        <v>1805</v>
      </c>
      <c r="C121" s="44" t="s">
        <v>1806</v>
      </c>
      <c r="D121" s="23" t="s">
        <v>1807</v>
      </c>
      <c r="E121" s="24" t="s">
        <v>1355</v>
      </c>
      <c r="F121" s="24" t="s">
        <v>1794</v>
      </c>
      <c r="G121" s="24" t="s">
        <v>1808</v>
      </c>
      <c r="H121" s="24" t="s">
        <v>1374</v>
      </c>
      <c r="I121" s="45">
        <v>5795</v>
      </c>
      <c r="J121" s="46">
        <v>50.17</v>
      </c>
      <c r="K121" s="47">
        <f t="shared" si="3"/>
        <v>290735.15000000002</v>
      </c>
    </row>
    <row r="122" spans="2:11" x14ac:dyDescent="0.25">
      <c r="B122" s="22" t="s">
        <v>1809</v>
      </c>
      <c r="C122" s="44" t="s">
        <v>1810</v>
      </c>
      <c r="D122" s="23" t="s">
        <v>1811</v>
      </c>
      <c r="E122" s="24" t="s">
        <v>1355</v>
      </c>
      <c r="F122" s="24" t="s">
        <v>1794</v>
      </c>
      <c r="G122" s="24" t="s">
        <v>1812</v>
      </c>
      <c r="H122" s="18" t="s">
        <v>1361</v>
      </c>
      <c r="I122" s="45">
        <v>1120</v>
      </c>
      <c r="J122" s="46">
        <v>185.58</v>
      </c>
      <c r="K122" s="47">
        <f t="shared" si="3"/>
        <v>207849.60000000001</v>
      </c>
    </row>
    <row r="123" spans="2:11" x14ac:dyDescent="0.25">
      <c r="B123" s="22" t="s">
        <v>1813</v>
      </c>
      <c r="C123" s="44" t="s">
        <v>1814</v>
      </c>
      <c r="D123" s="23" t="s">
        <v>1815</v>
      </c>
      <c r="E123" s="24" t="s">
        <v>1355</v>
      </c>
      <c r="F123" s="24" t="s">
        <v>1794</v>
      </c>
      <c r="G123" s="24" t="s">
        <v>1816</v>
      </c>
      <c r="H123" s="18" t="s">
        <v>1361</v>
      </c>
      <c r="I123" s="45">
        <v>320</v>
      </c>
      <c r="J123" s="46">
        <v>1808.32</v>
      </c>
      <c r="K123" s="47">
        <f t="shared" si="3"/>
        <v>578662.40000000002</v>
      </c>
    </row>
    <row r="124" spans="2:11" x14ac:dyDescent="0.25">
      <c r="B124" s="22" t="s">
        <v>1817</v>
      </c>
      <c r="C124" s="44" t="s">
        <v>1818</v>
      </c>
      <c r="D124" s="23" t="s">
        <v>1819</v>
      </c>
      <c r="E124" s="24" t="s">
        <v>1355</v>
      </c>
      <c r="F124" s="24" t="s">
        <v>1794</v>
      </c>
      <c r="G124" s="24" t="s">
        <v>1820</v>
      </c>
      <c r="H124" s="18" t="s">
        <v>1361</v>
      </c>
      <c r="I124" s="45">
        <v>1216</v>
      </c>
      <c r="J124" s="46">
        <v>2361.98</v>
      </c>
      <c r="K124" s="47">
        <f t="shared" si="3"/>
        <v>2872167.68</v>
      </c>
    </row>
    <row r="125" spans="2:11" x14ac:dyDescent="0.25">
      <c r="B125" s="22" t="s">
        <v>1821</v>
      </c>
      <c r="C125" s="44" t="s">
        <v>1822</v>
      </c>
      <c r="D125" s="23" t="s">
        <v>1823</v>
      </c>
      <c r="E125" s="24" t="s">
        <v>1355</v>
      </c>
      <c r="F125" s="24" t="s">
        <v>1794</v>
      </c>
      <c r="G125" s="24" t="s">
        <v>1824</v>
      </c>
      <c r="H125" s="18" t="s">
        <v>1361</v>
      </c>
      <c r="I125" s="45">
        <v>1728</v>
      </c>
      <c r="J125" s="46">
        <v>3766.11</v>
      </c>
      <c r="K125" s="47">
        <f t="shared" si="3"/>
        <v>6507838.0800000001</v>
      </c>
    </row>
    <row r="126" spans="2:11" x14ac:dyDescent="0.25">
      <c r="B126" s="22" t="s">
        <v>1825</v>
      </c>
      <c r="C126" s="44" t="s">
        <v>1826</v>
      </c>
      <c r="D126" s="23" t="s">
        <v>1827</v>
      </c>
      <c r="E126" s="24" t="s">
        <v>1355</v>
      </c>
      <c r="F126" s="24" t="s">
        <v>1794</v>
      </c>
      <c r="G126" s="24" t="s">
        <v>1828</v>
      </c>
      <c r="H126" s="24" t="s">
        <v>1374</v>
      </c>
      <c r="I126" s="45">
        <v>68659</v>
      </c>
      <c r="J126" s="46">
        <v>56.65</v>
      </c>
      <c r="K126" s="47">
        <f t="shared" si="3"/>
        <v>3889532.35</v>
      </c>
    </row>
    <row r="127" spans="2:11" x14ac:dyDescent="0.25">
      <c r="B127" s="22" t="s">
        <v>1829</v>
      </c>
      <c r="C127" s="44" t="s">
        <v>1830</v>
      </c>
      <c r="D127" s="23" t="s">
        <v>1831</v>
      </c>
      <c r="E127" s="24" t="s">
        <v>1355</v>
      </c>
      <c r="F127" s="24" t="s">
        <v>1794</v>
      </c>
      <c r="G127" s="24" t="s">
        <v>1832</v>
      </c>
      <c r="H127" s="24" t="s">
        <v>1374</v>
      </c>
      <c r="I127" s="45">
        <v>950</v>
      </c>
      <c r="J127" s="46">
        <v>18.12</v>
      </c>
      <c r="K127" s="47">
        <f t="shared" si="3"/>
        <v>17214</v>
      </c>
    </row>
    <row r="128" spans="2:11" x14ac:dyDescent="0.25">
      <c r="B128" s="22" t="s">
        <v>1833</v>
      </c>
      <c r="C128" s="44" t="s">
        <v>1834</v>
      </c>
      <c r="D128" s="23" t="s">
        <v>1835</v>
      </c>
      <c r="E128" s="24" t="s">
        <v>1355</v>
      </c>
      <c r="F128" s="24" t="s">
        <v>1794</v>
      </c>
      <c r="G128" s="24" t="s">
        <v>1552</v>
      </c>
      <c r="H128" s="24" t="s">
        <v>1383</v>
      </c>
      <c r="I128" s="45">
        <v>23169.08</v>
      </c>
      <c r="J128" s="46">
        <v>80.069999999999993</v>
      </c>
      <c r="K128" s="47">
        <f t="shared" si="3"/>
        <v>1855148.2356</v>
      </c>
    </row>
    <row r="129" spans="2:11" x14ac:dyDescent="0.25">
      <c r="B129" s="22" t="s">
        <v>1836</v>
      </c>
      <c r="C129" s="44" t="s">
        <v>1837</v>
      </c>
      <c r="D129" s="23" t="s">
        <v>1838</v>
      </c>
      <c r="E129" s="24" t="s">
        <v>1355</v>
      </c>
      <c r="F129" s="24" t="s">
        <v>1794</v>
      </c>
      <c r="G129" s="24" t="s">
        <v>1839</v>
      </c>
      <c r="H129" s="24" t="s">
        <v>1383</v>
      </c>
      <c r="I129" s="45">
        <v>35606.9</v>
      </c>
      <c r="J129" s="46">
        <v>90.3</v>
      </c>
      <c r="K129" s="47">
        <f t="shared" si="3"/>
        <v>3215303.07</v>
      </c>
    </row>
    <row r="130" spans="2:11" x14ac:dyDescent="0.25">
      <c r="B130" s="22" t="s">
        <v>1840</v>
      </c>
      <c r="C130" s="44" t="s">
        <v>1841</v>
      </c>
      <c r="D130" s="23" t="s">
        <v>1842</v>
      </c>
      <c r="E130" s="24" t="s">
        <v>1355</v>
      </c>
      <c r="F130" s="24" t="s">
        <v>1794</v>
      </c>
      <c r="G130" s="24" t="s">
        <v>1843</v>
      </c>
      <c r="H130" s="24" t="s">
        <v>1383</v>
      </c>
      <c r="I130" s="45">
        <v>166</v>
      </c>
      <c r="J130" s="46">
        <v>107.66</v>
      </c>
      <c r="K130" s="47">
        <f t="shared" si="3"/>
        <v>17871.559999999998</v>
      </c>
    </row>
    <row r="131" spans="2:11" x14ac:dyDescent="0.25">
      <c r="B131" s="22" t="s">
        <v>1844</v>
      </c>
      <c r="C131" s="44" t="s">
        <v>1845</v>
      </c>
      <c r="D131" s="23" t="s">
        <v>1846</v>
      </c>
      <c r="E131" s="24" t="s">
        <v>1355</v>
      </c>
      <c r="F131" s="24" t="s">
        <v>1794</v>
      </c>
      <c r="G131" s="24" t="s">
        <v>1847</v>
      </c>
      <c r="H131" s="24" t="s">
        <v>1557</v>
      </c>
      <c r="I131" s="45">
        <v>356</v>
      </c>
      <c r="J131" s="46">
        <v>8.7799999999999994</v>
      </c>
      <c r="K131" s="47">
        <f t="shared" si="3"/>
        <v>3125.68</v>
      </c>
    </row>
    <row r="132" spans="2:11" x14ac:dyDescent="0.25">
      <c r="B132" s="22" t="s">
        <v>1848</v>
      </c>
      <c r="C132" s="44" t="s">
        <v>1849</v>
      </c>
      <c r="D132" s="23" t="s">
        <v>1850</v>
      </c>
      <c r="E132" s="24" t="s">
        <v>1355</v>
      </c>
      <c r="F132" s="24" t="s">
        <v>1794</v>
      </c>
      <c r="G132" s="24" t="s">
        <v>1556</v>
      </c>
      <c r="H132" s="24" t="s">
        <v>1557</v>
      </c>
      <c r="I132" s="45">
        <v>2719867.62</v>
      </c>
      <c r="J132" s="46">
        <v>8.52</v>
      </c>
      <c r="K132" s="47">
        <f t="shared" si="3"/>
        <v>23173272.122400001</v>
      </c>
    </row>
    <row r="133" spans="2:11" x14ac:dyDescent="0.25">
      <c r="B133" s="22" t="s">
        <v>1851</v>
      </c>
      <c r="C133" s="44" t="s">
        <v>1852</v>
      </c>
      <c r="D133" s="23" t="s">
        <v>1853</v>
      </c>
      <c r="E133" s="24" t="s">
        <v>1355</v>
      </c>
      <c r="F133" s="24" t="s">
        <v>1794</v>
      </c>
      <c r="G133" s="24" t="s">
        <v>1742</v>
      </c>
      <c r="H133" s="24" t="s">
        <v>1557</v>
      </c>
      <c r="I133" s="45">
        <v>40045.5</v>
      </c>
      <c r="J133" s="46">
        <v>9.1999999999999993</v>
      </c>
      <c r="K133" s="47">
        <f t="shared" si="3"/>
        <v>368418.6</v>
      </c>
    </row>
    <row r="134" spans="2:11" x14ac:dyDescent="0.25">
      <c r="B134" s="22" t="s">
        <v>1854</v>
      </c>
      <c r="C134" s="44" t="s">
        <v>1855</v>
      </c>
      <c r="D134" s="23" t="s">
        <v>1856</v>
      </c>
      <c r="E134" s="24" t="s">
        <v>1355</v>
      </c>
      <c r="F134" s="24" t="s">
        <v>1794</v>
      </c>
      <c r="G134" s="24" t="s">
        <v>1857</v>
      </c>
      <c r="H134" s="24" t="s">
        <v>1557</v>
      </c>
      <c r="I134" s="45">
        <v>713325</v>
      </c>
      <c r="J134" s="46">
        <v>19.14</v>
      </c>
      <c r="K134" s="47">
        <f t="shared" si="3"/>
        <v>13653040.5</v>
      </c>
    </row>
    <row r="135" spans="2:11" x14ac:dyDescent="0.25">
      <c r="B135" s="22" t="s">
        <v>1858</v>
      </c>
      <c r="C135" s="44" t="s">
        <v>1859</v>
      </c>
      <c r="D135" s="23" t="s">
        <v>1860</v>
      </c>
      <c r="E135" s="24" t="s">
        <v>1355</v>
      </c>
      <c r="F135" s="24" t="s">
        <v>1794</v>
      </c>
      <c r="G135" s="24" t="s">
        <v>1861</v>
      </c>
      <c r="H135" s="24" t="s">
        <v>1627</v>
      </c>
      <c r="I135" s="45">
        <v>806</v>
      </c>
      <c r="J135" s="46">
        <v>1580.84</v>
      </c>
      <c r="K135" s="47">
        <f t="shared" si="3"/>
        <v>1274157.04</v>
      </c>
    </row>
    <row r="136" spans="2:11" x14ac:dyDescent="0.25">
      <c r="B136" s="22" t="s">
        <v>1862</v>
      </c>
      <c r="C136" s="44" t="s">
        <v>1863</v>
      </c>
      <c r="D136" s="23" t="s">
        <v>1864</v>
      </c>
      <c r="E136" s="24" t="s">
        <v>1355</v>
      </c>
      <c r="F136" s="24" t="s">
        <v>1794</v>
      </c>
      <c r="G136" s="24" t="s">
        <v>1865</v>
      </c>
      <c r="H136" s="24" t="s">
        <v>1866</v>
      </c>
      <c r="I136" s="45">
        <v>6076.1</v>
      </c>
      <c r="J136" s="46">
        <v>73.790000000000006</v>
      </c>
      <c r="K136" s="47">
        <f t="shared" si="3"/>
        <v>448355.41900000005</v>
      </c>
    </row>
    <row r="137" spans="2:11" x14ac:dyDescent="0.25">
      <c r="B137" s="22" t="s">
        <v>1867</v>
      </c>
      <c r="C137" s="44" t="s">
        <v>1868</v>
      </c>
      <c r="D137" s="23" t="s">
        <v>1869</v>
      </c>
      <c r="E137" s="24" t="s">
        <v>1355</v>
      </c>
      <c r="F137" s="24" t="s">
        <v>1794</v>
      </c>
      <c r="G137" s="24" t="s">
        <v>1870</v>
      </c>
      <c r="H137" s="24" t="s">
        <v>1871</v>
      </c>
      <c r="I137" s="45">
        <v>50.4</v>
      </c>
      <c r="J137" s="46">
        <v>7.44</v>
      </c>
      <c r="K137" s="47">
        <f t="shared" si="3"/>
        <v>374.976</v>
      </c>
    </row>
    <row r="138" spans="2:11" x14ac:dyDescent="0.25">
      <c r="B138" s="22" t="s">
        <v>1872</v>
      </c>
      <c r="C138" s="44" t="s">
        <v>1873</v>
      </c>
      <c r="D138" s="23" t="s">
        <v>1874</v>
      </c>
      <c r="E138" s="24" t="s">
        <v>1355</v>
      </c>
      <c r="F138" s="24" t="s">
        <v>1794</v>
      </c>
      <c r="G138" s="24" t="s">
        <v>1561</v>
      </c>
      <c r="H138" s="24" t="s">
        <v>1374</v>
      </c>
      <c r="I138" s="45">
        <v>132.6</v>
      </c>
      <c r="J138" s="46">
        <v>386.3</v>
      </c>
      <c r="K138" s="47">
        <f t="shared" si="3"/>
        <v>51223.38</v>
      </c>
    </row>
    <row r="139" spans="2:11" x14ac:dyDescent="0.25">
      <c r="B139" s="22" t="s">
        <v>1875</v>
      </c>
      <c r="C139" s="44" t="s">
        <v>1876</v>
      </c>
      <c r="D139" s="23" t="s">
        <v>1877</v>
      </c>
      <c r="E139" s="24" t="s">
        <v>1355</v>
      </c>
      <c r="F139" s="24" t="s">
        <v>1794</v>
      </c>
      <c r="G139" s="24" t="s">
        <v>1573</v>
      </c>
      <c r="H139" s="24" t="s">
        <v>1374</v>
      </c>
      <c r="I139" s="45">
        <v>510.8</v>
      </c>
      <c r="J139" s="46">
        <v>467.63</v>
      </c>
      <c r="K139" s="47">
        <f t="shared" si="3"/>
        <v>238865.40400000001</v>
      </c>
    </row>
    <row r="140" spans="2:11" x14ac:dyDescent="0.25">
      <c r="B140" s="22" t="s">
        <v>1878</v>
      </c>
      <c r="C140" s="44" t="s">
        <v>1879</v>
      </c>
      <c r="D140" s="23" t="s">
        <v>1880</v>
      </c>
      <c r="E140" s="24" t="s">
        <v>1355</v>
      </c>
      <c r="F140" s="24" t="s">
        <v>1794</v>
      </c>
      <c r="G140" s="24" t="s">
        <v>1881</v>
      </c>
      <c r="H140" s="24" t="s">
        <v>1374</v>
      </c>
      <c r="I140" s="45">
        <v>5830</v>
      </c>
      <c r="J140" s="46">
        <v>483.41</v>
      </c>
      <c r="K140" s="47">
        <f t="shared" si="3"/>
        <v>2818280.3000000003</v>
      </c>
    </row>
    <row r="141" spans="2:11" x14ac:dyDescent="0.25">
      <c r="B141" s="22" t="s">
        <v>1882</v>
      </c>
      <c r="C141" s="44" t="s">
        <v>1883</v>
      </c>
      <c r="D141" s="23" t="s">
        <v>1884</v>
      </c>
      <c r="E141" s="24" t="s">
        <v>1355</v>
      </c>
      <c r="F141" s="24" t="s">
        <v>1794</v>
      </c>
      <c r="G141" s="24" t="s">
        <v>1885</v>
      </c>
      <c r="H141" s="24" t="s">
        <v>1374</v>
      </c>
      <c r="I141" s="45">
        <v>20213.7</v>
      </c>
      <c r="J141" s="46">
        <v>42.12</v>
      </c>
      <c r="K141" s="47">
        <f t="shared" si="3"/>
        <v>851401.04399999999</v>
      </c>
    </row>
    <row r="142" spans="2:11" x14ac:dyDescent="0.25">
      <c r="B142" s="22" t="s">
        <v>1886</v>
      </c>
      <c r="C142" s="44" t="s">
        <v>1887</v>
      </c>
      <c r="D142" s="23" t="s">
        <v>1888</v>
      </c>
      <c r="E142" s="24" t="s">
        <v>1355</v>
      </c>
      <c r="F142" s="24" t="s">
        <v>1794</v>
      </c>
      <c r="G142" s="24" t="s">
        <v>1889</v>
      </c>
      <c r="H142" s="24" t="s">
        <v>1374</v>
      </c>
      <c r="I142" s="45">
        <v>17682</v>
      </c>
      <c r="J142" s="46">
        <v>493.31</v>
      </c>
      <c r="K142" s="47">
        <f t="shared" si="3"/>
        <v>8722707.4199999999</v>
      </c>
    </row>
    <row r="143" spans="2:11" x14ac:dyDescent="0.25">
      <c r="B143" s="22" t="s">
        <v>1890</v>
      </c>
      <c r="C143" s="44" t="s">
        <v>1891</v>
      </c>
      <c r="D143" s="23" t="s">
        <v>1892</v>
      </c>
      <c r="E143" s="24" t="s">
        <v>1355</v>
      </c>
      <c r="F143" s="24" t="s">
        <v>1794</v>
      </c>
      <c r="G143" s="24" t="s">
        <v>1893</v>
      </c>
      <c r="H143" s="18" t="s">
        <v>1361</v>
      </c>
      <c r="I143" s="45">
        <v>262</v>
      </c>
      <c r="J143" s="46">
        <v>709.74</v>
      </c>
      <c r="K143" s="47">
        <f t="shared" si="3"/>
        <v>185951.88</v>
      </c>
    </row>
    <row r="144" spans="2:11" x14ac:dyDescent="0.25">
      <c r="B144" s="22" t="s">
        <v>1894</v>
      </c>
      <c r="C144" s="44" t="s">
        <v>1895</v>
      </c>
      <c r="D144" s="23" t="s">
        <v>1896</v>
      </c>
      <c r="E144" s="24" t="s">
        <v>1355</v>
      </c>
      <c r="F144" s="24" t="s">
        <v>1794</v>
      </c>
      <c r="G144" s="24" t="s">
        <v>1897</v>
      </c>
      <c r="H144" s="18" t="s">
        <v>1361</v>
      </c>
      <c r="I144" s="45">
        <v>25.2</v>
      </c>
      <c r="J144" s="46">
        <v>940.69</v>
      </c>
      <c r="K144" s="47">
        <f t="shared" si="3"/>
        <v>23705.387999999999</v>
      </c>
    </row>
    <row r="145" spans="2:11" x14ac:dyDescent="0.25">
      <c r="B145" s="22" t="s">
        <v>1898</v>
      </c>
      <c r="C145" s="44" t="s">
        <v>1899</v>
      </c>
      <c r="D145" s="23" t="s">
        <v>1900</v>
      </c>
      <c r="E145" s="24" t="s">
        <v>1355</v>
      </c>
      <c r="F145" s="24" t="s">
        <v>1794</v>
      </c>
      <c r="G145" s="24" t="s">
        <v>1901</v>
      </c>
      <c r="H145" s="24" t="s">
        <v>1627</v>
      </c>
      <c r="I145" s="45">
        <v>2872</v>
      </c>
      <c r="J145" s="46">
        <v>70.650000000000006</v>
      </c>
      <c r="K145" s="47">
        <f t="shared" si="3"/>
        <v>202906.80000000002</v>
      </c>
    </row>
    <row r="146" spans="2:11" x14ac:dyDescent="0.25">
      <c r="B146" s="22" t="s">
        <v>1902</v>
      </c>
      <c r="C146" s="44" t="s">
        <v>1903</v>
      </c>
      <c r="D146" s="23" t="s">
        <v>1904</v>
      </c>
      <c r="E146" s="24" t="s">
        <v>1355</v>
      </c>
      <c r="F146" s="24" t="s">
        <v>1794</v>
      </c>
      <c r="G146" s="24" t="s">
        <v>1905</v>
      </c>
      <c r="H146" s="18" t="s">
        <v>1361</v>
      </c>
      <c r="I146" s="45">
        <v>2614</v>
      </c>
      <c r="J146" s="46">
        <v>453.11</v>
      </c>
      <c r="K146" s="47">
        <f t="shared" si="3"/>
        <v>1184429.54</v>
      </c>
    </row>
    <row r="147" spans="2:11" x14ac:dyDescent="0.25">
      <c r="B147" s="22" t="s">
        <v>1906</v>
      </c>
      <c r="C147" s="44" t="s">
        <v>1907</v>
      </c>
      <c r="D147" s="23" t="s">
        <v>1908</v>
      </c>
      <c r="E147" s="24" t="s">
        <v>1355</v>
      </c>
      <c r="F147" s="24" t="s">
        <v>1794</v>
      </c>
      <c r="G147" s="24" t="s">
        <v>1909</v>
      </c>
      <c r="H147" s="24" t="s">
        <v>1627</v>
      </c>
      <c r="I147" s="45">
        <v>105</v>
      </c>
      <c r="J147" s="46">
        <v>8852.89</v>
      </c>
      <c r="K147" s="47">
        <f t="shared" si="3"/>
        <v>929553.45</v>
      </c>
    </row>
    <row r="148" spans="2:11" x14ac:dyDescent="0.25">
      <c r="B148" s="22" t="s">
        <v>1910</v>
      </c>
      <c r="C148" s="44" t="s">
        <v>1911</v>
      </c>
      <c r="D148" s="23" t="s">
        <v>1912</v>
      </c>
      <c r="E148" s="24" t="s">
        <v>1355</v>
      </c>
      <c r="F148" s="24" t="s">
        <v>1794</v>
      </c>
      <c r="G148" s="24" t="s">
        <v>1913</v>
      </c>
      <c r="H148" s="24" t="s">
        <v>1383</v>
      </c>
      <c r="I148" s="45">
        <v>302.39999999999998</v>
      </c>
      <c r="J148" s="46">
        <v>115.31</v>
      </c>
      <c r="K148" s="47">
        <f t="shared" si="3"/>
        <v>34869.743999999999</v>
      </c>
    </row>
    <row r="149" spans="2:11" x14ac:dyDescent="0.25">
      <c r="B149" s="22" t="s">
        <v>1914</v>
      </c>
      <c r="C149" s="44" t="s">
        <v>1915</v>
      </c>
      <c r="D149" s="23" t="s">
        <v>1916</v>
      </c>
      <c r="E149" s="24" t="s">
        <v>1355</v>
      </c>
      <c r="F149" s="24" t="s">
        <v>1794</v>
      </c>
      <c r="G149" s="24" t="s">
        <v>1917</v>
      </c>
      <c r="H149" s="24" t="s">
        <v>1557</v>
      </c>
      <c r="I149" s="45">
        <v>195500</v>
      </c>
      <c r="J149" s="46">
        <v>9.17</v>
      </c>
      <c r="K149" s="47">
        <f t="shared" si="3"/>
        <v>1792735</v>
      </c>
    </row>
    <row r="150" spans="2:11" x14ac:dyDescent="0.25">
      <c r="B150" s="22" t="s">
        <v>1918</v>
      </c>
      <c r="C150" s="44" t="s">
        <v>1919</v>
      </c>
      <c r="D150" s="23" t="s">
        <v>1920</v>
      </c>
      <c r="E150" s="24" t="s">
        <v>1355</v>
      </c>
      <c r="F150" s="24" t="s">
        <v>1794</v>
      </c>
      <c r="G150" s="24" t="s">
        <v>1921</v>
      </c>
      <c r="H150" s="24" t="s">
        <v>1627</v>
      </c>
      <c r="I150" s="45">
        <v>12</v>
      </c>
      <c r="J150" s="46">
        <v>70.650000000000006</v>
      </c>
      <c r="K150" s="47">
        <f t="shared" si="3"/>
        <v>847.80000000000007</v>
      </c>
    </row>
    <row r="151" spans="2:11" x14ac:dyDescent="0.25">
      <c r="B151" s="22" t="s">
        <v>1922</v>
      </c>
      <c r="C151" s="44" t="s">
        <v>1923</v>
      </c>
      <c r="D151" s="23" t="s">
        <v>1924</v>
      </c>
      <c r="E151" s="24" t="s">
        <v>1355</v>
      </c>
      <c r="F151" s="24" t="s">
        <v>1794</v>
      </c>
      <c r="G151" s="24" t="s">
        <v>1925</v>
      </c>
      <c r="H151" s="24" t="s">
        <v>1627</v>
      </c>
      <c r="I151" s="45">
        <v>12</v>
      </c>
      <c r="J151" s="46">
        <v>19276.759999999998</v>
      </c>
      <c r="K151" s="47">
        <f t="shared" si="3"/>
        <v>231321.12</v>
      </c>
    </row>
    <row r="152" spans="2:11" x14ac:dyDescent="0.25">
      <c r="B152" s="22" t="s">
        <v>1926</v>
      </c>
      <c r="C152" s="44" t="s">
        <v>1927</v>
      </c>
      <c r="D152" s="23" t="s">
        <v>1928</v>
      </c>
      <c r="E152" s="24" t="s">
        <v>1355</v>
      </c>
      <c r="F152" s="24" t="s">
        <v>1794</v>
      </c>
      <c r="G152" s="24" t="s">
        <v>1929</v>
      </c>
      <c r="H152" s="24" t="s">
        <v>1374</v>
      </c>
      <c r="I152" s="45">
        <v>882</v>
      </c>
      <c r="J152" s="46">
        <v>387.64</v>
      </c>
      <c r="K152" s="47">
        <f t="shared" si="3"/>
        <v>341898.48</v>
      </c>
    </row>
    <row r="153" spans="2:11" x14ac:dyDescent="0.25">
      <c r="B153" s="22" t="s">
        <v>1930</v>
      </c>
      <c r="C153" s="44" t="s">
        <v>1931</v>
      </c>
      <c r="D153" s="23" t="s">
        <v>1932</v>
      </c>
      <c r="E153" s="24" t="s">
        <v>1355</v>
      </c>
      <c r="F153" s="24" t="s">
        <v>1794</v>
      </c>
      <c r="G153" s="24" t="s">
        <v>1933</v>
      </c>
      <c r="H153" s="24" t="s">
        <v>1627</v>
      </c>
      <c r="I153" s="45">
        <v>48</v>
      </c>
      <c r="J153" s="46">
        <v>4170</v>
      </c>
      <c r="K153" s="47">
        <f t="shared" si="3"/>
        <v>200160</v>
      </c>
    </row>
    <row r="154" spans="2:11" x14ac:dyDescent="0.25">
      <c r="B154" s="22" t="s">
        <v>1934</v>
      </c>
      <c r="C154" s="44" t="s">
        <v>1935</v>
      </c>
      <c r="D154" s="23" t="s">
        <v>1936</v>
      </c>
      <c r="E154" s="24" t="s">
        <v>1355</v>
      </c>
      <c r="F154" s="24" t="s">
        <v>1794</v>
      </c>
      <c r="G154" s="24" t="s">
        <v>1937</v>
      </c>
      <c r="H154" s="18" t="s">
        <v>1361</v>
      </c>
      <c r="I154" s="45">
        <v>850</v>
      </c>
      <c r="J154" s="46">
        <v>1560</v>
      </c>
      <c r="K154" s="47">
        <f t="shared" si="3"/>
        <v>1326000</v>
      </c>
    </row>
    <row r="155" spans="2:11" ht="13.5" thickBot="1" x14ac:dyDescent="0.3">
      <c r="B155" s="22" t="s">
        <v>1938</v>
      </c>
      <c r="C155" s="48" t="s">
        <v>1939</v>
      </c>
      <c r="D155" s="29" t="s">
        <v>1940</v>
      </c>
      <c r="E155" s="30" t="s">
        <v>1355</v>
      </c>
      <c r="F155" s="30" t="s">
        <v>1794</v>
      </c>
      <c r="G155" s="30" t="s">
        <v>1941</v>
      </c>
      <c r="H155" s="30" t="s">
        <v>1942</v>
      </c>
      <c r="I155" s="49">
        <v>1320</v>
      </c>
      <c r="J155" s="50">
        <v>675</v>
      </c>
      <c r="K155" s="51">
        <f t="shared" si="3"/>
        <v>891000</v>
      </c>
    </row>
    <row r="156" spans="2:11" ht="13.5" thickBot="1" x14ac:dyDescent="0.3">
      <c r="B156" s="22" t="s">
        <v>1943</v>
      </c>
      <c r="C156" s="34">
        <v>7</v>
      </c>
      <c r="D156" s="52">
        <v>28</v>
      </c>
      <c r="E156" s="36" t="s">
        <v>1355</v>
      </c>
      <c r="F156" s="36" t="s">
        <v>1944</v>
      </c>
      <c r="G156" s="36"/>
      <c r="H156" s="36" t="s">
        <v>1528</v>
      </c>
      <c r="I156" s="37"/>
      <c r="J156" s="38"/>
      <c r="K156" s="39"/>
    </row>
    <row r="157" spans="2:11" x14ac:dyDescent="0.25">
      <c r="B157" s="22" t="s">
        <v>1945</v>
      </c>
      <c r="C157" s="40" t="s">
        <v>1946</v>
      </c>
      <c r="D157" s="17" t="s">
        <v>1947</v>
      </c>
      <c r="E157" s="18" t="s">
        <v>1355</v>
      </c>
      <c r="F157" s="18" t="s">
        <v>1944</v>
      </c>
      <c r="G157" s="18" t="s">
        <v>1948</v>
      </c>
      <c r="H157" s="24" t="s">
        <v>1627</v>
      </c>
      <c r="I157" s="41">
        <v>6</v>
      </c>
      <c r="J157" s="42">
        <v>3807</v>
      </c>
      <c r="K157" s="43">
        <f>I157*J157</f>
        <v>22842</v>
      </c>
    </row>
    <row r="158" spans="2:11" x14ac:dyDescent="0.25">
      <c r="B158" s="22" t="s">
        <v>1949</v>
      </c>
      <c r="C158" s="44" t="s">
        <v>1950</v>
      </c>
      <c r="D158" s="23" t="s">
        <v>1951</v>
      </c>
      <c r="E158" s="24" t="s">
        <v>1355</v>
      </c>
      <c r="F158" s="24" t="s">
        <v>1944</v>
      </c>
      <c r="G158" s="24" t="s">
        <v>1952</v>
      </c>
      <c r="H158" s="24" t="s">
        <v>1627</v>
      </c>
      <c r="I158" s="45">
        <v>9</v>
      </c>
      <c r="J158" s="46">
        <v>3132</v>
      </c>
      <c r="K158" s="47">
        <f t="shared" ref="K158:K174" si="4">I158*J158</f>
        <v>28188</v>
      </c>
    </row>
    <row r="159" spans="2:11" x14ac:dyDescent="0.25">
      <c r="B159" s="22" t="s">
        <v>1953</v>
      </c>
      <c r="C159" s="44" t="s">
        <v>1954</v>
      </c>
      <c r="D159" s="23" t="s">
        <v>1955</v>
      </c>
      <c r="E159" s="24" t="s">
        <v>1355</v>
      </c>
      <c r="F159" s="24" t="s">
        <v>1944</v>
      </c>
      <c r="G159" s="24" t="s">
        <v>1956</v>
      </c>
      <c r="H159" s="24" t="s">
        <v>1627</v>
      </c>
      <c r="I159" s="45">
        <v>10</v>
      </c>
      <c r="J159" s="46">
        <v>2862</v>
      </c>
      <c r="K159" s="47">
        <f t="shared" si="4"/>
        <v>28620</v>
      </c>
    </row>
    <row r="160" spans="2:11" x14ac:dyDescent="0.25">
      <c r="B160" s="22" t="s">
        <v>1957</v>
      </c>
      <c r="C160" s="44" t="s">
        <v>1958</v>
      </c>
      <c r="D160" s="23" t="s">
        <v>1959</v>
      </c>
      <c r="E160" s="24" t="s">
        <v>1355</v>
      </c>
      <c r="F160" s="24" t="s">
        <v>1944</v>
      </c>
      <c r="G160" s="24" t="s">
        <v>1960</v>
      </c>
      <c r="H160" s="24" t="s">
        <v>1627</v>
      </c>
      <c r="I160" s="45">
        <v>16</v>
      </c>
      <c r="J160" s="46">
        <v>3483</v>
      </c>
      <c r="K160" s="47">
        <f t="shared" si="4"/>
        <v>55728</v>
      </c>
    </row>
    <row r="161" spans="2:11" x14ac:dyDescent="0.25">
      <c r="B161" s="22" t="s">
        <v>1961</v>
      </c>
      <c r="C161" s="44" t="s">
        <v>1962</v>
      </c>
      <c r="D161" s="23" t="s">
        <v>1963</v>
      </c>
      <c r="E161" s="24" t="s">
        <v>1355</v>
      </c>
      <c r="F161" s="24" t="s">
        <v>1944</v>
      </c>
      <c r="G161" s="24" t="s">
        <v>1964</v>
      </c>
      <c r="H161" s="24" t="s">
        <v>1627</v>
      </c>
      <c r="I161" s="45">
        <v>34</v>
      </c>
      <c r="J161" s="46">
        <v>3267</v>
      </c>
      <c r="K161" s="47">
        <f t="shared" si="4"/>
        <v>111078</v>
      </c>
    </row>
    <row r="162" spans="2:11" x14ac:dyDescent="0.25">
      <c r="B162" s="22" t="s">
        <v>1965</v>
      </c>
      <c r="C162" s="44" t="s">
        <v>1966</v>
      </c>
      <c r="D162" s="23" t="s">
        <v>1967</v>
      </c>
      <c r="E162" s="24" t="s">
        <v>1355</v>
      </c>
      <c r="F162" s="24" t="s">
        <v>1944</v>
      </c>
      <c r="G162" s="24" t="s">
        <v>1968</v>
      </c>
      <c r="H162" s="18" t="s">
        <v>1361</v>
      </c>
      <c r="I162" s="45">
        <v>64</v>
      </c>
      <c r="J162" s="46">
        <v>80.239999999999995</v>
      </c>
      <c r="K162" s="47">
        <f t="shared" si="4"/>
        <v>5135.3599999999997</v>
      </c>
    </row>
    <row r="163" spans="2:11" x14ac:dyDescent="0.25">
      <c r="B163" s="22" t="s">
        <v>1969</v>
      </c>
      <c r="C163" s="44" t="s">
        <v>1970</v>
      </c>
      <c r="D163" s="23" t="s">
        <v>1971</v>
      </c>
      <c r="E163" s="24" t="s">
        <v>1355</v>
      </c>
      <c r="F163" s="24" t="s">
        <v>1944</v>
      </c>
      <c r="G163" s="24" t="s">
        <v>1972</v>
      </c>
      <c r="H163" s="24" t="s">
        <v>1627</v>
      </c>
      <c r="I163" s="45">
        <v>76</v>
      </c>
      <c r="J163" s="46">
        <v>17001.169999999998</v>
      </c>
      <c r="K163" s="47">
        <f t="shared" si="4"/>
        <v>1292088.92</v>
      </c>
    </row>
    <row r="164" spans="2:11" x14ac:dyDescent="0.25">
      <c r="B164" s="22" t="s">
        <v>1973</v>
      </c>
      <c r="C164" s="44" t="s">
        <v>1974</v>
      </c>
      <c r="D164" s="23" t="s">
        <v>1975</v>
      </c>
      <c r="E164" s="24" t="s">
        <v>1355</v>
      </c>
      <c r="F164" s="24" t="s">
        <v>1944</v>
      </c>
      <c r="G164" s="24" t="s">
        <v>1976</v>
      </c>
      <c r="H164" s="24" t="s">
        <v>1627</v>
      </c>
      <c r="I164" s="45">
        <v>80</v>
      </c>
      <c r="J164" s="46">
        <v>38060.160000000003</v>
      </c>
      <c r="K164" s="47">
        <f t="shared" si="4"/>
        <v>3044812.8000000003</v>
      </c>
    </row>
    <row r="165" spans="2:11" x14ac:dyDescent="0.25">
      <c r="B165" s="22" t="s">
        <v>1977</v>
      </c>
      <c r="C165" s="44" t="s">
        <v>1978</v>
      </c>
      <c r="D165" s="23" t="s">
        <v>1979</v>
      </c>
      <c r="E165" s="24" t="s">
        <v>1355</v>
      </c>
      <c r="F165" s="24" t="s">
        <v>1944</v>
      </c>
      <c r="G165" s="24" t="s">
        <v>1980</v>
      </c>
      <c r="H165" s="24" t="s">
        <v>1383</v>
      </c>
      <c r="I165" s="45">
        <v>86</v>
      </c>
      <c r="J165" s="46">
        <v>897.06</v>
      </c>
      <c r="K165" s="47">
        <f t="shared" si="4"/>
        <v>77147.159999999989</v>
      </c>
    </row>
    <row r="166" spans="2:11" x14ac:dyDescent="0.25">
      <c r="B166" s="22" t="s">
        <v>1981</v>
      </c>
      <c r="C166" s="44" t="s">
        <v>1982</v>
      </c>
      <c r="D166" s="23" t="s">
        <v>1983</v>
      </c>
      <c r="E166" s="24" t="s">
        <v>1355</v>
      </c>
      <c r="F166" s="24" t="s">
        <v>1944</v>
      </c>
      <c r="G166" s="24" t="s">
        <v>1984</v>
      </c>
      <c r="H166" s="24" t="s">
        <v>1383</v>
      </c>
      <c r="I166" s="45">
        <v>168.27</v>
      </c>
      <c r="J166" s="46">
        <v>710.78</v>
      </c>
      <c r="K166" s="47">
        <f t="shared" si="4"/>
        <v>119602.9506</v>
      </c>
    </row>
    <row r="167" spans="2:11" x14ac:dyDescent="0.25">
      <c r="B167" s="22" t="s">
        <v>1985</v>
      </c>
      <c r="C167" s="44" t="s">
        <v>1986</v>
      </c>
      <c r="D167" s="23" t="s">
        <v>1987</v>
      </c>
      <c r="E167" s="24" t="s">
        <v>1355</v>
      </c>
      <c r="F167" s="24" t="s">
        <v>1944</v>
      </c>
      <c r="G167" s="24" t="s">
        <v>1988</v>
      </c>
      <c r="H167" s="24" t="s">
        <v>1383</v>
      </c>
      <c r="I167" s="45">
        <v>270.39999999999998</v>
      </c>
      <c r="J167" s="46">
        <v>44.06</v>
      </c>
      <c r="K167" s="47">
        <f t="shared" si="4"/>
        <v>11913.823999999999</v>
      </c>
    </row>
    <row r="168" spans="2:11" x14ac:dyDescent="0.25">
      <c r="B168" s="22" t="s">
        <v>1989</v>
      </c>
      <c r="C168" s="44" t="s">
        <v>1990</v>
      </c>
      <c r="D168" s="23" t="s">
        <v>1991</v>
      </c>
      <c r="E168" s="24" t="s">
        <v>1355</v>
      </c>
      <c r="F168" s="24" t="s">
        <v>1944</v>
      </c>
      <c r="G168" s="24" t="s">
        <v>1992</v>
      </c>
      <c r="H168" s="18" t="s">
        <v>1361</v>
      </c>
      <c r="I168" s="45">
        <v>271.5</v>
      </c>
      <c r="J168" s="46">
        <v>81.510000000000005</v>
      </c>
      <c r="K168" s="47">
        <f t="shared" si="4"/>
        <v>22129.965</v>
      </c>
    </row>
    <row r="169" spans="2:11" x14ac:dyDescent="0.25">
      <c r="B169" s="22" t="s">
        <v>1993</v>
      </c>
      <c r="C169" s="44" t="s">
        <v>1994</v>
      </c>
      <c r="D169" s="23" t="s">
        <v>1995</v>
      </c>
      <c r="E169" s="24" t="s">
        <v>1355</v>
      </c>
      <c r="F169" s="24" t="s">
        <v>1944</v>
      </c>
      <c r="G169" s="24" t="s">
        <v>1996</v>
      </c>
      <c r="H169" s="24" t="s">
        <v>1383</v>
      </c>
      <c r="I169" s="45">
        <v>420</v>
      </c>
      <c r="J169" s="46">
        <v>63.03</v>
      </c>
      <c r="K169" s="47">
        <f t="shared" si="4"/>
        <v>26472.600000000002</v>
      </c>
    </row>
    <row r="170" spans="2:11" x14ac:dyDescent="0.25">
      <c r="B170" s="22" t="s">
        <v>1997</v>
      </c>
      <c r="C170" s="44" t="s">
        <v>1998</v>
      </c>
      <c r="D170" s="23" t="s">
        <v>1999</v>
      </c>
      <c r="E170" s="24" t="s">
        <v>1355</v>
      </c>
      <c r="F170" s="24" t="s">
        <v>1944</v>
      </c>
      <c r="G170" s="24" t="s">
        <v>2000</v>
      </c>
      <c r="H170" s="24" t="s">
        <v>1383</v>
      </c>
      <c r="I170" s="45">
        <v>437.87</v>
      </c>
      <c r="J170" s="46">
        <v>1143.18</v>
      </c>
      <c r="K170" s="47">
        <f t="shared" si="4"/>
        <v>500564.22660000005</v>
      </c>
    </row>
    <row r="171" spans="2:11" x14ac:dyDescent="0.25">
      <c r="B171" s="22" t="s">
        <v>2001</v>
      </c>
      <c r="C171" s="44" t="s">
        <v>2002</v>
      </c>
      <c r="D171" s="23" t="s">
        <v>2003</v>
      </c>
      <c r="E171" s="24" t="s">
        <v>1355</v>
      </c>
      <c r="F171" s="24" t="s">
        <v>1944</v>
      </c>
      <c r="G171" s="24" t="s">
        <v>2004</v>
      </c>
      <c r="H171" s="24" t="s">
        <v>1383</v>
      </c>
      <c r="I171" s="45">
        <v>1152.1500000000001</v>
      </c>
      <c r="J171" s="46">
        <v>47.74</v>
      </c>
      <c r="K171" s="47">
        <f t="shared" si="4"/>
        <v>55003.641000000003</v>
      </c>
    </row>
    <row r="172" spans="2:11" x14ac:dyDescent="0.25">
      <c r="B172" s="22" t="s">
        <v>2005</v>
      </c>
      <c r="C172" s="44" t="s">
        <v>2006</v>
      </c>
      <c r="D172" s="23" t="s">
        <v>2007</v>
      </c>
      <c r="E172" s="24" t="s">
        <v>1355</v>
      </c>
      <c r="F172" s="24" t="s">
        <v>1944</v>
      </c>
      <c r="G172" s="24" t="s">
        <v>2008</v>
      </c>
      <c r="H172" s="24" t="s">
        <v>1383</v>
      </c>
      <c r="I172" s="45">
        <v>1343</v>
      </c>
      <c r="J172" s="46">
        <v>21.01</v>
      </c>
      <c r="K172" s="47">
        <f t="shared" si="4"/>
        <v>28216.43</v>
      </c>
    </row>
    <row r="173" spans="2:11" x14ac:dyDescent="0.25">
      <c r="B173" s="22" t="s">
        <v>2009</v>
      </c>
      <c r="C173" s="44" t="s">
        <v>2010</v>
      </c>
      <c r="D173" s="23" t="s">
        <v>2011</v>
      </c>
      <c r="E173" s="24" t="s">
        <v>1355</v>
      </c>
      <c r="F173" s="24" t="s">
        <v>1944</v>
      </c>
      <c r="G173" s="24" t="s">
        <v>2012</v>
      </c>
      <c r="H173" s="24" t="s">
        <v>1383</v>
      </c>
      <c r="I173" s="45">
        <v>4423</v>
      </c>
      <c r="J173" s="46">
        <v>44.48</v>
      </c>
      <c r="K173" s="47">
        <f t="shared" si="4"/>
        <v>196735.03999999998</v>
      </c>
    </row>
    <row r="174" spans="2:11" ht="13.5" thickBot="1" x14ac:dyDescent="0.3">
      <c r="B174" s="22" t="s">
        <v>2013</v>
      </c>
      <c r="C174" s="48" t="s">
        <v>2014</v>
      </c>
      <c r="D174" s="29" t="s">
        <v>2015</v>
      </c>
      <c r="E174" s="30" t="s">
        <v>1355</v>
      </c>
      <c r="F174" s="30" t="s">
        <v>1944</v>
      </c>
      <c r="G174" s="30" t="s">
        <v>2016</v>
      </c>
      <c r="H174" s="24" t="s">
        <v>1627</v>
      </c>
      <c r="I174" s="49">
        <v>4655</v>
      </c>
      <c r="J174" s="50">
        <v>14.23</v>
      </c>
      <c r="K174" s="51">
        <f t="shared" si="4"/>
        <v>66240.650000000009</v>
      </c>
    </row>
    <row r="175" spans="2:11" ht="13.5" thickBot="1" x14ac:dyDescent="0.3">
      <c r="B175" s="22" t="s">
        <v>2017</v>
      </c>
      <c r="C175" s="34">
        <v>8</v>
      </c>
      <c r="D175" s="52">
        <v>30</v>
      </c>
      <c r="E175" s="36" t="s">
        <v>1355</v>
      </c>
      <c r="F175" s="36" t="s">
        <v>2018</v>
      </c>
      <c r="G175" s="36"/>
      <c r="H175" s="38"/>
      <c r="I175" s="37"/>
      <c r="J175" s="38"/>
      <c r="K175" s="39"/>
    </row>
    <row r="176" spans="2:11" x14ac:dyDescent="0.25">
      <c r="B176" s="22" t="s">
        <v>2019</v>
      </c>
      <c r="C176" s="40" t="s">
        <v>2020</v>
      </c>
      <c r="D176" s="17" t="s">
        <v>2021</v>
      </c>
      <c r="E176" s="18" t="s">
        <v>1355</v>
      </c>
      <c r="F176" s="18" t="s">
        <v>2018</v>
      </c>
      <c r="G176" s="18" t="s">
        <v>2022</v>
      </c>
      <c r="H176" s="24" t="s">
        <v>1383</v>
      </c>
      <c r="I176" s="41">
        <v>18126.3</v>
      </c>
      <c r="J176" s="42">
        <v>6.56</v>
      </c>
      <c r="K176" s="43">
        <f>I176*J176</f>
        <v>118908.52799999999</v>
      </c>
    </row>
    <row r="177" spans="2:11" x14ac:dyDescent="0.25">
      <c r="B177" s="22" t="s">
        <v>2023</v>
      </c>
      <c r="C177" s="44" t="s">
        <v>2024</v>
      </c>
      <c r="D177" s="23" t="s">
        <v>2025</v>
      </c>
      <c r="E177" s="24" t="s">
        <v>1355</v>
      </c>
      <c r="F177" s="24" t="s">
        <v>2018</v>
      </c>
      <c r="G177" s="24" t="s">
        <v>2026</v>
      </c>
      <c r="H177" s="24" t="s">
        <v>1627</v>
      </c>
      <c r="I177" s="45">
        <v>800</v>
      </c>
      <c r="J177" s="46">
        <v>11.85</v>
      </c>
      <c r="K177" s="47">
        <f t="shared" ref="K177:K188" si="5">I177*J177</f>
        <v>9480</v>
      </c>
    </row>
    <row r="178" spans="2:11" x14ac:dyDescent="0.25">
      <c r="B178" s="22" t="s">
        <v>2027</v>
      </c>
      <c r="C178" s="44" t="s">
        <v>2028</v>
      </c>
      <c r="D178" s="23" t="s">
        <v>2029</v>
      </c>
      <c r="E178" s="24" t="s">
        <v>1355</v>
      </c>
      <c r="F178" s="24" t="s">
        <v>2018</v>
      </c>
      <c r="G178" s="24" t="s">
        <v>2030</v>
      </c>
      <c r="H178" s="24" t="s">
        <v>1627</v>
      </c>
      <c r="I178" s="45">
        <v>800</v>
      </c>
      <c r="J178" s="46">
        <v>63.02</v>
      </c>
      <c r="K178" s="47">
        <f t="shared" si="5"/>
        <v>50416</v>
      </c>
    </row>
    <row r="179" spans="2:11" x14ac:dyDescent="0.25">
      <c r="B179" s="22" t="s">
        <v>2031</v>
      </c>
      <c r="C179" s="44" t="s">
        <v>2032</v>
      </c>
      <c r="D179" s="23" t="s">
        <v>2033</v>
      </c>
      <c r="E179" s="24" t="s">
        <v>1355</v>
      </c>
      <c r="F179" s="24" t="s">
        <v>2018</v>
      </c>
      <c r="G179" s="24" t="s">
        <v>2034</v>
      </c>
      <c r="H179" s="24" t="s">
        <v>1627</v>
      </c>
      <c r="I179" s="45">
        <v>200</v>
      </c>
      <c r="J179" s="46">
        <v>124.05</v>
      </c>
      <c r="K179" s="47">
        <f t="shared" si="5"/>
        <v>24810</v>
      </c>
    </row>
    <row r="180" spans="2:11" x14ac:dyDescent="0.25">
      <c r="B180" s="22" t="s">
        <v>2035</v>
      </c>
      <c r="C180" s="44" t="s">
        <v>2036</v>
      </c>
      <c r="D180" s="23" t="s">
        <v>2037</v>
      </c>
      <c r="E180" s="24" t="s">
        <v>1355</v>
      </c>
      <c r="F180" s="24" t="s">
        <v>2018</v>
      </c>
      <c r="G180" s="24" t="s">
        <v>2038</v>
      </c>
      <c r="H180" s="24" t="s">
        <v>1627</v>
      </c>
      <c r="I180" s="45">
        <v>200</v>
      </c>
      <c r="J180" s="46">
        <v>195.01</v>
      </c>
      <c r="K180" s="47">
        <f t="shared" si="5"/>
        <v>39002</v>
      </c>
    </row>
    <row r="181" spans="2:11" x14ac:dyDescent="0.25">
      <c r="B181" s="22" t="s">
        <v>2039</v>
      </c>
      <c r="C181" s="44" t="s">
        <v>2040</v>
      </c>
      <c r="D181" s="23" t="s">
        <v>2041</v>
      </c>
      <c r="E181" s="24" t="s">
        <v>1355</v>
      </c>
      <c r="F181" s="24" t="s">
        <v>2018</v>
      </c>
      <c r="G181" s="24" t="s">
        <v>2042</v>
      </c>
      <c r="H181" s="24" t="s">
        <v>1627</v>
      </c>
      <c r="I181" s="45">
        <v>200</v>
      </c>
      <c r="J181" s="46">
        <v>182.61</v>
      </c>
      <c r="K181" s="47">
        <f t="shared" si="5"/>
        <v>36522</v>
      </c>
    </row>
    <row r="182" spans="2:11" x14ac:dyDescent="0.25">
      <c r="B182" s="22" t="s">
        <v>2043</v>
      </c>
      <c r="C182" s="44" t="s">
        <v>2044</v>
      </c>
      <c r="D182" s="23" t="s">
        <v>2045</v>
      </c>
      <c r="E182" s="24" t="s">
        <v>1355</v>
      </c>
      <c r="F182" s="24" t="s">
        <v>2018</v>
      </c>
      <c r="G182" s="24" t="s">
        <v>2046</v>
      </c>
      <c r="H182" s="24" t="s">
        <v>1627</v>
      </c>
      <c r="I182" s="45">
        <v>800</v>
      </c>
      <c r="J182" s="46">
        <v>69.010000000000005</v>
      </c>
      <c r="K182" s="47">
        <f t="shared" si="5"/>
        <v>55208.000000000007</v>
      </c>
    </row>
    <row r="183" spans="2:11" x14ac:dyDescent="0.25">
      <c r="B183" s="22" t="s">
        <v>2047</v>
      </c>
      <c r="C183" s="44" t="s">
        <v>2048</v>
      </c>
      <c r="D183" s="23" t="s">
        <v>2049</v>
      </c>
      <c r="E183" s="24" t="s">
        <v>1355</v>
      </c>
      <c r="F183" s="24" t="s">
        <v>2018</v>
      </c>
      <c r="G183" s="24" t="s">
        <v>2050</v>
      </c>
      <c r="H183" s="24" t="s">
        <v>1627</v>
      </c>
      <c r="I183" s="45">
        <v>200</v>
      </c>
      <c r="J183" s="46">
        <v>181.79</v>
      </c>
      <c r="K183" s="47">
        <f t="shared" si="5"/>
        <v>36358</v>
      </c>
    </row>
    <row r="184" spans="2:11" x14ac:dyDescent="0.25">
      <c r="B184" s="22" t="s">
        <v>2051</v>
      </c>
      <c r="C184" s="44" t="s">
        <v>2052</v>
      </c>
      <c r="D184" s="23" t="s">
        <v>2053</v>
      </c>
      <c r="E184" s="24" t="s">
        <v>1355</v>
      </c>
      <c r="F184" s="24" t="s">
        <v>2018</v>
      </c>
      <c r="G184" s="24" t="s">
        <v>2054</v>
      </c>
      <c r="H184" s="24" t="s">
        <v>1383</v>
      </c>
      <c r="I184" s="45">
        <v>124600</v>
      </c>
      <c r="J184" s="46">
        <v>13.23</v>
      </c>
      <c r="K184" s="47">
        <f t="shared" si="5"/>
        <v>1648458</v>
      </c>
    </row>
    <row r="185" spans="2:11" x14ac:dyDescent="0.25">
      <c r="B185" s="22" t="s">
        <v>2055</v>
      </c>
      <c r="C185" s="44" t="s">
        <v>2056</v>
      </c>
      <c r="D185" s="23" t="s">
        <v>2057</v>
      </c>
      <c r="E185" s="24" t="s">
        <v>1355</v>
      </c>
      <c r="F185" s="24" t="s">
        <v>2018</v>
      </c>
      <c r="G185" s="24" t="s">
        <v>2058</v>
      </c>
      <c r="H185" s="24" t="s">
        <v>1383</v>
      </c>
      <c r="I185" s="45">
        <v>13920</v>
      </c>
      <c r="J185" s="46">
        <v>16.29</v>
      </c>
      <c r="K185" s="47">
        <f t="shared" si="5"/>
        <v>226756.8</v>
      </c>
    </row>
    <row r="186" spans="2:11" x14ac:dyDescent="0.25">
      <c r="B186" s="22" t="s">
        <v>2059</v>
      </c>
      <c r="C186" s="44" t="s">
        <v>2060</v>
      </c>
      <c r="D186" s="23" t="s">
        <v>2061</v>
      </c>
      <c r="E186" s="24" t="s">
        <v>1355</v>
      </c>
      <c r="F186" s="24" t="s">
        <v>2018</v>
      </c>
      <c r="G186" s="24" t="s">
        <v>2062</v>
      </c>
      <c r="H186" s="24" t="s">
        <v>1627</v>
      </c>
      <c r="I186" s="45">
        <v>200</v>
      </c>
      <c r="J186" s="46">
        <v>164.04</v>
      </c>
      <c r="K186" s="47">
        <f t="shared" si="5"/>
        <v>32808</v>
      </c>
    </row>
    <row r="187" spans="2:11" x14ac:dyDescent="0.25">
      <c r="B187" s="22" t="s">
        <v>2063</v>
      </c>
      <c r="C187" s="44" t="s">
        <v>2064</v>
      </c>
      <c r="D187" s="23" t="s">
        <v>2065</v>
      </c>
      <c r="E187" s="24" t="s">
        <v>1355</v>
      </c>
      <c r="F187" s="24" t="s">
        <v>2018</v>
      </c>
      <c r="G187" s="24" t="s">
        <v>2066</v>
      </c>
      <c r="H187" s="18" t="s">
        <v>1361</v>
      </c>
      <c r="I187" s="45">
        <v>1585</v>
      </c>
      <c r="J187" s="46">
        <v>70.819999999999993</v>
      </c>
      <c r="K187" s="47">
        <f t="shared" si="5"/>
        <v>112249.69999999998</v>
      </c>
    </row>
    <row r="188" spans="2:11" ht="13.5" thickBot="1" x14ac:dyDescent="0.3">
      <c r="B188" s="22" t="s">
        <v>2067</v>
      </c>
      <c r="C188" s="48" t="s">
        <v>2068</v>
      </c>
      <c r="D188" s="29" t="s">
        <v>2069</v>
      </c>
      <c r="E188" s="30" t="s">
        <v>1355</v>
      </c>
      <c r="F188" s="30" t="s">
        <v>2018</v>
      </c>
      <c r="G188" s="30" t="s">
        <v>2070</v>
      </c>
      <c r="H188" s="24" t="s">
        <v>1383</v>
      </c>
      <c r="I188" s="49">
        <v>124600</v>
      </c>
      <c r="J188" s="50">
        <v>6.56</v>
      </c>
      <c r="K188" s="51">
        <f t="shared" si="5"/>
        <v>817376</v>
      </c>
    </row>
    <row r="189" spans="2:11" ht="13.5" thickBot="1" x14ac:dyDescent="0.3">
      <c r="B189" s="22" t="s">
        <v>2071</v>
      </c>
      <c r="C189" s="34">
        <v>9</v>
      </c>
      <c r="D189" s="52">
        <v>72</v>
      </c>
      <c r="E189" s="36" t="s">
        <v>1355</v>
      </c>
      <c r="F189" s="36" t="s">
        <v>2072</v>
      </c>
      <c r="G189" s="36" t="s">
        <v>1528</v>
      </c>
      <c r="H189" s="36"/>
      <c r="I189" s="37"/>
      <c r="J189" s="38"/>
      <c r="K189" s="39"/>
    </row>
    <row r="190" spans="2:11" x14ac:dyDescent="0.25">
      <c r="B190" s="22" t="s">
        <v>2073</v>
      </c>
      <c r="C190" s="40" t="s">
        <v>2074</v>
      </c>
      <c r="D190" s="17" t="s">
        <v>2075</v>
      </c>
      <c r="E190" s="18" t="s">
        <v>1355</v>
      </c>
      <c r="F190" s="18" t="s">
        <v>2072</v>
      </c>
      <c r="G190" s="18" t="s">
        <v>2076</v>
      </c>
      <c r="H190" s="18" t="s">
        <v>2077</v>
      </c>
      <c r="I190" s="41">
        <v>12</v>
      </c>
      <c r="J190" s="42">
        <v>100000</v>
      </c>
      <c r="K190" s="43">
        <f>I190*J190</f>
        <v>1200000</v>
      </c>
    </row>
    <row r="191" spans="2:11" x14ac:dyDescent="0.25">
      <c r="B191" s="22" t="s">
        <v>2078</v>
      </c>
      <c r="C191" s="44" t="s">
        <v>2079</v>
      </c>
      <c r="D191" s="23" t="s">
        <v>2080</v>
      </c>
      <c r="E191" s="24" t="s">
        <v>1355</v>
      </c>
      <c r="F191" s="24" t="s">
        <v>2072</v>
      </c>
      <c r="G191" s="24" t="s">
        <v>2081</v>
      </c>
      <c r="H191" s="18" t="s">
        <v>2077</v>
      </c>
      <c r="I191" s="45">
        <v>12</v>
      </c>
      <c r="J191" s="46">
        <v>176000</v>
      </c>
      <c r="K191" s="47">
        <f t="shared" ref="K191:K194" si="6">I191*J191</f>
        <v>2112000</v>
      </c>
    </row>
    <row r="192" spans="2:11" x14ac:dyDescent="0.25">
      <c r="B192" s="22" t="s">
        <v>2082</v>
      </c>
      <c r="C192" s="44" t="s">
        <v>2083</v>
      </c>
      <c r="D192" s="23" t="s">
        <v>2084</v>
      </c>
      <c r="E192" s="24" t="s">
        <v>1355</v>
      </c>
      <c r="F192" s="24" t="s">
        <v>2072</v>
      </c>
      <c r="G192" s="24" t="s">
        <v>2085</v>
      </c>
      <c r="H192" s="18" t="s">
        <v>2077</v>
      </c>
      <c r="I192" s="45">
        <v>74</v>
      </c>
      <c r="J192" s="46">
        <v>26133.03</v>
      </c>
      <c r="K192" s="47">
        <f t="shared" si="6"/>
        <v>1933844.22</v>
      </c>
    </row>
    <row r="193" spans="2:11" x14ac:dyDescent="0.25">
      <c r="B193" s="22" t="s">
        <v>2086</v>
      </c>
      <c r="C193" s="44" t="s">
        <v>2087</v>
      </c>
      <c r="D193" s="23" t="s">
        <v>2088</v>
      </c>
      <c r="E193" s="24" t="s">
        <v>1355</v>
      </c>
      <c r="F193" s="24" t="s">
        <v>2072</v>
      </c>
      <c r="G193" s="24" t="s">
        <v>2089</v>
      </c>
      <c r="H193" s="18" t="s">
        <v>2077</v>
      </c>
      <c r="I193" s="45">
        <v>936</v>
      </c>
      <c r="J193" s="46">
        <v>2150.2800000000002</v>
      </c>
      <c r="K193" s="47">
        <f t="shared" si="6"/>
        <v>2012662.08</v>
      </c>
    </row>
    <row r="194" spans="2:11" ht="13.5" thickBot="1" x14ac:dyDescent="0.3">
      <c r="B194" s="22" t="s">
        <v>2090</v>
      </c>
      <c r="C194" s="48" t="s">
        <v>2091</v>
      </c>
      <c r="D194" s="29" t="s">
        <v>2092</v>
      </c>
      <c r="E194" s="30" t="s">
        <v>1355</v>
      </c>
      <c r="F194" s="30" t="s">
        <v>2072</v>
      </c>
      <c r="G194" s="30" t="s">
        <v>2093</v>
      </c>
      <c r="H194" s="18" t="s">
        <v>2077</v>
      </c>
      <c r="I194" s="49">
        <v>212</v>
      </c>
      <c r="J194" s="50">
        <v>64511.37</v>
      </c>
      <c r="K194" s="51">
        <f t="shared" si="6"/>
        <v>13676410.440000001</v>
      </c>
    </row>
    <row r="195" spans="2:11" ht="13.5" thickBot="1" x14ac:dyDescent="0.3">
      <c r="B195" s="22" t="s">
        <v>2094</v>
      </c>
      <c r="C195" s="34">
        <v>10</v>
      </c>
      <c r="D195" s="52"/>
      <c r="E195" s="36" t="s">
        <v>1355</v>
      </c>
      <c r="F195" s="36" t="s">
        <v>2095</v>
      </c>
      <c r="G195" s="36" t="s">
        <v>1528</v>
      </c>
      <c r="H195" s="36"/>
      <c r="I195" s="37"/>
      <c r="J195" s="38"/>
      <c r="K195" s="39"/>
    </row>
    <row r="196" spans="2:11" x14ac:dyDescent="0.25">
      <c r="B196" s="22" t="s">
        <v>2096</v>
      </c>
      <c r="C196" s="40" t="s">
        <v>2097</v>
      </c>
      <c r="D196" s="17" t="s">
        <v>2098</v>
      </c>
      <c r="E196" s="18" t="s">
        <v>1355</v>
      </c>
      <c r="F196" s="18" t="s">
        <v>2095</v>
      </c>
      <c r="G196" s="18" t="s">
        <v>2099</v>
      </c>
      <c r="H196" s="24" t="s">
        <v>1627</v>
      </c>
      <c r="I196" s="41">
        <v>35</v>
      </c>
      <c r="J196" s="42">
        <v>133.62</v>
      </c>
      <c r="K196" s="43">
        <f>I196*J196</f>
        <v>4676.7</v>
      </c>
    </row>
    <row r="197" spans="2:11" x14ac:dyDescent="0.25">
      <c r="B197" s="22" t="s">
        <v>2100</v>
      </c>
      <c r="C197" s="44" t="s">
        <v>2101</v>
      </c>
      <c r="D197" s="23" t="s">
        <v>2102</v>
      </c>
      <c r="E197" s="24" t="s">
        <v>1355</v>
      </c>
      <c r="F197" s="24" t="s">
        <v>2095</v>
      </c>
      <c r="G197" s="24" t="s">
        <v>2103</v>
      </c>
      <c r="H197" s="24" t="s">
        <v>1627</v>
      </c>
      <c r="I197" s="45">
        <v>35</v>
      </c>
      <c r="J197" s="46">
        <v>204.27</v>
      </c>
      <c r="K197" s="47">
        <f t="shared" ref="K197:K224" si="7">I197*J197</f>
        <v>7149.4500000000007</v>
      </c>
    </row>
    <row r="198" spans="2:11" x14ac:dyDescent="0.25">
      <c r="B198" s="22" t="s">
        <v>2104</v>
      </c>
      <c r="C198" s="44" t="s">
        <v>2105</v>
      </c>
      <c r="D198" s="23">
        <v>460808</v>
      </c>
      <c r="E198" s="24" t="s">
        <v>1355</v>
      </c>
      <c r="F198" s="24" t="s">
        <v>2095</v>
      </c>
      <c r="G198" s="24" t="s">
        <v>2106</v>
      </c>
      <c r="H198" s="18" t="s">
        <v>1361</v>
      </c>
      <c r="I198" s="45">
        <v>67.2</v>
      </c>
      <c r="J198" s="46">
        <v>243.26</v>
      </c>
      <c r="K198" s="47">
        <f t="shared" si="7"/>
        <v>16347.072</v>
      </c>
    </row>
    <row r="199" spans="2:11" x14ac:dyDescent="0.25">
      <c r="B199" s="22" t="s">
        <v>2107</v>
      </c>
      <c r="C199" s="44" t="s">
        <v>2108</v>
      </c>
      <c r="D199" s="23">
        <v>460810</v>
      </c>
      <c r="E199" s="24" t="s">
        <v>1355</v>
      </c>
      <c r="F199" s="24" t="s">
        <v>2095</v>
      </c>
      <c r="G199" s="24" t="s">
        <v>2109</v>
      </c>
      <c r="H199" s="18" t="s">
        <v>1361</v>
      </c>
      <c r="I199" s="45">
        <v>1509.6</v>
      </c>
      <c r="J199" s="46">
        <v>319.72000000000003</v>
      </c>
      <c r="K199" s="47">
        <f t="shared" si="7"/>
        <v>482649.31200000003</v>
      </c>
    </row>
    <row r="200" spans="2:11" x14ac:dyDescent="0.25">
      <c r="B200" s="22" t="s">
        <v>2110</v>
      </c>
      <c r="C200" s="44" t="s">
        <v>2111</v>
      </c>
      <c r="D200" s="23" t="s">
        <v>2112</v>
      </c>
      <c r="E200" s="24" t="s">
        <v>1355</v>
      </c>
      <c r="F200" s="24" t="s">
        <v>2095</v>
      </c>
      <c r="G200" s="24" t="s">
        <v>2113</v>
      </c>
      <c r="H200" s="24" t="s">
        <v>1627</v>
      </c>
      <c r="I200" s="45">
        <v>35</v>
      </c>
      <c r="J200" s="46">
        <v>557.15</v>
      </c>
      <c r="K200" s="47">
        <f t="shared" si="7"/>
        <v>19500.25</v>
      </c>
    </row>
    <row r="201" spans="2:11" x14ac:dyDescent="0.25">
      <c r="B201" s="22" t="s">
        <v>2114</v>
      </c>
      <c r="C201" s="44" t="s">
        <v>2115</v>
      </c>
      <c r="D201" s="23" t="s">
        <v>2116</v>
      </c>
      <c r="E201" s="24" t="s">
        <v>1355</v>
      </c>
      <c r="F201" s="24" t="s">
        <v>2095</v>
      </c>
      <c r="G201" s="24" t="s">
        <v>2117</v>
      </c>
      <c r="H201" s="24" t="s">
        <v>1627</v>
      </c>
      <c r="I201" s="45">
        <v>35</v>
      </c>
      <c r="J201" s="46">
        <v>399.33</v>
      </c>
      <c r="K201" s="47">
        <f t="shared" si="7"/>
        <v>13976.55</v>
      </c>
    </row>
    <row r="202" spans="2:11" x14ac:dyDescent="0.25">
      <c r="B202" s="22" t="s">
        <v>2118</v>
      </c>
      <c r="C202" s="44" t="s">
        <v>2119</v>
      </c>
      <c r="D202" s="23" t="s">
        <v>2120</v>
      </c>
      <c r="E202" s="24" t="s">
        <v>1355</v>
      </c>
      <c r="F202" s="24" t="s">
        <v>2095</v>
      </c>
      <c r="G202" s="24" t="s">
        <v>2121</v>
      </c>
      <c r="H202" s="24" t="s">
        <v>1627</v>
      </c>
      <c r="I202" s="45">
        <v>35</v>
      </c>
      <c r="J202" s="46">
        <v>691.74</v>
      </c>
      <c r="K202" s="47">
        <f t="shared" si="7"/>
        <v>24210.9</v>
      </c>
    </row>
    <row r="203" spans="2:11" x14ac:dyDescent="0.25">
      <c r="B203" s="22" t="s">
        <v>2122</v>
      </c>
      <c r="C203" s="44" t="s">
        <v>2123</v>
      </c>
      <c r="D203" s="23" t="s">
        <v>2124</v>
      </c>
      <c r="E203" s="24" t="s">
        <v>1355</v>
      </c>
      <c r="F203" s="24" t="s">
        <v>2095</v>
      </c>
      <c r="G203" s="24" t="s">
        <v>2125</v>
      </c>
      <c r="H203" s="24" t="s">
        <v>1627</v>
      </c>
      <c r="I203" s="45">
        <v>35</v>
      </c>
      <c r="J203" s="46">
        <v>454.57</v>
      </c>
      <c r="K203" s="47">
        <f t="shared" si="7"/>
        <v>15909.949999999999</v>
      </c>
    </row>
    <row r="204" spans="2:11" x14ac:dyDescent="0.25">
      <c r="B204" s="22" t="s">
        <v>2126</v>
      </c>
      <c r="C204" s="44" t="s">
        <v>2127</v>
      </c>
      <c r="D204" s="23" t="s">
        <v>2128</v>
      </c>
      <c r="E204" s="24" t="s">
        <v>1355</v>
      </c>
      <c r="F204" s="24" t="s">
        <v>2095</v>
      </c>
      <c r="G204" s="24" t="s">
        <v>2129</v>
      </c>
      <c r="H204" s="24" t="s">
        <v>1627</v>
      </c>
      <c r="I204" s="45">
        <v>35</v>
      </c>
      <c r="J204" s="46">
        <v>235.98</v>
      </c>
      <c r="K204" s="47">
        <f t="shared" si="7"/>
        <v>8259.2999999999993</v>
      </c>
    </row>
    <row r="205" spans="2:11" x14ac:dyDescent="0.25">
      <c r="B205" s="22" t="s">
        <v>2130</v>
      </c>
      <c r="C205" s="44" t="s">
        <v>2131</v>
      </c>
      <c r="D205" s="23" t="s">
        <v>2132</v>
      </c>
      <c r="E205" s="24" t="s">
        <v>1355</v>
      </c>
      <c r="F205" s="24" t="s">
        <v>2095</v>
      </c>
      <c r="G205" s="24" t="s">
        <v>2133</v>
      </c>
      <c r="H205" s="24" t="s">
        <v>1627</v>
      </c>
      <c r="I205" s="45">
        <v>68</v>
      </c>
      <c r="J205" s="46">
        <v>67.59</v>
      </c>
      <c r="K205" s="47">
        <f t="shared" si="7"/>
        <v>4596.12</v>
      </c>
    </row>
    <row r="206" spans="2:11" x14ac:dyDescent="0.25">
      <c r="B206" s="22" t="s">
        <v>2134</v>
      </c>
      <c r="C206" s="44" t="s">
        <v>2135</v>
      </c>
      <c r="D206" s="23" t="s">
        <v>2136</v>
      </c>
      <c r="E206" s="24" t="s">
        <v>1355</v>
      </c>
      <c r="F206" s="24" t="s">
        <v>2095</v>
      </c>
      <c r="G206" s="24" t="s">
        <v>2137</v>
      </c>
      <c r="H206" s="24" t="s">
        <v>1627</v>
      </c>
      <c r="I206" s="45">
        <v>8</v>
      </c>
      <c r="J206" s="46">
        <v>461.16</v>
      </c>
      <c r="K206" s="47">
        <f t="shared" si="7"/>
        <v>3689.28</v>
      </c>
    </row>
    <row r="207" spans="2:11" x14ac:dyDescent="0.25">
      <c r="B207" s="22" t="s">
        <v>2138</v>
      </c>
      <c r="C207" s="44" t="s">
        <v>2139</v>
      </c>
      <c r="D207" s="23" t="s">
        <v>2140</v>
      </c>
      <c r="E207" s="24" t="s">
        <v>1355</v>
      </c>
      <c r="F207" s="24" t="s">
        <v>2095</v>
      </c>
      <c r="G207" s="24" t="s">
        <v>2141</v>
      </c>
      <c r="H207" s="24" t="s">
        <v>1627</v>
      </c>
      <c r="I207" s="45">
        <v>34</v>
      </c>
      <c r="J207" s="46">
        <v>133.41</v>
      </c>
      <c r="K207" s="47">
        <f t="shared" si="7"/>
        <v>4535.9399999999996</v>
      </c>
    </row>
    <row r="208" spans="2:11" x14ac:dyDescent="0.25">
      <c r="B208" s="22" t="s">
        <v>2142</v>
      </c>
      <c r="C208" s="44" t="s">
        <v>2143</v>
      </c>
      <c r="D208" s="23" t="s">
        <v>2144</v>
      </c>
      <c r="E208" s="24" t="s">
        <v>1355</v>
      </c>
      <c r="F208" s="24" t="s">
        <v>2095</v>
      </c>
      <c r="G208" s="24" t="s">
        <v>2145</v>
      </c>
      <c r="H208" s="24" t="s">
        <v>1627</v>
      </c>
      <c r="I208" s="45">
        <v>530</v>
      </c>
      <c r="J208" s="46">
        <v>200.57</v>
      </c>
      <c r="K208" s="47">
        <f t="shared" si="7"/>
        <v>106302.09999999999</v>
      </c>
    </row>
    <row r="209" spans="2:11" x14ac:dyDescent="0.25">
      <c r="B209" s="22" t="s">
        <v>2146</v>
      </c>
      <c r="C209" s="44" t="s">
        <v>2147</v>
      </c>
      <c r="D209" s="23" t="s">
        <v>2148</v>
      </c>
      <c r="E209" s="24" t="s">
        <v>1355</v>
      </c>
      <c r="F209" s="24" t="s">
        <v>2095</v>
      </c>
      <c r="G209" s="24" t="s">
        <v>2149</v>
      </c>
      <c r="H209" s="24" t="s">
        <v>1627</v>
      </c>
      <c r="I209" s="45">
        <v>68</v>
      </c>
      <c r="J209" s="46">
        <v>198.9</v>
      </c>
      <c r="K209" s="47">
        <f t="shared" si="7"/>
        <v>13525.2</v>
      </c>
    </row>
    <row r="210" spans="2:11" x14ac:dyDescent="0.25">
      <c r="B210" s="22" t="s">
        <v>2150</v>
      </c>
      <c r="C210" s="44" t="s">
        <v>2151</v>
      </c>
      <c r="D210" s="23" t="s">
        <v>2152</v>
      </c>
      <c r="E210" s="24" t="s">
        <v>1355</v>
      </c>
      <c r="F210" s="24" t="s">
        <v>2095</v>
      </c>
      <c r="G210" s="24" t="s">
        <v>2153</v>
      </c>
      <c r="H210" s="24" t="s">
        <v>1627</v>
      </c>
      <c r="I210" s="45">
        <v>35</v>
      </c>
      <c r="J210" s="46">
        <v>156.6</v>
      </c>
      <c r="K210" s="47">
        <f t="shared" si="7"/>
        <v>5481</v>
      </c>
    </row>
    <row r="211" spans="2:11" x14ac:dyDescent="0.25">
      <c r="B211" s="22" t="s">
        <v>2154</v>
      </c>
      <c r="C211" s="44" t="s">
        <v>2155</v>
      </c>
      <c r="D211" s="23" t="s">
        <v>2156</v>
      </c>
      <c r="E211" s="24" t="s">
        <v>1355</v>
      </c>
      <c r="F211" s="24" t="s">
        <v>2095</v>
      </c>
      <c r="G211" s="24" t="s">
        <v>2157</v>
      </c>
      <c r="H211" s="24" t="s">
        <v>1627</v>
      </c>
      <c r="I211" s="45">
        <v>35</v>
      </c>
      <c r="J211" s="46">
        <v>1223.29</v>
      </c>
      <c r="K211" s="47">
        <f t="shared" si="7"/>
        <v>42815.15</v>
      </c>
    </row>
    <row r="212" spans="2:11" x14ac:dyDescent="0.25">
      <c r="B212" s="22" t="s">
        <v>2158</v>
      </c>
      <c r="C212" s="44" t="s">
        <v>2159</v>
      </c>
      <c r="D212" s="23" t="s">
        <v>2160</v>
      </c>
      <c r="E212" s="24" t="s">
        <v>1355</v>
      </c>
      <c r="F212" s="24" t="s">
        <v>2095</v>
      </c>
      <c r="G212" s="24" t="s">
        <v>2161</v>
      </c>
      <c r="H212" s="24" t="s">
        <v>1627</v>
      </c>
      <c r="I212" s="45">
        <v>35</v>
      </c>
      <c r="J212" s="46">
        <v>204.23</v>
      </c>
      <c r="K212" s="47">
        <f t="shared" si="7"/>
        <v>7148.0499999999993</v>
      </c>
    </row>
    <row r="213" spans="2:11" x14ac:dyDescent="0.25">
      <c r="B213" s="22" t="s">
        <v>2162</v>
      </c>
      <c r="C213" s="44" t="s">
        <v>2163</v>
      </c>
      <c r="D213" s="23" t="s">
        <v>2164</v>
      </c>
      <c r="E213" s="24" t="s">
        <v>1355</v>
      </c>
      <c r="F213" s="24" t="s">
        <v>2095</v>
      </c>
      <c r="G213" s="24" t="s">
        <v>2165</v>
      </c>
      <c r="H213" s="24" t="s">
        <v>1627</v>
      </c>
      <c r="I213" s="45">
        <v>35</v>
      </c>
      <c r="J213" s="46">
        <v>781.07</v>
      </c>
      <c r="K213" s="47">
        <f t="shared" si="7"/>
        <v>27337.45</v>
      </c>
    </row>
    <row r="214" spans="2:11" x14ac:dyDescent="0.25">
      <c r="B214" s="22" t="s">
        <v>2166</v>
      </c>
      <c r="C214" s="44" t="s">
        <v>2167</v>
      </c>
      <c r="D214" s="23" t="s">
        <v>2168</v>
      </c>
      <c r="E214" s="24" t="s">
        <v>1355</v>
      </c>
      <c r="F214" s="24" t="s">
        <v>2095</v>
      </c>
      <c r="G214" s="24" t="s">
        <v>2169</v>
      </c>
      <c r="H214" s="24" t="s">
        <v>1627</v>
      </c>
      <c r="I214" s="45">
        <v>35</v>
      </c>
      <c r="J214" s="46">
        <v>98.82</v>
      </c>
      <c r="K214" s="47">
        <f t="shared" si="7"/>
        <v>3458.7</v>
      </c>
    </row>
    <row r="215" spans="2:11" x14ac:dyDescent="0.25">
      <c r="B215" s="22" t="s">
        <v>2170</v>
      </c>
      <c r="C215" s="44" t="s">
        <v>2171</v>
      </c>
      <c r="D215" s="23" t="s">
        <v>2172</v>
      </c>
      <c r="E215" s="24" t="s">
        <v>1355</v>
      </c>
      <c r="F215" s="24" t="s">
        <v>2095</v>
      </c>
      <c r="G215" s="24" t="s">
        <v>2173</v>
      </c>
      <c r="H215" s="24" t="s">
        <v>1627</v>
      </c>
      <c r="I215" s="45">
        <v>35</v>
      </c>
      <c r="J215" s="46">
        <v>428.22</v>
      </c>
      <c r="K215" s="47">
        <f t="shared" si="7"/>
        <v>14987.7</v>
      </c>
    </row>
    <row r="216" spans="2:11" x14ac:dyDescent="0.25">
      <c r="B216" s="22" t="s">
        <v>2174</v>
      </c>
      <c r="C216" s="44" t="s">
        <v>2175</v>
      </c>
      <c r="D216" s="23" t="s">
        <v>2176</v>
      </c>
      <c r="E216" s="24" t="s">
        <v>1355</v>
      </c>
      <c r="F216" s="24" t="s">
        <v>2095</v>
      </c>
      <c r="G216" s="24" t="s">
        <v>2177</v>
      </c>
      <c r="H216" s="24" t="s">
        <v>1627</v>
      </c>
      <c r="I216" s="45">
        <v>6</v>
      </c>
      <c r="J216" s="46">
        <v>2782.08</v>
      </c>
      <c r="K216" s="47">
        <f t="shared" si="7"/>
        <v>16692.48</v>
      </c>
    </row>
    <row r="217" spans="2:11" x14ac:dyDescent="0.25">
      <c r="B217" s="22" t="s">
        <v>2178</v>
      </c>
      <c r="C217" s="44" t="s">
        <v>2179</v>
      </c>
      <c r="D217" s="23" t="s">
        <v>2180</v>
      </c>
      <c r="E217" s="24" t="s">
        <v>1355</v>
      </c>
      <c r="F217" s="24" t="s">
        <v>2095</v>
      </c>
      <c r="G217" s="24" t="s">
        <v>2181</v>
      </c>
      <c r="H217" s="24" t="s">
        <v>1627</v>
      </c>
      <c r="I217" s="45">
        <v>2</v>
      </c>
      <c r="J217" s="46">
        <v>3630.15</v>
      </c>
      <c r="K217" s="47">
        <f t="shared" si="7"/>
        <v>7260.3</v>
      </c>
    </row>
    <row r="218" spans="2:11" x14ac:dyDescent="0.25">
      <c r="B218" s="22" t="s">
        <v>2182</v>
      </c>
      <c r="C218" s="44" t="s">
        <v>2183</v>
      </c>
      <c r="D218" s="23" t="s">
        <v>2184</v>
      </c>
      <c r="E218" s="24" t="s">
        <v>1355</v>
      </c>
      <c r="F218" s="24" t="s">
        <v>2095</v>
      </c>
      <c r="G218" s="24" t="s">
        <v>2185</v>
      </c>
      <c r="H218" s="24" t="s">
        <v>1627</v>
      </c>
      <c r="I218" s="45">
        <v>1</v>
      </c>
      <c r="J218" s="46">
        <v>1069.2</v>
      </c>
      <c r="K218" s="47">
        <f t="shared" si="7"/>
        <v>1069.2</v>
      </c>
    </row>
    <row r="219" spans="2:11" x14ac:dyDescent="0.25">
      <c r="B219" s="22" t="s">
        <v>2186</v>
      </c>
      <c r="C219" s="44" t="s">
        <v>2187</v>
      </c>
      <c r="D219" s="23" t="s">
        <v>2188</v>
      </c>
      <c r="E219" s="24" t="s">
        <v>1355</v>
      </c>
      <c r="F219" s="24" t="s">
        <v>2095</v>
      </c>
      <c r="G219" s="24" t="s">
        <v>2189</v>
      </c>
      <c r="H219" s="18" t="s">
        <v>1361</v>
      </c>
      <c r="I219" s="45">
        <v>67.2</v>
      </c>
      <c r="J219" s="46">
        <v>10.41</v>
      </c>
      <c r="K219" s="47">
        <f t="shared" si="7"/>
        <v>699.55200000000002</v>
      </c>
    </row>
    <row r="220" spans="2:11" x14ac:dyDescent="0.25">
      <c r="B220" s="22" t="s">
        <v>2190</v>
      </c>
      <c r="C220" s="44" t="s">
        <v>2191</v>
      </c>
      <c r="D220" s="23" t="s">
        <v>2192</v>
      </c>
      <c r="E220" s="24" t="s">
        <v>1355</v>
      </c>
      <c r="F220" s="24" t="s">
        <v>2095</v>
      </c>
      <c r="G220" s="24" t="s">
        <v>2193</v>
      </c>
      <c r="H220" s="18" t="s">
        <v>1361</v>
      </c>
      <c r="I220" s="45">
        <v>1509.6</v>
      </c>
      <c r="J220" s="46">
        <v>30.2</v>
      </c>
      <c r="K220" s="47">
        <f t="shared" si="7"/>
        <v>45589.919999999998</v>
      </c>
    </row>
    <row r="221" spans="2:11" x14ac:dyDescent="0.25">
      <c r="B221" s="22" t="s">
        <v>2194</v>
      </c>
      <c r="C221" s="44" t="s">
        <v>2195</v>
      </c>
      <c r="D221" s="23" t="s">
        <v>2196</v>
      </c>
      <c r="E221" s="24" t="s">
        <v>1355</v>
      </c>
      <c r="F221" s="24" t="s">
        <v>2095</v>
      </c>
      <c r="G221" s="24" t="s">
        <v>2197</v>
      </c>
      <c r="H221" s="24" t="s">
        <v>1627</v>
      </c>
      <c r="I221" s="45">
        <v>37</v>
      </c>
      <c r="J221" s="46">
        <v>133.96</v>
      </c>
      <c r="K221" s="47">
        <f t="shared" si="7"/>
        <v>4956.5200000000004</v>
      </c>
    </row>
    <row r="222" spans="2:11" x14ac:dyDescent="0.25">
      <c r="B222" s="22" t="s">
        <v>2198</v>
      </c>
      <c r="C222" s="44" t="s">
        <v>2199</v>
      </c>
      <c r="D222" s="23" t="s">
        <v>2200</v>
      </c>
      <c r="E222" s="24" t="s">
        <v>1355</v>
      </c>
      <c r="F222" s="24" t="s">
        <v>2095</v>
      </c>
      <c r="G222" s="24" t="s">
        <v>2201</v>
      </c>
      <c r="H222" s="24" t="s">
        <v>1627</v>
      </c>
      <c r="I222" s="45">
        <v>61</v>
      </c>
      <c r="J222" s="46">
        <v>76.36</v>
      </c>
      <c r="K222" s="47">
        <f t="shared" si="7"/>
        <v>4657.96</v>
      </c>
    </row>
    <row r="223" spans="2:11" x14ac:dyDescent="0.25">
      <c r="B223" s="22" t="s">
        <v>2202</v>
      </c>
      <c r="C223" s="44" t="s">
        <v>2203</v>
      </c>
      <c r="D223" s="23" t="s">
        <v>2204</v>
      </c>
      <c r="E223" s="24" t="s">
        <v>1355</v>
      </c>
      <c r="F223" s="24" t="s">
        <v>2095</v>
      </c>
      <c r="G223" s="24" t="s">
        <v>2205</v>
      </c>
      <c r="H223" s="24" t="s">
        <v>1627</v>
      </c>
      <c r="I223" s="45">
        <v>15</v>
      </c>
      <c r="J223" s="46">
        <v>955.26</v>
      </c>
      <c r="K223" s="47">
        <f t="shared" si="7"/>
        <v>14328.9</v>
      </c>
    </row>
    <row r="224" spans="2:11" ht="13.5" thickBot="1" x14ac:dyDescent="0.3">
      <c r="B224" s="22" t="s">
        <v>2206</v>
      </c>
      <c r="C224" s="48" t="s">
        <v>2207</v>
      </c>
      <c r="D224" s="29" t="s">
        <v>2208</v>
      </c>
      <c r="E224" s="30" t="s">
        <v>1355</v>
      </c>
      <c r="F224" s="30" t="s">
        <v>2095</v>
      </c>
      <c r="G224" s="30" t="s">
        <v>2209</v>
      </c>
      <c r="H224" s="24" t="s">
        <v>1627</v>
      </c>
      <c r="I224" s="49">
        <v>15</v>
      </c>
      <c r="J224" s="50">
        <v>3524.58</v>
      </c>
      <c r="K224" s="51">
        <f t="shared" si="7"/>
        <v>52868.7</v>
      </c>
    </row>
    <row r="225" spans="2:11" ht="13.5" thickBot="1" x14ac:dyDescent="0.3">
      <c r="B225" s="22" t="s">
        <v>2210</v>
      </c>
      <c r="C225" s="34">
        <v>11</v>
      </c>
      <c r="D225" s="53"/>
      <c r="E225" s="36" t="s">
        <v>1355</v>
      </c>
      <c r="F225" s="36" t="s">
        <v>2211</v>
      </c>
      <c r="G225" s="36" t="s">
        <v>1528</v>
      </c>
      <c r="H225" s="36"/>
      <c r="I225" s="37"/>
      <c r="J225" s="38"/>
      <c r="K225" s="39"/>
    </row>
    <row r="226" spans="2:11" x14ac:dyDescent="0.25">
      <c r="B226" s="22" t="s">
        <v>2212</v>
      </c>
      <c r="C226" s="16" t="s">
        <v>2213</v>
      </c>
      <c r="D226" s="54" t="s">
        <v>2214</v>
      </c>
      <c r="E226" s="55" t="s">
        <v>1355</v>
      </c>
      <c r="F226" s="55" t="s">
        <v>2211</v>
      </c>
      <c r="G226" s="55" t="s">
        <v>2215</v>
      </c>
      <c r="H226" s="24" t="s">
        <v>1383</v>
      </c>
      <c r="I226" s="56">
        <v>105</v>
      </c>
      <c r="J226" s="57">
        <v>534.87</v>
      </c>
      <c r="K226" s="58">
        <f>I226*J226</f>
        <v>56161.35</v>
      </c>
    </row>
    <row r="227" spans="2:11" x14ac:dyDescent="0.25">
      <c r="B227" s="22" t="s">
        <v>2216</v>
      </c>
      <c r="C227" s="22" t="s">
        <v>2217</v>
      </c>
      <c r="D227" s="59" t="s">
        <v>2218</v>
      </c>
      <c r="E227" s="60" t="s">
        <v>1355</v>
      </c>
      <c r="F227" s="60" t="s">
        <v>2211</v>
      </c>
      <c r="G227" s="60" t="s">
        <v>2219</v>
      </c>
      <c r="H227" s="24" t="s">
        <v>1383</v>
      </c>
      <c r="I227" s="61">
        <v>50</v>
      </c>
      <c r="J227" s="62">
        <v>569.62</v>
      </c>
      <c r="K227" s="63">
        <f t="shared" ref="K227:K290" si="8">I227*J227</f>
        <v>28481</v>
      </c>
    </row>
    <row r="228" spans="2:11" x14ac:dyDescent="0.25">
      <c r="B228" s="22" t="s">
        <v>2220</v>
      </c>
      <c r="C228" s="22" t="s">
        <v>2221</v>
      </c>
      <c r="D228" s="59" t="s">
        <v>2222</v>
      </c>
      <c r="E228" s="60" t="s">
        <v>1355</v>
      </c>
      <c r="F228" s="60" t="s">
        <v>2211</v>
      </c>
      <c r="G228" s="60" t="s">
        <v>2223</v>
      </c>
      <c r="H228" s="24" t="s">
        <v>1383</v>
      </c>
      <c r="I228" s="61">
        <v>520</v>
      </c>
      <c r="J228" s="62">
        <v>62.51</v>
      </c>
      <c r="K228" s="63">
        <f t="shared" si="8"/>
        <v>32505.200000000001</v>
      </c>
    </row>
    <row r="229" spans="2:11" x14ac:dyDescent="0.25">
      <c r="B229" s="22" t="s">
        <v>2224</v>
      </c>
      <c r="C229" s="22" t="s">
        <v>2225</v>
      </c>
      <c r="D229" s="59" t="s">
        <v>2226</v>
      </c>
      <c r="E229" s="60" t="s">
        <v>1355</v>
      </c>
      <c r="F229" s="60" t="s">
        <v>2211</v>
      </c>
      <c r="G229" s="60" t="s">
        <v>2227</v>
      </c>
      <c r="H229" s="24" t="s">
        <v>1383</v>
      </c>
      <c r="I229" s="61">
        <v>1260</v>
      </c>
      <c r="J229" s="62">
        <v>74.72</v>
      </c>
      <c r="K229" s="63">
        <f t="shared" si="8"/>
        <v>94147.199999999997</v>
      </c>
    </row>
    <row r="230" spans="2:11" x14ac:dyDescent="0.25">
      <c r="B230" s="22" t="s">
        <v>2228</v>
      </c>
      <c r="C230" s="22" t="s">
        <v>2229</v>
      </c>
      <c r="D230" s="59" t="s">
        <v>2230</v>
      </c>
      <c r="E230" s="60" t="s">
        <v>1355</v>
      </c>
      <c r="F230" s="60" t="s">
        <v>2211</v>
      </c>
      <c r="G230" s="60" t="s">
        <v>2231</v>
      </c>
      <c r="H230" s="24" t="s">
        <v>1383</v>
      </c>
      <c r="I230" s="61">
        <v>410</v>
      </c>
      <c r="J230" s="62">
        <v>72.87</v>
      </c>
      <c r="K230" s="63">
        <f t="shared" si="8"/>
        <v>29876.7</v>
      </c>
    </row>
    <row r="231" spans="2:11" x14ac:dyDescent="0.25">
      <c r="B231" s="22" t="s">
        <v>2232</v>
      </c>
      <c r="C231" s="22" t="s">
        <v>2233</v>
      </c>
      <c r="D231" s="59" t="s">
        <v>2234</v>
      </c>
      <c r="E231" s="60" t="s">
        <v>1355</v>
      </c>
      <c r="F231" s="60" t="s">
        <v>2211</v>
      </c>
      <c r="G231" s="60" t="s">
        <v>2235</v>
      </c>
      <c r="H231" s="24" t="s">
        <v>1383</v>
      </c>
      <c r="I231" s="61">
        <v>777</v>
      </c>
      <c r="J231" s="62">
        <v>85.29</v>
      </c>
      <c r="K231" s="63">
        <f t="shared" si="8"/>
        <v>66270.33</v>
      </c>
    </row>
    <row r="232" spans="2:11" x14ac:dyDescent="0.25">
      <c r="B232" s="22" t="s">
        <v>2236</v>
      </c>
      <c r="C232" s="22" t="s">
        <v>2237</v>
      </c>
      <c r="D232" s="59" t="s">
        <v>2238</v>
      </c>
      <c r="E232" s="60" t="s">
        <v>1355</v>
      </c>
      <c r="F232" s="60" t="s">
        <v>2211</v>
      </c>
      <c r="G232" s="60" t="s">
        <v>2239</v>
      </c>
      <c r="H232" s="24" t="s">
        <v>1383</v>
      </c>
      <c r="I232" s="61">
        <v>134</v>
      </c>
      <c r="J232" s="62">
        <v>150.47</v>
      </c>
      <c r="K232" s="63">
        <f t="shared" si="8"/>
        <v>20162.98</v>
      </c>
    </row>
    <row r="233" spans="2:11" x14ac:dyDescent="0.25">
      <c r="B233" s="22" t="s">
        <v>2240</v>
      </c>
      <c r="C233" s="22" t="s">
        <v>2241</v>
      </c>
      <c r="D233" s="59" t="s">
        <v>2242</v>
      </c>
      <c r="E233" s="60" t="s">
        <v>1355</v>
      </c>
      <c r="F233" s="60" t="s">
        <v>2211</v>
      </c>
      <c r="G233" s="60" t="s">
        <v>2243</v>
      </c>
      <c r="H233" s="24" t="s">
        <v>1383</v>
      </c>
      <c r="I233" s="61">
        <v>98</v>
      </c>
      <c r="J233" s="62">
        <v>145.1</v>
      </c>
      <c r="K233" s="63">
        <f t="shared" si="8"/>
        <v>14219.8</v>
      </c>
    </row>
    <row r="234" spans="2:11" x14ac:dyDescent="0.25">
      <c r="B234" s="22" t="s">
        <v>2244</v>
      </c>
      <c r="C234" s="22" t="s">
        <v>2245</v>
      </c>
      <c r="D234" s="59" t="s">
        <v>2246</v>
      </c>
      <c r="E234" s="60" t="s">
        <v>1355</v>
      </c>
      <c r="F234" s="60" t="s">
        <v>2211</v>
      </c>
      <c r="G234" s="60" t="s">
        <v>2247</v>
      </c>
      <c r="H234" s="24" t="s">
        <v>1383</v>
      </c>
      <c r="I234" s="61">
        <v>60</v>
      </c>
      <c r="J234" s="62">
        <v>167.79</v>
      </c>
      <c r="K234" s="63">
        <f t="shared" si="8"/>
        <v>10067.4</v>
      </c>
    </row>
    <row r="235" spans="2:11" x14ac:dyDescent="0.25">
      <c r="B235" s="22" t="s">
        <v>2248</v>
      </c>
      <c r="C235" s="22" t="s">
        <v>2249</v>
      </c>
      <c r="D235" s="59" t="s">
        <v>2250</v>
      </c>
      <c r="E235" s="60" t="s">
        <v>1355</v>
      </c>
      <c r="F235" s="60" t="s">
        <v>2211</v>
      </c>
      <c r="G235" s="60" t="s">
        <v>2251</v>
      </c>
      <c r="H235" s="24" t="s">
        <v>1383</v>
      </c>
      <c r="I235" s="61">
        <v>83</v>
      </c>
      <c r="J235" s="62">
        <v>290.10000000000002</v>
      </c>
      <c r="K235" s="63">
        <f t="shared" si="8"/>
        <v>24078.300000000003</v>
      </c>
    </row>
    <row r="236" spans="2:11" x14ac:dyDescent="0.25">
      <c r="B236" s="22" t="s">
        <v>2252</v>
      </c>
      <c r="C236" s="22" t="s">
        <v>2253</v>
      </c>
      <c r="D236" s="59" t="s">
        <v>2254</v>
      </c>
      <c r="E236" s="60" t="s">
        <v>1355</v>
      </c>
      <c r="F236" s="60" t="s">
        <v>2211</v>
      </c>
      <c r="G236" s="60" t="s">
        <v>2255</v>
      </c>
      <c r="H236" s="24" t="s">
        <v>1383</v>
      </c>
      <c r="I236" s="61">
        <v>240</v>
      </c>
      <c r="J236" s="62">
        <v>42.35</v>
      </c>
      <c r="K236" s="63">
        <f t="shared" si="8"/>
        <v>10164</v>
      </c>
    </row>
    <row r="237" spans="2:11" x14ac:dyDescent="0.25">
      <c r="B237" s="22" t="s">
        <v>2256</v>
      </c>
      <c r="C237" s="22" t="s">
        <v>2257</v>
      </c>
      <c r="D237" s="59" t="s">
        <v>2258</v>
      </c>
      <c r="E237" s="60" t="s">
        <v>1355</v>
      </c>
      <c r="F237" s="60" t="s">
        <v>2211</v>
      </c>
      <c r="G237" s="60" t="s">
        <v>2259</v>
      </c>
      <c r="H237" s="24" t="s">
        <v>1383</v>
      </c>
      <c r="I237" s="61">
        <v>360</v>
      </c>
      <c r="J237" s="62">
        <v>51.48</v>
      </c>
      <c r="K237" s="63">
        <f t="shared" si="8"/>
        <v>18532.8</v>
      </c>
    </row>
    <row r="238" spans="2:11" x14ac:dyDescent="0.25">
      <c r="B238" s="22" t="s">
        <v>2260</v>
      </c>
      <c r="C238" s="22" t="s">
        <v>2261</v>
      </c>
      <c r="D238" s="59" t="s">
        <v>2262</v>
      </c>
      <c r="E238" s="60" t="s">
        <v>1355</v>
      </c>
      <c r="F238" s="60" t="s">
        <v>2211</v>
      </c>
      <c r="G238" s="60" t="s">
        <v>2263</v>
      </c>
      <c r="H238" s="24" t="s">
        <v>1383</v>
      </c>
      <c r="I238" s="61">
        <v>1500</v>
      </c>
      <c r="J238" s="62">
        <v>100.1</v>
      </c>
      <c r="K238" s="63">
        <f t="shared" si="8"/>
        <v>150150</v>
      </c>
    </row>
    <row r="239" spans="2:11" x14ac:dyDescent="0.25">
      <c r="B239" s="22" t="s">
        <v>2264</v>
      </c>
      <c r="C239" s="22" t="s">
        <v>2265</v>
      </c>
      <c r="D239" s="59" t="s">
        <v>2266</v>
      </c>
      <c r="E239" s="60" t="s">
        <v>1355</v>
      </c>
      <c r="F239" s="60" t="s">
        <v>2211</v>
      </c>
      <c r="G239" s="60" t="s">
        <v>2267</v>
      </c>
      <c r="H239" s="24" t="s">
        <v>1383</v>
      </c>
      <c r="I239" s="61">
        <v>341.54</v>
      </c>
      <c r="J239" s="62">
        <v>81.03</v>
      </c>
      <c r="K239" s="63">
        <f t="shared" si="8"/>
        <v>27674.986200000003</v>
      </c>
    </row>
    <row r="240" spans="2:11" x14ac:dyDescent="0.25">
      <c r="B240" s="22" t="s">
        <v>2268</v>
      </c>
      <c r="C240" s="22" t="s">
        <v>2269</v>
      </c>
      <c r="D240" s="59" t="s">
        <v>2270</v>
      </c>
      <c r="E240" s="60" t="s">
        <v>1355</v>
      </c>
      <c r="F240" s="60" t="s">
        <v>2211</v>
      </c>
      <c r="G240" s="60" t="s">
        <v>2271</v>
      </c>
      <c r="H240" s="24" t="s">
        <v>1383</v>
      </c>
      <c r="I240" s="61">
        <v>1500</v>
      </c>
      <c r="J240" s="62">
        <v>34.74</v>
      </c>
      <c r="K240" s="63">
        <f t="shared" si="8"/>
        <v>52110</v>
      </c>
    </row>
    <row r="241" spans="2:11" x14ac:dyDescent="0.25">
      <c r="B241" s="22" t="s">
        <v>2272</v>
      </c>
      <c r="C241" s="22" t="s">
        <v>2273</v>
      </c>
      <c r="D241" s="59" t="s">
        <v>2274</v>
      </c>
      <c r="E241" s="60" t="s">
        <v>1355</v>
      </c>
      <c r="F241" s="60" t="s">
        <v>2211</v>
      </c>
      <c r="G241" s="60" t="s">
        <v>2275</v>
      </c>
      <c r="H241" s="24" t="s">
        <v>1383</v>
      </c>
      <c r="I241" s="61">
        <v>1500</v>
      </c>
      <c r="J241" s="62">
        <v>9.98</v>
      </c>
      <c r="K241" s="63">
        <f t="shared" si="8"/>
        <v>14970</v>
      </c>
    </row>
    <row r="242" spans="2:11" x14ac:dyDescent="0.25">
      <c r="B242" s="22" t="s">
        <v>2276</v>
      </c>
      <c r="C242" s="22" t="s">
        <v>2277</v>
      </c>
      <c r="D242" s="59" t="s">
        <v>2278</v>
      </c>
      <c r="E242" s="60" t="s">
        <v>1355</v>
      </c>
      <c r="F242" s="60" t="s">
        <v>2211</v>
      </c>
      <c r="G242" s="60" t="s">
        <v>2279</v>
      </c>
      <c r="H242" s="24" t="s">
        <v>1383</v>
      </c>
      <c r="I242" s="61">
        <v>1500</v>
      </c>
      <c r="J242" s="62">
        <v>31.37</v>
      </c>
      <c r="K242" s="63">
        <f t="shared" si="8"/>
        <v>47055</v>
      </c>
    </row>
    <row r="243" spans="2:11" x14ac:dyDescent="0.25">
      <c r="B243" s="22" t="s">
        <v>2280</v>
      </c>
      <c r="C243" s="22" t="s">
        <v>2281</v>
      </c>
      <c r="D243" s="59" t="s">
        <v>2282</v>
      </c>
      <c r="E243" s="60" t="s">
        <v>1355</v>
      </c>
      <c r="F243" s="60" t="s">
        <v>2211</v>
      </c>
      <c r="G243" s="60" t="s">
        <v>2283</v>
      </c>
      <c r="H243" s="24" t="s">
        <v>1557</v>
      </c>
      <c r="I243" s="61">
        <v>5300</v>
      </c>
      <c r="J243" s="62">
        <v>8.3000000000000007</v>
      </c>
      <c r="K243" s="63">
        <f t="shared" si="8"/>
        <v>43990.000000000007</v>
      </c>
    </row>
    <row r="244" spans="2:11" x14ac:dyDescent="0.25">
      <c r="B244" s="22" t="s">
        <v>2284</v>
      </c>
      <c r="C244" s="22" t="s">
        <v>2285</v>
      </c>
      <c r="D244" s="59" t="s">
        <v>2286</v>
      </c>
      <c r="E244" s="60" t="s">
        <v>1355</v>
      </c>
      <c r="F244" s="60" t="s">
        <v>2211</v>
      </c>
      <c r="G244" s="60" t="s">
        <v>2287</v>
      </c>
      <c r="H244" s="24" t="s">
        <v>1557</v>
      </c>
      <c r="I244" s="61">
        <v>5300</v>
      </c>
      <c r="J244" s="62">
        <v>2.7</v>
      </c>
      <c r="K244" s="63">
        <f t="shared" si="8"/>
        <v>14310.000000000002</v>
      </c>
    </row>
    <row r="245" spans="2:11" x14ac:dyDescent="0.25">
      <c r="B245" s="22" t="s">
        <v>2288</v>
      </c>
      <c r="C245" s="22" t="s">
        <v>2289</v>
      </c>
      <c r="D245" s="59" t="s">
        <v>2290</v>
      </c>
      <c r="E245" s="60" t="s">
        <v>1355</v>
      </c>
      <c r="F245" s="60" t="s">
        <v>2211</v>
      </c>
      <c r="G245" s="60" t="s">
        <v>2291</v>
      </c>
      <c r="H245" s="24" t="s">
        <v>1383</v>
      </c>
      <c r="I245" s="61">
        <v>260</v>
      </c>
      <c r="J245" s="62">
        <v>62.22</v>
      </c>
      <c r="K245" s="63">
        <f t="shared" si="8"/>
        <v>16177.199999999999</v>
      </c>
    </row>
    <row r="246" spans="2:11" x14ac:dyDescent="0.25">
      <c r="B246" s="22" t="s">
        <v>2292</v>
      </c>
      <c r="C246" s="22" t="s">
        <v>2293</v>
      </c>
      <c r="D246" s="59" t="s">
        <v>2294</v>
      </c>
      <c r="E246" s="60" t="s">
        <v>1355</v>
      </c>
      <c r="F246" s="60" t="s">
        <v>2211</v>
      </c>
      <c r="G246" s="60" t="s">
        <v>2295</v>
      </c>
      <c r="H246" s="24" t="s">
        <v>1383</v>
      </c>
      <c r="I246" s="61">
        <v>1440</v>
      </c>
      <c r="J246" s="62">
        <v>163.22</v>
      </c>
      <c r="K246" s="63">
        <f t="shared" si="8"/>
        <v>235036.79999999999</v>
      </c>
    </row>
    <row r="247" spans="2:11" x14ac:dyDescent="0.25">
      <c r="B247" s="22" t="s">
        <v>2296</v>
      </c>
      <c r="C247" s="22" t="s">
        <v>2297</v>
      </c>
      <c r="D247" s="59" t="s">
        <v>2298</v>
      </c>
      <c r="E247" s="60" t="s">
        <v>1355</v>
      </c>
      <c r="F247" s="60" t="s">
        <v>2211</v>
      </c>
      <c r="G247" s="60" t="s">
        <v>2299</v>
      </c>
      <c r="H247" s="24" t="s">
        <v>1383</v>
      </c>
      <c r="I247" s="61">
        <v>52</v>
      </c>
      <c r="J247" s="62">
        <v>541.69000000000005</v>
      </c>
      <c r="K247" s="63">
        <f t="shared" si="8"/>
        <v>28167.880000000005</v>
      </c>
    </row>
    <row r="248" spans="2:11" x14ac:dyDescent="0.25">
      <c r="B248" s="22" t="s">
        <v>2300</v>
      </c>
      <c r="C248" s="22" t="s">
        <v>2301</v>
      </c>
      <c r="D248" s="59" t="s">
        <v>2302</v>
      </c>
      <c r="E248" s="60" t="s">
        <v>1355</v>
      </c>
      <c r="F248" s="60" t="s">
        <v>2211</v>
      </c>
      <c r="G248" s="60" t="s">
        <v>2303</v>
      </c>
      <c r="H248" s="24" t="s">
        <v>1627</v>
      </c>
      <c r="I248" s="61">
        <v>16</v>
      </c>
      <c r="J248" s="62">
        <v>344.37</v>
      </c>
      <c r="K248" s="63">
        <f t="shared" si="8"/>
        <v>5509.92</v>
      </c>
    </row>
    <row r="249" spans="2:11" x14ac:dyDescent="0.25">
      <c r="B249" s="22" t="s">
        <v>2304</v>
      </c>
      <c r="C249" s="22" t="s">
        <v>2305</v>
      </c>
      <c r="D249" s="59" t="s">
        <v>2306</v>
      </c>
      <c r="E249" s="60" t="s">
        <v>1355</v>
      </c>
      <c r="F249" s="60" t="s">
        <v>2211</v>
      </c>
      <c r="G249" s="60" t="s">
        <v>2307</v>
      </c>
      <c r="H249" s="24" t="s">
        <v>1627</v>
      </c>
      <c r="I249" s="61">
        <v>8</v>
      </c>
      <c r="J249" s="62">
        <v>521.86</v>
      </c>
      <c r="K249" s="63">
        <f t="shared" si="8"/>
        <v>4174.88</v>
      </c>
    </row>
    <row r="250" spans="2:11" x14ac:dyDescent="0.25">
      <c r="B250" s="22" t="s">
        <v>2308</v>
      </c>
      <c r="C250" s="22" t="s">
        <v>2309</v>
      </c>
      <c r="D250" s="59" t="s">
        <v>2310</v>
      </c>
      <c r="E250" s="60" t="s">
        <v>1355</v>
      </c>
      <c r="F250" s="60" t="s">
        <v>2211</v>
      </c>
      <c r="G250" s="60" t="s">
        <v>2311</v>
      </c>
      <c r="H250" s="24" t="s">
        <v>1627</v>
      </c>
      <c r="I250" s="61">
        <v>8</v>
      </c>
      <c r="J250" s="62">
        <v>522.59</v>
      </c>
      <c r="K250" s="63">
        <f t="shared" si="8"/>
        <v>4180.72</v>
      </c>
    </row>
    <row r="251" spans="2:11" x14ac:dyDescent="0.25">
      <c r="B251" s="22" t="s">
        <v>2312</v>
      </c>
      <c r="C251" s="22" t="s">
        <v>2313</v>
      </c>
      <c r="D251" s="59" t="s">
        <v>2314</v>
      </c>
      <c r="E251" s="60" t="s">
        <v>1355</v>
      </c>
      <c r="F251" s="60" t="s">
        <v>2211</v>
      </c>
      <c r="G251" s="60" t="s">
        <v>2315</v>
      </c>
      <c r="H251" s="24" t="s">
        <v>1627</v>
      </c>
      <c r="I251" s="61">
        <v>10</v>
      </c>
      <c r="J251" s="62">
        <v>318.72000000000003</v>
      </c>
      <c r="K251" s="63">
        <f t="shared" si="8"/>
        <v>3187.2000000000003</v>
      </c>
    </row>
    <row r="252" spans="2:11" x14ac:dyDescent="0.25">
      <c r="B252" s="22" t="s">
        <v>2316</v>
      </c>
      <c r="C252" s="22" t="s">
        <v>2317</v>
      </c>
      <c r="D252" s="59" t="s">
        <v>2318</v>
      </c>
      <c r="E252" s="60" t="s">
        <v>1355</v>
      </c>
      <c r="F252" s="60" t="s">
        <v>2211</v>
      </c>
      <c r="G252" s="60" t="s">
        <v>2319</v>
      </c>
      <c r="H252" s="24" t="s">
        <v>1627</v>
      </c>
      <c r="I252" s="61">
        <v>18</v>
      </c>
      <c r="J252" s="62">
        <v>346.02</v>
      </c>
      <c r="K252" s="63">
        <f t="shared" si="8"/>
        <v>6228.36</v>
      </c>
    </row>
    <row r="253" spans="2:11" x14ac:dyDescent="0.25">
      <c r="B253" s="22" t="s">
        <v>2320</v>
      </c>
      <c r="C253" s="22" t="s">
        <v>2321</v>
      </c>
      <c r="D253" s="59" t="s">
        <v>2322</v>
      </c>
      <c r="E253" s="60" t="s">
        <v>1355</v>
      </c>
      <c r="F253" s="60" t="s">
        <v>2211</v>
      </c>
      <c r="G253" s="60" t="s">
        <v>2323</v>
      </c>
      <c r="H253" s="24" t="s">
        <v>1383</v>
      </c>
      <c r="I253" s="61">
        <v>28</v>
      </c>
      <c r="J253" s="62">
        <v>1022.21</v>
      </c>
      <c r="K253" s="63">
        <f t="shared" si="8"/>
        <v>28621.88</v>
      </c>
    </row>
    <row r="254" spans="2:11" x14ac:dyDescent="0.25">
      <c r="B254" s="22" t="s">
        <v>2324</v>
      </c>
      <c r="C254" s="22" t="s">
        <v>2325</v>
      </c>
      <c r="D254" s="59" t="s">
        <v>2326</v>
      </c>
      <c r="E254" s="60" t="s">
        <v>1355</v>
      </c>
      <c r="F254" s="60" t="s">
        <v>2211</v>
      </c>
      <c r="G254" s="60" t="s">
        <v>2327</v>
      </c>
      <c r="H254" s="24" t="s">
        <v>1383</v>
      </c>
      <c r="I254" s="61">
        <v>50</v>
      </c>
      <c r="J254" s="62">
        <v>996.06</v>
      </c>
      <c r="K254" s="63">
        <f t="shared" si="8"/>
        <v>49803</v>
      </c>
    </row>
    <row r="255" spans="2:11" x14ac:dyDescent="0.25">
      <c r="B255" s="22" t="s">
        <v>2328</v>
      </c>
      <c r="C255" s="22" t="s">
        <v>2329</v>
      </c>
      <c r="D255" s="59" t="s">
        <v>2330</v>
      </c>
      <c r="E255" s="60" t="s">
        <v>1355</v>
      </c>
      <c r="F255" s="60" t="s">
        <v>2211</v>
      </c>
      <c r="G255" s="60" t="s">
        <v>2331</v>
      </c>
      <c r="H255" s="24" t="s">
        <v>1383</v>
      </c>
      <c r="I255" s="61">
        <v>50</v>
      </c>
      <c r="J255" s="62">
        <v>804.82</v>
      </c>
      <c r="K255" s="63">
        <f t="shared" si="8"/>
        <v>40241</v>
      </c>
    </row>
    <row r="256" spans="2:11" x14ac:dyDescent="0.25">
      <c r="B256" s="22" t="s">
        <v>2332</v>
      </c>
      <c r="C256" s="22" t="s">
        <v>2333</v>
      </c>
      <c r="D256" s="59" t="s">
        <v>2334</v>
      </c>
      <c r="E256" s="60" t="s">
        <v>1355</v>
      </c>
      <c r="F256" s="60" t="s">
        <v>2211</v>
      </c>
      <c r="G256" s="60" t="s">
        <v>2335</v>
      </c>
      <c r="H256" s="24" t="s">
        <v>1383</v>
      </c>
      <c r="I256" s="61">
        <v>20</v>
      </c>
      <c r="J256" s="62">
        <v>804.82</v>
      </c>
      <c r="K256" s="63">
        <f t="shared" si="8"/>
        <v>16096.400000000001</v>
      </c>
    </row>
    <row r="257" spans="2:11" x14ac:dyDescent="0.25">
      <c r="B257" s="22" t="s">
        <v>2336</v>
      </c>
      <c r="C257" s="22" t="s">
        <v>2337</v>
      </c>
      <c r="D257" s="59" t="s">
        <v>2338</v>
      </c>
      <c r="E257" s="60" t="s">
        <v>1355</v>
      </c>
      <c r="F257" s="60" t="s">
        <v>2211</v>
      </c>
      <c r="G257" s="60" t="s">
        <v>2339</v>
      </c>
      <c r="H257" s="24" t="s">
        <v>1383</v>
      </c>
      <c r="I257" s="61">
        <v>36</v>
      </c>
      <c r="J257" s="62">
        <v>747.67</v>
      </c>
      <c r="K257" s="63">
        <f t="shared" si="8"/>
        <v>26916.12</v>
      </c>
    </row>
    <row r="258" spans="2:11" x14ac:dyDescent="0.25">
      <c r="B258" s="22" t="s">
        <v>2340</v>
      </c>
      <c r="C258" s="22" t="s">
        <v>2341</v>
      </c>
      <c r="D258" s="59" t="s">
        <v>2342</v>
      </c>
      <c r="E258" s="60" t="s">
        <v>1355</v>
      </c>
      <c r="F258" s="60" t="s">
        <v>2211</v>
      </c>
      <c r="G258" s="60" t="s">
        <v>2343</v>
      </c>
      <c r="H258" s="24" t="s">
        <v>1383</v>
      </c>
      <c r="I258" s="61">
        <v>24</v>
      </c>
      <c r="J258" s="62">
        <v>720.91</v>
      </c>
      <c r="K258" s="63">
        <f t="shared" si="8"/>
        <v>17301.84</v>
      </c>
    </row>
    <row r="259" spans="2:11" x14ac:dyDescent="0.25">
      <c r="B259" s="22" t="s">
        <v>2344</v>
      </c>
      <c r="C259" s="22" t="s">
        <v>2345</v>
      </c>
      <c r="D259" s="59" t="s">
        <v>2346</v>
      </c>
      <c r="E259" s="60" t="s">
        <v>1355</v>
      </c>
      <c r="F259" s="60" t="s">
        <v>2211</v>
      </c>
      <c r="G259" s="60" t="s">
        <v>2347</v>
      </c>
      <c r="H259" s="24" t="s">
        <v>1383</v>
      </c>
      <c r="I259" s="61">
        <v>16</v>
      </c>
      <c r="J259" s="62">
        <v>812.63</v>
      </c>
      <c r="K259" s="63">
        <f t="shared" si="8"/>
        <v>13002.08</v>
      </c>
    </row>
    <row r="260" spans="2:11" x14ac:dyDescent="0.25">
      <c r="B260" s="22" t="s">
        <v>2348</v>
      </c>
      <c r="C260" s="22" t="s">
        <v>2349</v>
      </c>
      <c r="D260" s="59" t="s">
        <v>2350</v>
      </c>
      <c r="E260" s="60" t="s">
        <v>1355</v>
      </c>
      <c r="F260" s="60" t="s">
        <v>2211</v>
      </c>
      <c r="G260" s="60" t="s">
        <v>2351</v>
      </c>
      <c r="H260" s="24" t="s">
        <v>1383</v>
      </c>
      <c r="I260" s="61">
        <v>48</v>
      </c>
      <c r="J260" s="62">
        <v>391.69</v>
      </c>
      <c r="K260" s="63">
        <f t="shared" si="8"/>
        <v>18801.12</v>
      </c>
    </row>
    <row r="261" spans="2:11" x14ac:dyDescent="0.25">
      <c r="B261" s="22" t="s">
        <v>2352</v>
      </c>
      <c r="C261" s="22" t="s">
        <v>2353</v>
      </c>
      <c r="D261" s="59" t="s">
        <v>2354</v>
      </c>
      <c r="E261" s="60" t="s">
        <v>1355</v>
      </c>
      <c r="F261" s="60" t="s">
        <v>2211</v>
      </c>
      <c r="G261" s="60" t="s">
        <v>2355</v>
      </c>
      <c r="H261" s="24" t="s">
        <v>1383</v>
      </c>
      <c r="I261" s="61">
        <v>84</v>
      </c>
      <c r="J261" s="62">
        <v>535.36</v>
      </c>
      <c r="K261" s="63">
        <f t="shared" si="8"/>
        <v>44970.239999999998</v>
      </c>
    </row>
    <row r="262" spans="2:11" x14ac:dyDescent="0.25">
      <c r="B262" s="22" t="s">
        <v>2356</v>
      </c>
      <c r="C262" s="22" t="s">
        <v>2357</v>
      </c>
      <c r="D262" s="59" t="s">
        <v>2358</v>
      </c>
      <c r="E262" s="60" t="s">
        <v>1355</v>
      </c>
      <c r="F262" s="60" t="s">
        <v>2211</v>
      </c>
      <c r="G262" s="60" t="s">
        <v>2359</v>
      </c>
      <c r="H262" s="24" t="s">
        <v>1383</v>
      </c>
      <c r="I262" s="61">
        <v>50</v>
      </c>
      <c r="J262" s="62">
        <v>535.36</v>
      </c>
      <c r="K262" s="63">
        <f t="shared" si="8"/>
        <v>26768</v>
      </c>
    </row>
    <row r="263" spans="2:11" x14ac:dyDescent="0.25">
      <c r="B263" s="22" t="s">
        <v>2360</v>
      </c>
      <c r="C263" s="22" t="s">
        <v>2361</v>
      </c>
      <c r="D263" s="59" t="s">
        <v>2362</v>
      </c>
      <c r="E263" s="60" t="s">
        <v>1355</v>
      </c>
      <c r="F263" s="60" t="s">
        <v>2211</v>
      </c>
      <c r="G263" s="60" t="s">
        <v>2363</v>
      </c>
      <c r="H263" s="24" t="s">
        <v>1383</v>
      </c>
      <c r="I263" s="61">
        <v>29.72</v>
      </c>
      <c r="J263" s="62">
        <v>596.11</v>
      </c>
      <c r="K263" s="63">
        <f t="shared" si="8"/>
        <v>17716.389200000001</v>
      </c>
    </row>
    <row r="264" spans="2:11" x14ac:dyDescent="0.25">
      <c r="B264" s="22" t="s">
        <v>2364</v>
      </c>
      <c r="C264" s="22" t="s">
        <v>2365</v>
      </c>
      <c r="D264" s="59" t="s">
        <v>2366</v>
      </c>
      <c r="E264" s="60" t="s">
        <v>1355</v>
      </c>
      <c r="F264" s="60" t="s">
        <v>2211</v>
      </c>
      <c r="G264" s="60" t="s">
        <v>2367</v>
      </c>
      <c r="H264" s="24" t="s">
        <v>1383</v>
      </c>
      <c r="I264" s="61">
        <v>195.76</v>
      </c>
      <c r="J264" s="62">
        <v>565.91</v>
      </c>
      <c r="K264" s="63">
        <f t="shared" si="8"/>
        <v>110782.54159999998</v>
      </c>
    </row>
    <row r="265" spans="2:11" x14ac:dyDescent="0.25">
      <c r="B265" s="22" t="s">
        <v>2368</v>
      </c>
      <c r="C265" s="22" t="s">
        <v>2369</v>
      </c>
      <c r="D265" s="59" t="s">
        <v>2370</v>
      </c>
      <c r="E265" s="60" t="s">
        <v>1355</v>
      </c>
      <c r="F265" s="60" t="s">
        <v>2211</v>
      </c>
      <c r="G265" s="60" t="s">
        <v>2371</v>
      </c>
      <c r="H265" s="24" t="s">
        <v>1383</v>
      </c>
      <c r="I265" s="61">
        <v>148</v>
      </c>
      <c r="J265" s="62">
        <v>674.76</v>
      </c>
      <c r="K265" s="63">
        <f t="shared" si="8"/>
        <v>99864.48</v>
      </c>
    </row>
    <row r="266" spans="2:11" x14ac:dyDescent="0.25">
      <c r="B266" s="22" t="s">
        <v>2372</v>
      </c>
      <c r="C266" s="22" t="s">
        <v>2373</v>
      </c>
      <c r="D266" s="59" t="s">
        <v>2374</v>
      </c>
      <c r="E266" s="60" t="s">
        <v>1355</v>
      </c>
      <c r="F266" s="60" t="s">
        <v>2211</v>
      </c>
      <c r="G266" s="60" t="s">
        <v>2375</v>
      </c>
      <c r="H266" s="24" t="s">
        <v>1383</v>
      </c>
      <c r="I266" s="61">
        <v>33</v>
      </c>
      <c r="J266" s="62">
        <v>833.46</v>
      </c>
      <c r="K266" s="63">
        <f t="shared" si="8"/>
        <v>27504.18</v>
      </c>
    </row>
    <row r="267" spans="2:11" x14ac:dyDescent="0.25">
      <c r="B267" s="22" t="s">
        <v>2376</v>
      </c>
      <c r="C267" s="22" t="s">
        <v>2377</v>
      </c>
      <c r="D267" s="59" t="s">
        <v>2378</v>
      </c>
      <c r="E267" s="60" t="s">
        <v>1355</v>
      </c>
      <c r="F267" s="60" t="s">
        <v>2211</v>
      </c>
      <c r="G267" s="60" t="s">
        <v>2379</v>
      </c>
      <c r="H267" s="24" t="s">
        <v>1383</v>
      </c>
      <c r="I267" s="61">
        <v>141</v>
      </c>
      <c r="J267" s="62">
        <v>91.94</v>
      </c>
      <c r="K267" s="63">
        <f t="shared" si="8"/>
        <v>12963.539999999999</v>
      </c>
    </row>
    <row r="268" spans="2:11" x14ac:dyDescent="0.25">
      <c r="B268" s="22" t="s">
        <v>2380</v>
      </c>
      <c r="C268" s="22" t="s">
        <v>2381</v>
      </c>
      <c r="D268" s="59" t="s">
        <v>2382</v>
      </c>
      <c r="E268" s="60" t="s">
        <v>1355</v>
      </c>
      <c r="F268" s="60" t="s">
        <v>2211</v>
      </c>
      <c r="G268" s="60" t="s">
        <v>2383</v>
      </c>
      <c r="H268" s="24" t="s">
        <v>1383</v>
      </c>
      <c r="I268" s="61">
        <v>24</v>
      </c>
      <c r="J268" s="62">
        <v>243.88</v>
      </c>
      <c r="K268" s="63">
        <f t="shared" si="8"/>
        <v>5853.12</v>
      </c>
    </row>
    <row r="269" spans="2:11" x14ac:dyDescent="0.25">
      <c r="B269" s="22" t="s">
        <v>2384</v>
      </c>
      <c r="C269" s="22" t="s">
        <v>2385</v>
      </c>
      <c r="D269" s="59" t="s">
        <v>2386</v>
      </c>
      <c r="E269" s="60" t="s">
        <v>1355</v>
      </c>
      <c r="F269" s="60" t="s">
        <v>2211</v>
      </c>
      <c r="G269" s="60" t="s">
        <v>2387</v>
      </c>
      <c r="H269" s="24" t="s">
        <v>1627</v>
      </c>
      <c r="I269" s="61">
        <v>8</v>
      </c>
      <c r="J269" s="62">
        <v>7.4</v>
      </c>
      <c r="K269" s="63">
        <f t="shared" si="8"/>
        <v>59.2</v>
      </c>
    </row>
    <row r="270" spans="2:11" x14ac:dyDescent="0.25">
      <c r="B270" s="22" t="s">
        <v>2388</v>
      </c>
      <c r="C270" s="22" t="s">
        <v>2389</v>
      </c>
      <c r="D270" s="59" t="s">
        <v>2390</v>
      </c>
      <c r="E270" s="60" t="s">
        <v>1355</v>
      </c>
      <c r="F270" s="60" t="s">
        <v>2211</v>
      </c>
      <c r="G270" s="60" t="s">
        <v>2391</v>
      </c>
      <c r="H270" s="24" t="s">
        <v>1627</v>
      </c>
      <c r="I270" s="61">
        <v>16</v>
      </c>
      <c r="J270" s="62">
        <v>309.77</v>
      </c>
      <c r="K270" s="63">
        <f t="shared" si="8"/>
        <v>4956.32</v>
      </c>
    </row>
    <row r="271" spans="2:11" x14ac:dyDescent="0.25">
      <c r="B271" s="22" t="s">
        <v>2392</v>
      </c>
      <c r="C271" s="22" t="s">
        <v>2393</v>
      </c>
      <c r="D271" s="59" t="s">
        <v>2394</v>
      </c>
      <c r="E271" s="60" t="s">
        <v>1355</v>
      </c>
      <c r="F271" s="60" t="s">
        <v>2211</v>
      </c>
      <c r="G271" s="60" t="s">
        <v>2395</v>
      </c>
      <c r="H271" s="24" t="s">
        <v>1627</v>
      </c>
      <c r="I271" s="61">
        <v>6</v>
      </c>
      <c r="J271" s="62">
        <v>544.85</v>
      </c>
      <c r="K271" s="63">
        <f t="shared" si="8"/>
        <v>3269.1000000000004</v>
      </c>
    </row>
    <row r="272" spans="2:11" x14ac:dyDescent="0.25">
      <c r="B272" s="22" t="s">
        <v>2396</v>
      </c>
      <c r="C272" s="22" t="s">
        <v>2397</v>
      </c>
      <c r="D272" s="59" t="s">
        <v>2398</v>
      </c>
      <c r="E272" s="60" t="s">
        <v>1355</v>
      </c>
      <c r="F272" s="60" t="s">
        <v>2211</v>
      </c>
      <c r="G272" s="60" t="s">
        <v>2399</v>
      </c>
      <c r="H272" s="24" t="s">
        <v>1627</v>
      </c>
      <c r="I272" s="61">
        <v>8</v>
      </c>
      <c r="J272" s="62">
        <v>715.49</v>
      </c>
      <c r="K272" s="63">
        <f t="shared" si="8"/>
        <v>5723.92</v>
      </c>
    </row>
    <row r="273" spans="2:11" x14ac:dyDescent="0.25">
      <c r="B273" s="22" t="s">
        <v>2400</v>
      </c>
      <c r="C273" s="22" t="s">
        <v>2401</v>
      </c>
      <c r="D273" s="59" t="s">
        <v>2402</v>
      </c>
      <c r="E273" s="60" t="s">
        <v>1355</v>
      </c>
      <c r="F273" s="60" t="s">
        <v>2211</v>
      </c>
      <c r="G273" s="60" t="s">
        <v>2403</v>
      </c>
      <c r="H273" s="24" t="s">
        <v>1627</v>
      </c>
      <c r="I273" s="61">
        <v>12</v>
      </c>
      <c r="J273" s="62">
        <v>363.74</v>
      </c>
      <c r="K273" s="63">
        <f t="shared" si="8"/>
        <v>4364.88</v>
      </c>
    </row>
    <row r="274" spans="2:11" x14ac:dyDescent="0.25">
      <c r="B274" s="22" t="s">
        <v>2404</v>
      </c>
      <c r="C274" s="22" t="s">
        <v>2405</v>
      </c>
      <c r="D274" s="59" t="s">
        <v>2406</v>
      </c>
      <c r="E274" s="60" t="s">
        <v>1355</v>
      </c>
      <c r="F274" s="60" t="s">
        <v>2211</v>
      </c>
      <c r="G274" s="60" t="s">
        <v>2407</v>
      </c>
      <c r="H274" s="24" t="s">
        <v>1627</v>
      </c>
      <c r="I274" s="61">
        <v>8</v>
      </c>
      <c r="J274" s="62">
        <v>899.28</v>
      </c>
      <c r="K274" s="63">
        <f t="shared" si="8"/>
        <v>7194.24</v>
      </c>
    </row>
    <row r="275" spans="2:11" x14ac:dyDescent="0.25">
      <c r="B275" s="22" t="s">
        <v>2408</v>
      </c>
      <c r="C275" s="22" t="s">
        <v>2409</v>
      </c>
      <c r="D275" s="59" t="s">
        <v>2410</v>
      </c>
      <c r="E275" s="60" t="s">
        <v>1355</v>
      </c>
      <c r="F275" s="60" t="s">
        <v>2211</v>
      </c>
      <c r="G275" s="60" t="s">
        <v>2411</v>
      </c>
      <c r="H275" s="24" t="s">
        <v>1627</v>
      </c>
      <c r="I275" s="61">
        <v>12</v>
      </c>
      <c r="J275" s="62">
        <v>302.05</v>
      </c>
      <c r="K275" s="63">
        <f t="shared" si="8"/>
        <v>3624.6000000000004</v>
      </c>
    </row>
    <row r="276" spans="2:11" x14ac:dyDescent="0.25">
      <c r="B276" s="22" t="s">
        <v>2412</v>
      </c>
      <c r="C276" s="22" t="s">
        <v>2413</v>
      </c>
      <c r="D276" s="59" t="s">
        <v>2414</v>
      </c>
      <c r="E276" s="60" t="s">
        <v>1355</v>
      </c>
      <c r="F276" s="60" t="s">
        <v>2211</v>
      </c>
      <c r="G276" s="60" t="s">
        <v>2415</v>
      </c>
      <c r="H276" s="24" t="s">
        <v>1627</v>
      </c>
      <c r="I276" s="61">
        <v>10</v>
      </c>
      <c r="J276" s="62">
        <v>636.84</v>
      </c>
      <c r="K276" s="63">
        <f t="shared" si="8"/>
        <v>6368.4000000000005</v>
      </c>
    </row>
    <row r="277" spans="2:11" x14ac:dyDescent="0.25">
      <c r="B277" s="22" t="s">
        <v>2416</v>
      </c>
      <c r="C277" s="22" t="s">
        <v>2417</v>
      </c>
      <c r="D277" s="59" t="s">
        <v>2418</v>
      </c>
      <c r="E277" s="60" t="s">
        <v>1355</v>
      </c>
      <c r="F277" s="60" t="s">
        <v>2211</v>
      </c>
      <c r="G277" s="60" t="s">
        <v>2419</v>
      </c>
      <c r="H277" s="24" t="s">
        <v>1627</v>
      </c>
      <c r="I277" s="61">
        <v>4</v>
      </c>
      <c r="J277" s="62">
        <v>775.24</v>
      </c>
      <c r="K277" s="63">
        <f t="shared" si="8"/>
        <v>3100.96</v>
      </c>
    </row>
    <row r="278" spans="2:11" x14ac:dyDescent="0.25">
      <c r="B278" s="22" t="s">
        <v>2420</v>
      </c>
      <c r="C278" s="22" t="s">
        <v>2421</v>
      </c>
      <c r="D278" s="59" t="s">
        <v>2422</v>
      </c>
      <c r="E278" s="60" t="s">
        <v>1355</v>
      </c>
      <c r="F278" s="60" t="s">
        <v>2211</v>
      </c>
      <c r="G278" s="60" t="s">
        <v>2423</v>
      </c>
      <c r="H278" s="24" t="s">
        <v>1627</v>
      </c>
      <c r="I278" s="61">
        <v>4</v>
      </c>
      <c r="J278" s="62">
        <v>565.97</v>
      </c>
      <c r="K278" s="63">
        <f t="shared" si="8"/>
        <v>2263.88</v>
      </c>
    </row>
    <row r="279" spans="2:11" x14ac:dyDescent="0.25">
      <c r="B279" s="22" t="s">
        <v>2424</v>
      </c>
      <c r="C279" s="22" t="s">
        <v>2425</v>
      </c>
      <c r="D279" s="59" t="s">
        <v>2426</v>
      </c>
      <c r="E279" s="60" t="s">
        <v>1355</v>
      </c>
      <c r="F279" s="60" t="s">
        <v>2211</v>
      </c>
      <c r="G279" s="60" t="s">
        <v>2427</v>
      </c>
      <c r="H279" s="24" t="s">
        <v>1627</v>
      </c>
      <c r="I279" s="61">
        <v>4</v>
      </c>
      <c r="J279" s="62">
        <v>681.3</v>
      </c>
      <c r="K279" s="63">
        <f t="shared" si="8"/>
        <v>2725.2</v>
      </c>
    </row>
    <row r="280" spans="2:11" x14ac:dyDescent="0.25">
      <c r="B280" s="22" t="s">
        <v>2428</v>
      </c>
      <c r="C280" s="22" t="s">
        <v>2429</v>
      </c>
      <c r="D280" s="59" t="s">
        <v>2430</v>
      </c>
      <c r="E280" s="60" t="s">
        <v>1355</v>
      </c>
      <c r="F280" s="60" t="s">
        <v>2211</v>
      </c>
      <c r="G280" s="60" t="s">
        <v>2431</v>
      </c>
      <c r="H280" s="24" t="s">
        <v>1627</v>
      </c>
      <c r="I280" s="61">
        <v>8</v>
      </c>
      <c r="J280" s="62">
        <v>1248.3</v>
      </c>
      <c r="K280" s="63">
        <f t="shared" si="8"/>
        <v>9986.4</v>
      </c>
    </row>
    <row r="281" spans="2:11" x14ac:dyDescent="0.25">
      <c r="B281" s="22" t="s">
        <v>2432</v>
      </c>
      <c r="C281" s="22" t="s">
        <v>2433</v>
      </c>
      <c r="D281" s="59" t="s">
        <v>2434</v>
      </c>
      <c r="E281" s="60" t="s">
        <v>1355</v>
      </c>
      <c r="F281" s="60" t="s">
        <v>2211</v>
      </c>
      <c r="G281" s="60" t="s">
        <v>2435</v>
      </c>
      <c r="H281" s="24" t="s">
        <v>1627</v>
      </c>
      <c r="I281" s="61">
        <v>8</v>
      </c>
      <c r="J281" s="62">
        <v>206.98</v>
      </c>
      <c r="K281" s="63">
        <f t="shared" si="8"/>
        <v>1655.84</v>
      </c>
    </row>
    <row r="282" spans="2:11" x14ac:dyDescent="0.25">
      <c r="B282" s="22" t="s">
        <v>2436</v>
      </c>
      <c r="C282" s="22" t="s">
        <v>2437</v>
      </c>
      <c r="D282" s="59" t="s">
        <v>2438</v>
      </c>
      <c r="E282" s="60" t="s">
        <v>1355</v>
      </c>
      <c r="F282" s="60" t="s">
        <v>2211</v>
      </c>
      <c r="G282" s="60" t="s">
        <v>2439</v>
      </c>
      <c r="H282" s="24" t="s">
        <v>1627</v>
      </c>
      <c r="I282" s="61">
        <v>8</v>
      </c>
      <c r="J282" s="62">
        <v>62.91</v>
      </c>
      <c r="K282" s="63">
        <f t="shared" si="8"/>
        <v>503.28</v>
      </c>
    </row>
    <row r="283" spans="2:11" x14ac:dyDescent="0.25">
      <c r="B283" s="22" t="s">
        <v>2440</v>
      </c>
      <c r="C283" s="22" t="s">
        <v>2441</v>
      </c>
      <c r="D283" s="59" t="s">
        <v>2442</v>
      </c>
      <c r="E283" s="60" t="s">
        <v>1355</v>
      </c>
      <c r="F283" s="60" t="s">
        <v>2211</v>
      </c>
      <c r="G283" s="60" t="s">
        <v>2443</v>
      </c>
      <c r="H283" s="24" t="s">
        <v>1627</v>
      </c>
      <c r="I283" s="61">
        <v>4</v>
      </c>
      <c r="J283" s="62">
        <v>65.989999999999995</v>
      </c>
      <c r="K283" s="63">
        <f t="shared" si="8"/>
        <v>263.95999999999998</v>
      </c>
    </row>
    <row r="284" spans="2:11" x14ac:dyDescent="0.25">
      <c r="B284" s="22" t="s">
        <v>2444</v>
      </c>
      <c r="C284" s="22" t="s">
        <v>2445</v>
      </c>
      <c r="D284" s="59" t="s">
        <v>2446</v>
      </c>
      <c r="E284" s="60" t="s">
        <v>1355</v>
      </c>
      <c r="F284" s="60" t="s">
        <v>2211</v>
      </c>
      <c r="G284" s="60" t="s">
        <v>2447</v>
      </c>
      <c r="H284" s="24" t="s">
        <v>1627</v>
      </c>
      <c r="I284" s="61">
        <v>32</v>
      </c>
      <c r="J284" s="62">
        <v>68.92</v>
      </c>
      <c r="K284" s="63">
        <f t="shared" si="8"/>
        <v>2205.44</v>
      </c>
    </row>
    <row r="285" spans="2:11" x14ac:dyDescent="0.25">
      <c r="B285" s="22" t="s">
        <v>2448</v>
      </c>
      <c r="C285" s="22" t="s">
        <v>2449</v>
      </c>
      <c r="D285" s="59" t="s">
        <v>2450</v>
      </c>
      <c r="E285" s="60" t="s">
        <v>1355</v>
      </c>
      <c r="F285" s="60" t="s">
        <v>2211</v>
      </c>
      <c r="G285" s="60" t="s">
        <v>2451</v>
      </c>
      <c r="H285" s="24" t="s">
        <v>1627</v>
      </c>
      <c r="I285" s="61">
        <v>20</v>
      </c>
      <c r="J285" s="62">
        <v>270.45</v>
      </c>
      <c r="K285" s="63">
        <f t="shared" si="8"/>
        <v>5409</v>
      </c>
    </row>
    <row r="286" spans="2:11" x14ac:dyDescent="0.25">
      <c r="B286" s="22" t="s">
        <v>2452</v>
      </c>
      <c r="C286" s="22" t="s">
        <v>2453</v>
      </c>
      <c r="D286" s="59" t="s">
        <v>2454</v>
      </c>
      <c r="E286" s="60" t="s">
        <v>1355</v>
      </c>
      <c r="F286" s="60" t="s">
        <v>2211</v>
      </c>
      <c r="G286" s="60" t="s">
        <v>2455</v>
      </c>
      <c r="H286" s="24" t="s">
        <v>1627</v>
      </c>
      <c r="I286" s="61">
        <v>8</v>
      </c>
      <c r="J286" s="62">
        <v>61.33</v>
      </c>
      <c r="K286" s="63">
        <f t="shared" si="8"/>
        <v>490.64</v>
      </c>
    </row>
    <row r="287" spans="2:11" x14ac:dyDescent="0.25">
      <c r="B287" s="22" t="s">
        <v>2456</v>
      </c>
      <c r="C287" s="22" t="s">
        <v>2457</v>
      </c>
      <c r="D287" s="59" t="s">
        <v>2458</v>
      </c>
      <c r="E287" s="60" t="s">
        <v>1355</v>
      </c>
      <c r="F287" s="60" t="s">
        <v>2211</v>
      </c>
      <c r="G287" s="60" t="s">
        <v>2459</v>
      </c>
      <c r="H287" s="18" t="s">
        <v>1361</v>
      </c>
      <c r="I287" s="61">
        <v>10</v>
      </c>
      <c r="J287" s="62">
        <v>70.05</v>
      </c>
      <c r="K287" s="63">
        <f t="shared" si="8"/>
        <v>700.5</v>
      </c>
    </row>
    <row r="288" spans="2:11" x14ac:dyDescent="0.25">
      <c r="B288" s="22" t="s">
        <v>2460</v>
      </c>
      <c r="C288" s="22" t="s">
        <v>2461</v>
      </c>
      <c r="D288" s="59" t="s">
        <v>2462</v>
      </c>
      <c r="E288" s="60" t="s">
        <v>1355</v>
      </c>
      <c r="F288" s="60" t="s">
        <v>2211</v>
      </c>
      <c r="G288" s="60" t="s">
        <v>2463</v>
      </c>
      <c r="H288" s="24" t="s">
        <v>1383</v>
      </c>
      <c r="I288" s="61">
        <v>9.6</v>
      </c>
      <c r="J288" s="62">
        <v>526.59</v>
      </c>
      <c r="K288" s="63">
        <f t="shared" si="8"/>
        <v>5055.2640000000001</v>
      </c>
    </row>
    <row r="289" spans="2:11" x14ac:dyDescent="0.25">
      <c r="B289" s="22" t="s">
        <v>2464</v>
      </c>
      <c r="C289" s="22" t="s">
        <v>2465</v>
      </c>
      <c r="D289" s="59" t="s">
        <v>2466</v>
      </c>
      <c r="E289" s="60" t="s">
        <v>1355</v>
      </c>
      <c r="F289" s="60" t="s">
        <v>2211</v>
      </c>
      <c r="G289" s="60" t="s">
        <v>2467</v>
      </c>
      <c r="H289" s="24" t="s">
        <v>1383</v>
      </c>
      <c r="I289" s="61">
        <v>200</v>
      </c>
      <c r="J289" s="62">
        <v>12.95</v>
      </c>
      <c r="K289" s="63">
        <f t="shared" si="8"/>
        <v>2590</v>
      </c>
    </row>
    <row r="290" spans="2:11" x14ac:dyDescent="0.25">
      <c r="B290" s="22" t="s">
        <v>2468</v>
      </c>
      <c r="C290" s="22" t="s">
        <v>2469</v>
      </c>
      <c r="D290" s="59" t="s">
        <v>2470</v>
      </c>
      <c r="E290" s="60" t="s">
        <v>1355</v>
      </c>
      <c r="F290" s="60" t="s">
        <v>2211</v>
      </c>
      <c r="G290" s="60" t="s">
        <v>2471</v>
      </c>
      <c r="H290" s="24" t="s">
        <v>1383</v>
      </c>
      <c r="I290" s="61">
        <v>200</v>
      </c>
      <c r="J290" s="62">
        <v>35.49</v>
      </c>
      <c r="K290" s="63">
        <f t="shared" si="8"/>
        <v>7098</v>
      </c>
    </row>
    <row r="291" spans="2:11" x14ac:dyDescent="0.25">
      <c r="B291" s="22" t="s">
        <v>2472</v>
      </c>
      <c r="C291" s="22" t="s">
        <v>2473</v>
      </c>
      <c r="D291" s="59" t="s">
        <v>2474</v>
      </c>
      <c r="E291" s="60" t="s">
        <v>1355</v>
      </c>
      <c r="F291" s="60" t="s">
        <v>2211</v>
      </c>
      <c r="G291" s="60" t="s">
        <v>2475</v>
      </c>
      <c r="H291" s="24" t="s">
        <v>1383</v>
      </c>
      <c r="I291" s="61">
        <v>200</v>
      </c>
      <c r="J291" s="62">
        <v>36.1</v>
      </c>
      <c r="K291" s="63">
        <f t="shared" ref="K291:K354" si="9">I291*J291</f>
        <v>7220</v>
      </c>
    </row>
    <row r="292" spans="2:11" x14ac:dyDescent="0.25">
      <c r="B292" s="22" t="s">
        <v>2476</v>
      </c>
      <c r="C292" s="22" t="s">
        <v>2477</v>
      </c>
      <c r="D292" s="59" t="s">
        <v>2478</v>
      </c>
      <c r="E292" s="60" t="s">
        <v>1355</v>
      </c>
      <c r="F292" s="60" t="s">
        <v>2211</v>
      </c>
      <c r="G292" s="60" t="s">
        <v>2479</v>
      </c>
      <c r="H292" s="24" t="s">
        <v>1383</v>
      </c>
      <c r="I292" s="61">
        <v>8225</v>
      </c>
      <c r="J292" s="62">
        <v>6.64</v>
      </c>
      <c r="K292" s="63">
        <f t="shared" si="9"/>
        <v>54614</v>
      </c>
    </row>
    <row r="293" spans="2:11" x14ac:dyDescent="0.25">
      <c r="B293" s="22" t="s">
        <v>2480</v>
      </c>
      <c r="C293" s="22" t="s">
        <v>2481</v>
      </c>
      <c r="D293" s="59" t="s">
        <v>2482</v>
      </c>
      <c r="E293" s="60" t="s">
        <v>1355</v>
      </c>
      <c r="F293" s="60" t="s">
        <v>2211</v>
      </c>
      <c r="G293" s="60" t="s">
        <v>2483</v>
      </c>
      <c r="H293" s="24" t="s">
        <v>1383</v>
      </c>
      <c r="I293" s="61">
        <v>8225</v>
      </c>
      <c r="J293" s="62">
        <v>32.700000000000003</v>
      </c>
      <c r="K293" s="63">
        <f t="shared" si="9"/>
        <v>268957.5</v>
      </c>
    </row>
    <row r="294" spans="2:11" x14ac:dyDescent="0.25">
      <c r="B294" s="22" t="s">
        <v>2484</v>
      </c>
      <c r="C294" s="22" t="s">
        <v>2485</v>
      </c>
      <c r="D294" s="59" t="s">
        <v>2486</v>
      </c>
      <c r="E294" s="60" t="s">
        <v>1355</v>
      </c>
      <c r="F294" s="60" t="s">
        <v>2211</v>
      </c>
      <c r="G294" s="60" t="s">
        <v>2487</v>
      </c>
      <c r="H294" s="24" t="s">
        <v>1383</v>
      </c>
      <c r="I294" s="61">
        <v>4485</v>
      </c>
      <c r="J294" s="62">
        <v>32.28</v>
      </c>
      <c r="K294" s="63">
        <f t="shared" si="9"/>
        <v>144775.80000000002</v>
      </c>
    </row>
    <row r="295" spans="2:11" x14ac:dyDescent="0.25">
      <c r="B295" s="22" t="s">
        <v>2488</v>
      </c>
      <c r="C295" s="22" t="s">
        <v>2489</v>
      </c>
      <c r="D295" s="59" t="s">
        <v>2490</v>
      </c>
      <c r="E295" s="60" t="s">
        <v>1355</v>
      </c>
      <c r="F295" s="60" t="s">
        <v>2211</v>
      </c>
      <c r="G295" s="60" t="s">
        <v>2491</v>
      </c>
      <c r="H295" s="24" t="s">
        <v>1383</v>
      </c>
      <c r="I295" s="61">
        <v>450</v>
      </c>
      <c r="J295" s="62">
        <v>38.65</v>
      </c>
      <c r="K295" s="63">
        <f t="shared" si="9"/>
        <v>17392.5</v>
      </c>
    </row>
    <row r="296" spans="2:11" x14ac:dyDescent="0.25">
      <c r="B296" s="22" t="s">
        <v>2492</v>
      </c>
      <c r="C296" s="22" t="s">
        <v>2493</v>
      </c>
      <c r="D296" s="59" t="s">
        <v>2494</v>
      </c>
      <c r="E296" s="60" t="s">
        <v>1355</v>
      </c>
      <c r="F296" s="60" t="s">
        <v>2211</v>
      </c>
      <c r="G296" s="60" t="s">
        <v>2495</v>
      </c>
      <c r="H296" s="24" t="s">
        <v>1383</v>
      </c>
      <c r="I296" s="61">
        <v>7810</v>
      </c>
      <c r="J296" s="62">
        <v>6.64</v>
      </c>
      <c r="K296" s="63">
        <f t="shared" si="9"/>
        <v>51858.399999999994</v>
      </c>
    </row>
    <row r="297" spans="2:11" x14ac:dyDescent="0.25">
      <c r="B297" s="22" t="s">
        <v>2496</v>
      </c>
      <c r="C297" s="22" t="s">
        <v>2497</v>
      </c>
      <c r="D297" s="59" t="s">
        <v>2498</v>
      </c>
      <c r="E297" s="60" t="s">
        <v>1355</v>
      </c>
      <c r="F297" s="60" t="s">
        <v>2211</v>
      </c>
      <c r="G297" s="60" t="s">
        <v>2499</v>
      </c>
      <c r="H297" s="24" t="s">
        <v>1383</v>
      </c>
      <c r="I297" s="61">
        <v>7810</v>
      </c>
      <c r="J297" s="62">
        <v>34.24</v>
      </c>
      <c r="K297" s="63">
        <f t="shared" si="9"/>
        <v>267414.40000000002</v>
      </c>
    </row>
    <row r="298" spans="2:11" x14ac:dyDescent="0.25">
      <c r="B298" s="22" t="s">
        <v>2500</v>
      </c>
      <c r="C298" s="22" t="s">
        <v>2501</v>
      </c>
      <c r="D298" s="59" t="s">
        <v>2502</v>
      </c>
      <c r="E298" s="60" t="s">
        <v>1355</v>
      </c>
      <c r="F298" s="60" t="s">
        <v>2211</v>
      </c>
      <c r="G298" s="60" t="s">
        <v>2503</v>
      </c>
      <c r="H298" s="24" t="s">
        <v>1383</v>
      </c>
      <c r="I298" s="61">
        <v>600</v>
      </c>
      <c r="J298" s="62">
        <v>32.14</v>
      </c>
      <c r="K298" s="63">
        <f t="shared" si="9"/>
        <v>19284</v>
      </c>
    </row>
    <row r="299" spans="2:11" x14ac:dyDescent="0.25">
      <c r="B299" s="22" t="s">
        <v>2504</v>
      </c>
      <c r="C299" s="22" t="s">
        <v>2505</v>
      </c>
      <c r="D299" s="59" t="s">
        <v>2506</v>
      </c>
      <c r="E299" s="60" t="s">
        <v>1355</v>
      </c>
      <c r="F299" s="60" t="s">
        <v>2211</v>
      </c>
      <c r="G299" s="60" t="s">
        <v>2507</v>
      </c>
      <c r="H299" s="18" t="s">
        <v>1361</v>
      </c>
      <c r="I299" s="61">
        <v>700</v>
      </c>
      <c r="J299" s="62">
        <v>77.52</v>
      </c>
      <c r="K299" s="63">
        <f t="shared" si="9"/>
        <v>54264</v>
      </c>
    </row>
    <row r="300" spans="2:11" x14ac:dyDescent="0.25">
      <c r="B300" s="22" t="s">
        <v>2508</v>
      </c>
      <c r="C300" s="22" t="s">
        <v>2509</v>
      </c>
      <c r="D300" s="64" t="s">
        <v>2510</v>
      </c>
      <c r="E300" s="60" t="s">
        <v>1355</v>
      </c>
      <c r="F300" s="60" t="s">
        <v>2211</v>
      </c>
      <c r="G300" s="60" t="s">
        <v>2511</v>
      </c>
      <c r="H300" s="24" t="s">
        <v>1383</v>
      </c>
      <c r="I300" s="61">
        <v>12495</v>
      </c>
      <c r="J300" s="62">
        <v>67.180000000000007</v>
      </c>
      <c r="K300" s="63">
        <f t="shared" si="9"/>
        <v>839414.10000000009</v>
      </c>
    </row>
    <row r="301" spans="2:11" s="65" customFormat="1" x14ac:dyDescent="0.25">
      <c r="B301" s="22" t="s">
        <v>2512</v>
      </c>
      <c r="C301" s="22" t="s">
        <v>2513</v>
      </c>
      <c r="D301" s="64" t="s">
        <v>2514</v>
      </c>
      <c r="E301" s="60" t="s">
        <v>1355</v>
      </c>
      <c r="F301" s="60" t="s">
        <v>2211</v>
      </c>
      <c r="G301" s="60" t="s">
        <v>2515</v>
      </c>
      <c r="H301" s="24" t="s">
        <v>1383</v>
      </c>
      <c r="I301" s="61">
        <v>250</v>
      </c>
      <c r="J301" s="62">
        <v>72.08</v>
      </c>
      <c r="K301" s="63">
        <f t="shared" si="9"/>
        <v>18020</v>
      </c>
    </row>
    <row r="302" spans="2:11" s="65" customFormat="1" x14ac:dyDescent="0.25">
      <c r="B302" s="22" t="s">
        <v>2516</v>
      </c>
      <c r="C302" s="22" t="s">
        <v>2517</v>
      </c>
      <c r="D302" s="64" t="s">
        <v>2518</v>
      </c>
      <c r="E302" s="60" t="s">
        <v>1355</v>
      </c>
      <c r="F302" s="60" t="s">
        <v>2211</v>
      </c>
      <c r="G302" s="60" t="s">
        <v>2519</v>
      </c>
      <c r="H302" s="24" t="s">
        <v>1383</v>
      </c>
      <c r="I302" s="61">
        <v>600</v>
      </c>
      <c r="J302" s="62">
        <v>52.65</v>
      </c>
      <c r="K302" s="63">
        <f t="shared" si="9"/>
        <v>31590</v>
      </c>
    </row>
    <row r="303" spans="2:11" s="65" customFormat="1" x14ac:dyDescent="0.25">
      <c r="B303" s="22" t="s">
        <v>2520</v>
      </c>
      <c r="C303" s="22" t="s">
        <v>2521</v>
      </c>
      <c r="D303" s="64" t="s">
        <v>2522</v>
      </c>
      <c r="E303" s="60" t="s">
        <v>1355</v>
      </c>
      <c r="F303" s="60" t="s">
        <v>2211</v>
      </c>
      <c r="G303" s="60" t="s">
        <v>2523</v>
      </c>
      <c r="H303" s="24" t="s">
        <v>1383</v>
      </c>
      <c r="I303" s="61">
        <v>220</v>
      </c>
      <c r="J303" s="62">
        <v>58.27</v>
      </c>
      <c r="K303" s="63">
        <f t="shared" si="9"/>
        <v>12819.400000000001</v>
      </c>
    </row>
    <row r="304" spans="2:11" s="65" customFormat="1" x14ac:dyDescent="0.25">
      <c r="B304" s="22" t="s">
        <v>2524</v>
      </c>
      <c r="C304" s="22" t="s">
        <v>2525</v>
      </c>
      <c r="D304" s="64" t="s">
        <v>2526</v>
      </c>
      <c r="E304" s="60" t="s">
        <v>1355</v>
      </c>
      <c r="F304" s="60" t="s">
        <v>2211</v>
      </c>
      <c r="G304" s="60" t="s">
        <v>2527</v>
      </c>
      <c r="H304" s="24" t="s">
        <v>1383</v>
      </c>
      <c r="I304" s="61">
        <v>579.32000000000005</v>
      </c>
      <c r="J304" s="62">
        <v>44.97</v>
      </c>
      <c r="K304" s="63">
        <f t="shared" si="9"/>
        <v>26052.020400000001</v>
      </c>
    </row>
    <row r="305" spans="2:11" s="65" customFormat="1" x14ac:dyDescent="0.25">
      <c r="B305" s="22" t="s">
        <v>2528</v>
      </c>
      <c r="C305" s="22" t="s">
        <v>2529</v>
      </c>
      <c r="D305" s="64" t="s">
        <v>2530</v>
      </c>
      <c r="E305" s="60" t="s">
        <v>1355</v>
      </c>
      <c r="F305" s="60" t="s">
        <v>2211</v>
      </c>
      <c r="G305" s="60" t="s">
        <v>2531</v>
      </c>
      <c r="H305" s="24" t="s">
        <v>1383</v>
      </c>
      <c r="I305" s="61">
        <v>1200</v>
      </c>
      <c r="J305" s="62">
        <v>47.1</v>
      </c>
      <c r="K305" s="63">
        <f t="shared" si="9"/>
        <v>56520</v>
      </c>
    </row>
    <row r="306" spans="2:11" s="65" customFormat="1" x14ac:dyDescent="0.25">
      <c r="B306" s="22" t="s">
        <v>2532</v>
      </c>
      <c r="C306" s="22" t="s">
        <v>2533</v>
      </c>
      <c r="D306" s="64" t="s">
        <v>2534</v>
      </c>
      <c r="E306" s="60" t="s">
        <v>1355</v>
      </c>
      <c r="F306" s="60" t="s">
        <v>2211</v>
      </c>
      <c r="G306" s="60" t="s">
        <v>2535</v>
      </c>
      <c r="H306" s="24" t="s">
        <v>1383</v>
      </c>
      <c r="I306" s="61">
        <v>1700</v>
      </c>
      <c r="J306" s="62">
        <v>97.42</v>
      </c>
      <c r="K306" s="63">
        <f t="shared" si="9"/>
        <v>165614</v>
      </c>
    </row>
    <row r="307" spans="2:11" s="65" customFormat="1" x14ac:dyDescent="0.25">
      <c r="B307" s="22" t="s">
        <v>2536</v>
      </c>
      <c r="C307" s="22" t="s">
        <v>2537</v>
      </c>
      <c r="D307" s="64" t="s">
        <v>2538</v>
      </c>
      <c r="E307" s="60" t="s">
        <v>1355</v>
      </c>
      <c r="F307" s="60" t="s">
        <v>2211</v>
      </c>
      <c r="G307" s="60" t="s">
        <v>2539</v>
      </c>
      <c r="H307" s="24" t="s">
        <v>1383</v>
      </c>
      <c r="I307" s="61">
        <v>1500</v>
      </c>
      <c r="J307" s="62">
        <v>52.37</v>
      </c>
      <c r="K307" s="63">
        <f t="shared" si="9"/>
        <v>78555</v>
      </c>
    </row>
    <row r="308" spans="2:11" s="65" customFormat="1" x14ac:dyDescent="0.25">
      <c r="B308" s="22" t="s">
        <v>2540</v>
      </c>
      <c r="C308" s="22" t="s">
        <v>2541</v>
      </c>
      <c r="D308" s="64" t="s">
        <v>2542</v>
      </c>
      <c r="E308" s="60" t="s">
        <v>1355</v>
      </c>
      <c r="F308" s="60" t="s">
        <v>2211</v>
      </c>
      <c r="G308" s="60" t="s">
        <v>2543</v>
      </c>
      <c r="H308" s="24" t="s">
        <v>1383</v>
      </c>
      <c r="I308" s="61">
        <v>400</v>
      </c>
      <c r="J308" s="62">
        <v>63.56</v>
      </c>
      <c r="K308" s="63">
        <f t="shared" si="9"/>
        <v>25424</v>
      </c>
    </row>
    <row r="309" spans="2:11" s="65" customFormat="1" x14ac:dyDescent="0.25">
      <c r="B309" s="22" t="s">
        <v>2544</v>
      </c>
      <c r="C309" s="22" t="s">
        <v>2545</v>
      </c>
      <c r="D309" s="64" t="s">
        <v>2546</v>
      </c>
      <c r="E309" s="60" t="s">
        <v>1355</v>
      </c>
      <c r="F309" s="60" t="s">
        <v>2211</v>
      </c>
      <c r="G309" s="60" t="s">
        <v>2547</v>
      </c>
      <c r="H309" s="24" t="s">
        <v>1383</v>
      </c>
      <c r="I309" s="61">
        <v>25</v>
      </c>
      <c r="J309" s="62">
        <v>178.27</v>
      </c>
      <c r="K309" s="63">
        <f t="shared" si="9"/>
        <v>4456.75</v>
      </c>
    </row>
    <row r="310" spans="2:11" s="65" customFormat="1" x14ac:dyDescent="0.25">
      <c r="B310" s="22" t="s">
        <v>2548</v>
      </c>
      <c r="C310" s="22" t="s">
        <v>2549</v>
      </c>
      <c r="D310" s="64" t="s">
        <v>2550</v>
      </c>
      <c r="E310" s="60" t="s">
        <v>1355</v>
      </c>
      <c r="F310" s="60" t="s">
        <v>2211</v>
      </c>
      <c r="G310" s="60" t="s">
        <v>2551</v>
      </c>
      <c r="H310" s="24" t="s">
        <v>1383</v>
      </c>
      <c r="I310" s="61">
        <v>25</v>
      </c>
      <c r="J310" s="62">
        <v>229.31</v>
      </c>
      <c r="K310" s="63">
        <f t="shared" si="9"/>
        <v>5732.75</v>
      </c>
    </row>
    <row r="311" spans="2:11" s="65" customFormat="1" x14ac:dyDescent="0.25">
      <c r="B311" s="22" t="s">
        <v>2552</v>
      </c>
      <c r="C311" s="22" t="s">
        <v>2553</v>
      </c>
      <c r="D311" s="64" t="s">
        <v>2554</v>
      </c>
      <c r="E311" s="60" t="s">
        <v>1355</v>
      </c>
      <c r="F311" s="60" t="s">
        <v>2211</v>
      </c>
      <c r="G311" s="60" t="s">
        <v>2555</v>
      </c>
      <c r="H311" s="24" t="s">
        <v>1383</v>
      </c>
      <c r="I311" s="61">
        <v>217</v>
      </c>
      <c r="J311" s="62">
        <v>328.9</v>
      </c>
      <c r="K311" s="63">
        <f t="shared" si="9"/>
        <v>71371.299999999988</v>
      </c>
    </row>
    <row r="312" spans="2:11" s="65" customFormat="1" x14ac:dyDescent="0.25">
      <c r="B312" s="22" t="s">
        <v>2556</v>
      </c>
      <c r="C312" s="22" t="s">
        <v>2557</v>
      </c>
      <c r="D312" s="64" t="s">
        <v>2558</v>
      </c>
      <c r="E312" s="60" t="s">
        <v>1355</v>
      </c>
      <c r="F312" s="60" t="s">
        <v>2211</v>
      </c>
      <c r="G312" s="60" t="s">
        <v>2559</v>
      </c>
      <c r="H312" s="24" t="s">
        <v>1383</v>
      </c>
      <c r="I312" s="61">
        <v>300</v>
      </c>
      <c r="J312" s="62">
        <v>95.32</v>
      </c>
      <c r="K312" s="63">
        <f t="shared" si="9"/>
        <v>28595.999999999996</v>
      </c>
    </row>
    <row r="313" spans="2:11" s="65" customFormat="1" x14ac:dyDescent="0.25">
      <c r="B313" s="22" t="s">
        <v>2560</v>
      </c>
      <c r="C313" s="22" t="s">
        <v>2561</v>
      </c>
      <c r="D313" s="64" t="s">
        <v>2562</v>
      </c>
      <c r="E313" s="60" t="s">
        <v>1355</v>
      </c>
      <c r="F313" s="60" t="s">
        <v>2211</v>
      </c>
      <c r="G313" s="60" t="s">
        <v>2563</v>
      </c>
      <c r="H313" s="24" t="s">
        <v>1383</v>
      </c>
      <c r="I313" s="61">
        <v>900</v>
      </c>
      <c r="J313" s="62">
        <v>191.5</v>
      </c>
      <c r="K313" s="63">
        <f t="shared" si="9"/>
        <v>172350</v>
      </c>
    </row>
    <row r="314" spans="2:11" s="65" customFormat="1" x14ac:dyDescent="0.25">
      <c r="B314" s="22" t="s">
        <v>2564</v>
      </c>
      <c r="C314" s="22" t="s">
        <v>2565</v>
      </c>
      <c r="D314" s="64" t="s">
        <v>2566</v>
      </c>
      <c r="E314" s="60" t="s">
        <v>1355</v>
      </c>
      <c r="F314" s="60" t="s">
        <v>2211</v>
      </c>
      <c r="G314" s="60" t="s">
        <v>2567</v>
      </c>
      <c r="H314" s="24" t="s">
        <v>1383</v>
      </c>
      <c r="I314" s="61">
        <v>240</v>
      </c>
      <c r="J314" s="62">
        <v>186.6</v>
      </c>
      <c r="K314" s="63">
        <f t="shared" si="9"/>
        <v>44784</v>
      </c>
    </row>
    <row r="315" spans="2:11" s="65" customFormat="1" x14ac:dyDescent="0.25">
      <c r="B315" s="22" t="s">
        <v>2568</v>
      </c>
      <c r="C315" s="22" t="s">
        <v>2569</v>
      </c>
      <c r="D315" s="64" t="s">
        <v>2570</v>
      </c>
      <c r="E315" s="60" t="s">
        <v>1355</v>
      </c>
      <c r="F315" s="60" t="s">
        <v>2211</v>
      </c>
      <c r="G315" s="60" t="s">
        <v>2571</v>
      </c>
      <c r="H315" s="18" t="s">
        <v>1361</v>
      </c>
      <c r="I315" s="61">
        <v>90</v>
      </c>
      <c r="J315" s="62">
        <v>159.93</v>
      </c>
      <c r="K315" s="63">
        <f t="shared" si="9"/>
        <v>14393.7</v>
      </c>
    </row>
    <row r="316" spans="2:11" s="65" customFormat="1" x14ac:dyDescent="0.25">
      <c r="B316" s="22" t="s">
        <v>2572</v>
      </c>
      <c r="C316" s="22" t="s">
        <v>2573</v>
      </c>
      <c r="D316" s="64" t="s">
        <v>2574</v>
      </c>
      <c r="E316" s="60" t="s">
        <v>1355</v>
      </c>
      <c r="F316" s="60" t="s">
        <v>2211</v>
      </c>
      <c r="G316" s="60" t="s">
        <v>2575</v>
      </c>
      <c r="H316" s="18" t="s">
        <v>1361</v>
      </c>
      <c r="I316" s="61">
        <v>36</v>
      </c>
      <c r="J316" s="62">
        <v>158.61000000000001</v>
      </c>
      <c r="K316" s="63">
        <f t="shared" si="9"/>
        <v>5709.9600000000009</v>
      </c>
    </row>
    <row r="317" spans="2:11" s="65" customFormat="1" x14ac:dyDescent="0.25">
      <c r="B317" s="22" t="s">
        <v>2576</v>
      </c>
      <c r="C317" s="22" t="s">
        <v>2577</v>
      </c>
      <c r="D317" s="64" t="s">
        <v>2578</v>
      </c>
      <c r="E317" s="60" t="s">
        <v>1355</v>
      </c>
      <c r="F317" s="60" t="s">
        <v>2211</v>
      </c>
      <c r="G317" s="60" t="s">
        <v>2579</v>
      </c>
      <c r="H317" s="24" t="s">
        <v>1383</v>
      </c>
      <c r="I317" s="61">
        <v>160</v>
      </c>
      <c r="J317" s="62">
        <v>150.31</v>
      </c>
      <c r="K317" s="63">
        <f t="shared" si="9"/>
        <v>24049.599999999999</v>
      </c>
    </row>
    <row r="318" spans="2:11" s="65" customFormat="1" x14ac:dyDescent="0.25">
      <c r="B318" s="22" t="s">
        <v>2580</v>
      </c>
      <c r="C318" s="22" t="s">
        <v>2581</v>
      </c>
      <c r="D318" s="64" t="s">
        <v>2582</v>
      </c>
      <c r="E318" s="60" t="s">
        <v>1355</v>
      </c>
      <c r="F318" s="60" t="s">
        <v>2211</v>
      </c>
      <c r="G318" s="60" t="s">
        <v>2583</v>
      </c>
      <c r="H318" s="24" t="s">
        <v>1383</v>
      </c>
      <c r="I318" s="61">
        <v>210</v>
      </c>
      <c r="J318" s="62">
        <v>268.33</v>
      </c>
      <c r="K318" s="63">
        <f t="shared" si="9"/>
        <v>56349.299999999996</v>
      </c>
    </row>
    <row r="319" spans="2:11" s="65" customFormat="1" x14ac:dyDescent="0.25">
      <c r="B319" s="22" t="s">
        <v>2584</v>
      </c>
      <c r="C319" s="22" t="s">
        <v>2585</v>
      </c>
      <c r="D319" s="64" t="s">
        <v>2586</v>
      </c>
      <c r="E319" s="60" t="s">
        <v>1355</v>
      </c>
      <c r="F319" s="60" t="s">
        <v>2211</v>
      </c>
      <c r="G319" s="60" t="s">
        <v>2587</v>
      </c>
      <c r="H319" s="24" t="s">
        <v>1383</v>
      </c>
      <c r="I319" s="61">
        <v>49.12</v>
      </c>
      <c r="J319" s="62">
        <v>499.05</v>
      </c>
      <c r="K319" s="63">
        <f t="shared" si="9"/>
        <v>24513.335999999999</v>
      </c>
    </row>
    <row r="320" spans="2:11" s="65" customFormat="1" x14ac:dyDescent="0.25">
      <c r="B320" s="22" t="s">
        <v>2588</v>
      </c>
      <c r="C320" s="22" t="s">
        <v>2589</v>
      </c>
      <c r="D320" s="64" t="s">
        <v>2590</v>
      </c>
      <c r="E320" s="60" t="s">
        <v>1355</v>
      </c>
      <c r="F320" s="60" t="s">
        <v>2211</v>
      </c>
      <c r="G320" s="60" t="s">
        <v>2591</v>
      </c>
      <c r="H320" s="24" t="s">
        <v>1383</v>
      </c>
      <c r="I320" s="61">
        <v>206</v>
      </c>
      <c r="J320" s="62">
        <v>27.19</v>
      </c>
      <c r="K320" s="63">
        <f t="shared" si="9"/>
        <v>5601.14</v>
      </c>
    </row>
    <row r="321" spans="2:11" s="65" customFormat="1" x14ac:dyDescent="0.25">
      <c r="B321" s="22" t="s">
        <v>2592</v>
      </c>
      <c r="C321" s="22" t="s">
        <v>2593</v>
      </c>
      <c r="D321" s="64" t="s">
        <v>2594</v>
      </c>
      <c r="E321" s="60" t="s">
        <v>1355</v>
      </c>
      <c r="F321" s="60" t="s">
        <v>2211</v>
      </c>
      <c r="G321" s="60" t="s">
        <v>2595</v>
      </c>
      <c r="H321" s="24" t="s">
        <v>1383</v>
      </c>
      <c r="I321" s="61">
        <v>720</v>
      </c>
      <c r="J321" s="62">
        <v>18.5</v>
      </c>
      <c r="K321" s="63">
        <f t="shared" si="9"/>
        <v>13320</v>
      </c>
    </row>
    <row r="322" spans="2:11" s="65" customFormat="1" x14ac:dyDescent="0.25">
      <c r="B322" s="22" t="s">
        <v>2596</v>
      </c>
      <c r="C322" s="22" t="s">
        <v>2597</v>
      </c>
      <c r="D322" s="64" t="s">
        <v>2590</v>
      </c>
      <c r="E322" s="60" t="s">
        <v>1355</v>
      </c>
      <c r="F322" s="60" t="s">
        <v>2211</v>
      </c>
      <c r="G322" s="60" t="s">
        <v>2598</v>
      </c>
      <c r="H322" s="24" t="s">
        <v>1383</v>
      </c>
      <c r="I322" s="61">
        <v>2400</v>
      </c>
      <c r="J322" s="62">
        <v>30.09</v>
      </c>
      <c r="K322" s="63">
        <f t="shared" si="9"/>
        <v>72216</v>
      </c>
    </row>
    <row r="323" spans="2:11" s="65" customFormat="1" x14ac:dyDescent="0.25">
      <c r="B323" s="22" t="s">
        <v>2599</v>
      </c>
      <c r="C323" s="22" t="s">
        <v>2600</v>
      </c>
      <c r="D323" s="64" t="s">
        <v>2601</v>
      </c>
      <c r="E323" s="60" t="s">
        <v>1355</v>
      </c>
      <c r="F323" s="60" t="s">
        <v>2211</v>
      </c>
      <c r="G323" s="60" t="s">
        <v>2602</v>
      </c>
      <c r="H323" s="24" t="s">
        <v>1383</v>
      </c>
      <c r="I323" s="61">
        <v>600</v>
      </c>
      <c r="J323" s="62">
        <v>17.2</v>
      </c>
      <c r="K323" s="63">
        <f t="shared" si="9"/>
        <v>10320</v>
      </c>
    </row>
    <row r="324" spans="2:11" s="65" customFormat="1" x14ac:dyDescent="0.25">
      <c r="B324" s="22" t="s">
        <v>2603</v>
      </c>
      <c r="C324" s="22" t="s">
        <v>2604</v>
      </c>
      <c r="D324" s="64" t="s">
        <v>2605</v>
      </c>
      <c r="E324" s="60" t="s">
        <v>1355</v>
      </c>
      <c r="F324" s="60" t="s">
        <v>2211</v>
      </c>
      <c r="G324" s="60" t="s">
        <v>2606</v>
      </c>
      <c r="H324" s="24" t="s">
        <v>1383</v>
      </c>
      <c r="I324" s="61">
        <v>10960</v>
      </c>
      <c r="J324" s="62">
        <v>41.61</v>
      </c>
      <c r="K324" s="63">
        <f t="shared" si="9"/>
        <v>456045.6</v>
      </c>
    </row>
    <row r="325" spans="2:11" s="65" customFormat="1" x14ac:dyDescent="0.25">
      <c r="B325" s="22" t="s">
        <v>2607</v>
      </c>
      <c r="C325" s="22" t="s">
        <v>2608</v>
      </c>
      <c r="D325" s="64" t="s">
        <v>2609</v>
      </c>
      <c r="E325" s="60" t="s">
        <v>1355</v>
      </c>
      <c r="F325" s="60" t="s">
        <v>2211</v>
      </c>
      <c r="G325" s="60" t="s">
        <v>2610</v>
      </c>
      <c r="H325" s="24" t="s">
        <v>1383</v>
      </c>
      <c r="I325" s="61">
        <v>2730</v>
      </c>
      <c r="J325" s="62">
        <v>23.72</v>
      </c>
      <c r="K325" s="63">
        <f t="shared" si="9"/>
        <v>64755.6</v>
      </c>
    </row>
    <row r="326" spans="2:11" s="65" customFormat="1" x14ac:dyDescent="0.25">
      <c r="B326" s="22" t="s">
        <v>2611</v>
      </c>
      <c r="C326" s="22" t="s">
        <v>2612</v>
      </c>
      <c r="D326" s="64" t="s">
        <v>2613</v>
      </c>
      <c r="E326" s="60" t="s">
        <v>1355</v>
      </c>
      <c r="F326" s="60" t="s">
        <v>2211</v>
      </c>
      <c r="G326" s="60" t="s">
        <v>2614</v>
      </c>
      <c r="H326" s="24" t="s">
        <v>1383</v>
      </c>
      <c r="I326" s="61">
        <v>2790</v>
      </c>
      <c r="J326" s="62">
        <v>35.6</v>
      </c>
      <c r="K326" s="63">
        <f t="shared" si="9"/>
        <v>99324</v>
      </c>
    </row>
    <row r="327" spans="2:11" s="65" customFormat="1" x14ac:dyDescent="0.25">
      <c r="B327" s="22" t="s">
        <v>2615</v>
      </c>
      <c r="C327" s="22" t="s">
        <v>2616</v>
      </c>
      <c r="D327" s="64" t="s">
        <v>2617</v>
      </c>
      <c r="E327" s="60" t="s">
        <v>1355</v>
      </c>
      <c r="F327" s="60" t="s">
        <v>2211</v>
      </c>
      <c r="G327" s="60" t="s">
        <v>2618</v>
      </c>
      <c r="H327" s="24" t="s">
        <v>1383</v>
      </c>
      <c r="I327" s="61">
        <v>390</v>
      </c>
      <c r="J327" s="62">
        <v>35.6</v>
      </c>
      <c r="K327" s="63">
        <f t="shared" si="9"/>
        <v>13884</v>
      </c>
    </row>
    <row r="328" spans="2:11" s="65" customFormat="1" x14ac:dyDescent="0.25">
      <c r="B328" s="22" t="s">
        <v>2619</v>
      </c>
      <c r="C328" s="22" t="s">
        <v>2620</v>
      </c>
      <c r="D328" s="64" t="s">
        <v>2621</v>
      </c>
      <c r="E328" s="60" t="s">
        <v>1355</v>
      </c>
      <c r="F328" s="60" t="s">
        <v>2211</v>
      </c>
      <c r="G328" s="60" t="s">
        <v>2622</v>
      </c>
      <c r="H328" s="24" t="s">
        <v>1383</v>
      </c>
      <c r="I328" s="61">
        <v>85.14</v>
      </c>
      <c r="J328" s="62">
        <v>36.46</v>
      </c>
      <c r="K328" s="63">
        <f t="shared" si="9"/>
        <v>3104.2044000000001</v>
      </c>
    </row>
    <row r="329" spans="2:11" s="65" customFormat="1" x14ac:dyDescent="0.25">
      <c r="B329" s="22" t="s">
        <v>2623</v>
      </c>
      <c r="C329" s="22" t="s">
        <v>2624</v>
      </c>
      <c r="D329" s="64" t="s">
        <v>2625</v>
      </c>
      <c r="E329" s="60" t="s">
        <v>1355</v>
      </c>
      <c r="F329" s="60" t="s">
        <v>2211</v>
      </c>
      <c r="G329" s="60" t="s">
        <v>2626</v>
      </c>
      <c r="H329" s="24" t="s">
        <v>1557</v>
      </c>
      <c r="I329" s="61">
        <v>5565</v>
      </c>
      <c r="J329" s="62">
        <v>16.07</v>
      </c>
      <c r="K329" s="63">
        <f t="shared" si="9"/>
        <v>89429.55</v>
      </c>
    </row>
    <row r="330" spans="2:11" s="65" customFormat="1" x14ac:dyDescent="0.25">
      <c r="B330" s="22" t="s">
        <v>2627</v>
      </c>
      <c r="C330" s="22" t="s">
        <v>2628</v>
      </c>
      <c r="D330" s="64" t="s">
        <v>2629</v>
      </c>
      <c r="E330" s="60" t="s">
        <v>1355</v>
      </c>
      <c r="F330" s="60" t="s">
        <v>2211</v>
      </c>
      <c r="G330" s="60" t="s">
        <v>2630</v>
      </c>
      <c r="H330" s="24" t="s">
        <v>1383</v>
      </c>
      <c r="I330" s="61">
        <v>495</v>
      </c>
      <c r="J330" s="62">
        <v>43.83</v>
      </c>
      <c r="K330" s="63">
        <f t="shared" si="9"/>
        <v>21695.85</v>
      </c>
    </row>
    <row r="331" spans="2:11" s="65" customFormat="1" x14ac:dyDescent="0.25">
      <c r="B331" s="22" t="s">
        <v>2631</v>
      </c>
      <c r="C331" s="22" t="s">
        <v>2632</v>
      </c>
      <c r="D331" s="64" t="s">
        <v>2633</v>
      </c>
      <c r="E331" s="60" t="s">
        <v>1355</v>
      </c>
      <c r="F331" s="60" t="s">
        <v>2211</v>
      </c>
      <c r="G331" s="60" t="s">
        <v>2634</v>
      </c>
      <c r="H331" s="18" t="s">
        <v>1361</v>
      </c>
      <c r="I331" s="61">
        <v>200</v>
      </c>
      <c r="J331" s="62">
        <v>844.7</v>
      </c>
      <c r="K331" s="63">
        <f t="shared" si="9"/>
        <v>168940</v>
      </c>
    </row>
    <row r="332" spans="2:11" s="65" customFormat="1" x14ac:dyDescent="0.25">
      <c r="B332" s="22" t="s">
        <v>2635</v>
      </c>
      <c r="C332" s="22" t="s">
        <v>2636</v>
      </c>
      <c r="D332" s="64" t="s">
        <v>2637</v>
      </c>
      <c r="E332" s="60" t="s">
        <v>1355</v>
      </c>
      <c r="F332" s="60" t="s">
        <v>2211</v>
      </c>
      <c r="G332" s="60" t="s">
        <v>2638</v>
      </c>
      <c r="H332" s="18" t="s">
        <v>1361</v>
      </c>
      <c r="I332" s="61">
        <v>60</v>
      </c>
      <c r="J332" s="62">
        <v>959.86</v>
      </c>
      <c r="K332" s="63">
        <f t="shared" si="9"/>
        <v>57591.6</v>
      </c>
    </row>
    <row r="333" spans="2:11" s="65" customFormat="1" x14ac:dyDescent="0.25">
      <c r="B333" s="22" t="s">
        <v>2639</v>
      </c>
      <c r="C333" s="22" t="s">
        <v>2640</v>
      </c>
      <c r="D333" s="64" t="s">
        <v>2641</v>
      </c>
      <c r="E333" s="60" t="s">
        <v>1355</v>
      </c>
      <c r="F333" s="60" t="s">
        <v>2211</v>
      </c>
      <c r="G333" s="60" t="s">
        <v>2642</v>
      </c>
      <c r="H333" s="18" t="s">
        <v>1361</v>
      </c>
      <c r="I333" s="61">
        <v>90</v>
      </c>
      <c r="J333" s="62">
        <v>208.53</v>
      </c>
      <c r="K333" s="63">
        <f t="shared" si="9"/>
        <v>18767.7</v>
      </c>
    </row>
    <row r="334" spans="2:11" s="65" customFormat="1" x14ac:dyDescent="0.25">
      <c r="B334" s="22" t="s">
        <v>2643</v>
      </c>
      <c r="C334" s="22" t="s">
        <v>2644</v>
      </c>
      <c r="D334" s="64" t="s">
        <v>2645</v>
      </c>
      <c r="E334" s="60" t="s">
        <v>1355</v>
      </c>
      <c r="F334" s="60" t="s">
        <v>2211</v>
      </c>
      <c r="G334" s="60" t="s">
        <v>2646</v>
      </c>
      <c r="H334" s="24" t="s">
        <v>1627</v>
      </c>
      <c r="I334" s="61">
        <v>4</v>
      </c>
      <c r="J334" s="62">
        <v>2336.88</v>
      </c>
      <c r="K334" s="63">
        <f t="shared" si="9"/>
        <v>9347.52</v>
      </c>
    </row>
    <row r="335" spans="2:11" x14ac:dyDescent="0.25">
      <c r="B335" s="22" t="s">
        <v>2647</v>
      </c>
      <c r="C335" s="22" t="s">
        <v>2648</v>
      </c>
      <c r="D335" s="64" t="s">
        <v>2649</v>
      </c>
      <c r="E335" s="60" t="s">
        <v>1355</v>
      </c>
      <c r="F335" s="60" t="s">
        <v>2211</v>
      </c>
      <c r="G335" s="60" t="s">
        <v>2650</v>
      </c>
      <c r="H335" s="24" t="s">
        <v>1627</v>
      </c>
      <c r="I335" s="61">
        <v>4</v>
      </c>
      <c r="J335" s="62">
        <v>3157.57</v>
      </c>
      <c r="K335" s="63">
        <f t="shared" si="9"/>
        <v>12630.28</v>
      </c>
    </row>
    <row r="336" spans="2:11" x14ac:dyDescent="0.25">
      <c r="B336" s="22" t="s">
        <v>2651</v>
      </c>
      <c r="C336" s="22" t="s">
        <v>2652</v>
      </c>
      <c r="D336" s="59" t="s">
        <v>2653</v>
      </c>
      <c r="E336" s="60" t="s">
        <v>1355</v>
      </c>
      <c r="F336" s="60" t="s">
        <v>2211</v>
      </c>
      <c r="G336" s="60" t="s">
        <v>2654</v>
      </c>
      <c r="H336" s="24" t="s">
        <v>1383</v>
      </c>
      <c r="I336" s="61">
        <v>90</v>
      </c>
      <c r="J336" s="62">
        <v>197.56</v>
      </c>
      <c r="K336" s="63">
        <f t="shared" si="9"/>
        <v>17780.400000000001</v>
      </c>
    </row>
    <row r="337" spans="2:11" x14ac:dyDescent="0.25">
      <c r="B337" s="22" t="s">
        <v>2655</v>
      </c>
      <c r="C337" s="22" t="s">
        <v>2656</v>
      </c>
      <c r="D337" s="59" t="s">
        <v>2657</v>
      </c>
      <c r="E337" s="60" t="s">
        <v>1355</v>
      </c>
      <c r="F337" s="60" t="s">
        <v>2211</v>
      </c>
      <c r="G337" s="60" t="s">
        <v>2658</v>
      </c>
      <c r="H337" s="24" t="s">
        <v>1383</v>
      </c>
      <c r="I337" s="61">
        <v>3048</v>
      </c>
      <c r="J337" s="62">
        <v>49.65</v>
      </c>
      <c r="K337" s="63">
        <f t="shared" si="9"/>
        <v>151333.19999999998</v>
      </c>
    </row>
    <row r="338" spans="2:11" x14ac:dyDescent="0.25">
      <c r="B338" s="22" t="s">
        <v>2659</v>
      </c>
      <c r="C338" s="22" t="s">
        <v>2660</v>
      </c>
      <c r="D338" s="59" t="s">
        <v>2661</v>
      </c>
      <c r="E338" s="60" t="s">
        <v>1355</v>
      </c>
      <c r="F338" s="60" t="s">
        <v>2211</v>
      </c>
      <c r="G338" s="60" t="s">
        <v>2662</v>
      </c>
      <c r="H338" s="24" t="s">
        <v>1383</v>
      </c>
      <c r="I338" s="61">
        <v>1524</v>
      </c>
      <c r="J338" s="62">
        <v>116.87</v>
      </c>
      <c r="K338" s="63">
        <f t="shared" si="9"/>
        <v>178109.88</v>
      </c>
    </row>
    <row r="339" spans="2:11" x14ac:dyDescent="0.25">
      <c r="B339" s="22" t="s">
        <v>2663</v>
      </c>
      <c r="C339" s="22" t="s">
        <v>2664</v>
      </c>
      <c r="D339" s="59" t="s">
        <v>2665</v>
      </c>
      <c r="E339" s="60" t="s">
        <v>1355</v>
      </c>
      <c r="F339" s="60" t="s">
        <v>2211</v>
      </c>
      <c r="G339" s="60" t="s">
        <v>2666</v>
      </c>
      <c r="H339" s="24" t="s">
        <v>1383</v>
      </c>
      <c r="I339" s="61">
        <v>980</v>
      </c>
      <c r="J339" s="62">
        <v>69.73</v>
      </c>
      <c r="K339" s="63">
        <f t="shared" si="9"/>
        <v>68335.400000000009</v>
      </c>
    </row>
    <row r="340" spans="2:11" x14ac:dyDescent="0.25">
      <c r="B340" s="22" t="s">
        <v>2667</v>
      </c>
      <c r="C340" s="22" t="s">
        <v>2668</v>
      </c>
      <c r="D340" s="59" t="s">
        <v>2669</v>
      </c>
      <c r="E340" s="60" t="s">
        <v>1355</v>
      </c>
      <c r="F340" s="60" t="s">
        <v>2211</v>
      </c>
      <c r="G340" s="60" t="s">
        <v>2670</v>
      </c>
      <c r="H340" s="24" t="s">
        <v>1383</v>
      </c>
      <c r="I340" s="61">
        <v>4846</v>
      </c>
      <c r="J340" s="62">
        <v>80.22</v>
      </c>
      <c r="K340" s="63">
        <f t="shared" si="9"/>
        <v>388746.12</v>
      </c>
    </row>
    <row r="341" spans="2:11" x14ac:dyDescent="0.25">
      <c r="B341" s="22" t="s">
        <v>2671</v>
      </c>
      <c r="C341" s="22" t="s">
        <v>2672</v>
      </c>
      <c r="D341" s="59" t="s">
        <v>2673</v>
      </c>
      <c r="E341" s="60" t="s">
        <v>1355</v>
      </c>
      <c r="F341" s="60" t="s">
        <v>2211</v>
      </c>
      <c r="G341" s="60" t="s">
        <v>2674</v>
      </c>
      <c r="H341" s="24" t="s">
        <v>1383</v>
      </c>
      <c r="I341" s="61">
        <v>2012</v>
      </c>
      <c r="J341" s="62">
        <v>110.5</v>
      </c>
      <c r="K341" s="63">
        <f t="shared" si="9"/>
        <v>222326</v>
      </c>
    </row>
    <row r="342" spans="2:11" x14ac:dyDescent="0.25">
      <c r="B342" s="22" t="s">
        <v>2675</v>
      </c>
      <c r="C342" s="22" t="s">
        <v>2676</v>
      </c>
      <c r="D342" s="59" t="s">
        <v>2677</v>
      </c>
      <c r="E342" s="60" t="s">
        <v>1355</v>
      </c>
      <c r="F342" s="60" t="s">
        <v>2211</v>
      </c>
      <c r="G342" s="60" t="s">
        <v>2678</v>
      </c>
      <c r="H342" s="24" t="s">
        <v>1383</v>
      </c>
      <c r="I342" s="61">
        <v>3048</v>
      </c>
      <c r="J342" s="62">
        <v>55.24</v>
      </c>
      <c r="K342" s="63">
        <f t="shared" si="9"/>
        <v>168371.52000000002</v>
      </c>
    </row>
    <row r="343" spans="2:11" x14ac:dyDescent="0.25">
      <c r="B343" s="22" t="s">
        <v>2679</v>
      </c>
      <c r="C343" s="22" t="s">
        <v>2680</v>
      </c>
      <c r="D343" s="59" t="s">
        <v>2681</v>
      </c>
      <c r="E343" s="60" t="s">
        <v>1355</v>
      </c>
      <c r="F343" s="60" t="s">
        <v>2211</v>
      </c>
      <c r="G343" s="60" t="s">
        <v>2682</v>
      </c>
      <c r="H343" s="24" t="s">
        <v>1383</v>
      </c>
      <c r="I343" s="61">
        <v>762</v>
      </c>
      <c r="J343" s="62">
        <v>180.4</v>
      </c>
      <c r="K343" s="63">
        <f t="shared" si="9"/>
        <v>137464.80000000002</v>
      </c>
    </row>
    <row r="344" spans="2:11" x14ac:dyDescent="0.25">
      <c r="B344" s="22" t="s">
        <v>2683</v>
      </c>
      <c r="C344" s="22" t="s">
        <v>2684</v>
      </c>
      <c r="D344" s="59" t="s">
        <v>2685</v>
      </c>
      <c r="E344" s="60" t="s">
        <v>1355</v>
      </c>
      <c r="F344" s="60" t="s">
        <v>2211</v>
      </c>
      <c r="G344" s="60" t="s">
        <v>2686</v>
      </c>
      <c r="H344" s="18" t="s">
        <v>1361</v>
      </c>
      <c r="I344" s="61">
        <v>585</v>
      </c>
      <c r="J344" s="62">
        <v>28.28</v>
      </c>
      <c r="K344" s="63">
        <f t="shared" si="9"/>
        <v>16543.8</v>
      </c>
    </row>
    <row r="345" spans="2:11" x14ac:dyDescent="0.25">
      <c r="B345" s="22" t="s">
        <v>2687</v>
      </c>
      <c r="C345" s="22" t="s">
        <v>2688</v>
      </c>
      <c r="D345" s="59" t="s">
        <v>2689</v>
      </c>
      <c r="E345" s="60" t="s">
        <v>1355</v>
      </c>
      <c r="F345" s="60" t="s">
        <v>2211</v>
      </c>
      <c r="G345" s="60" t="s">
        <v>2690</v>
      </c>
      <c r="H345" s="24" t="s">
        <v>1627</v>
      </c>
      <c r="I345" s="61">
        <v>8</v>
      </c>
      <c r="J345" s="62">
        <v>465.55</v>
      </c>
      <c r="K345" s="63">
        <f t="shared" si="9"/>
        <v>3724.4</v>
      </c>
    </row>
    <row r="346" spans="2:11" x14ac:dyDescent="0.25">
      <c r="B346" s="22" t="s">
        <v>2691</v>
      </c>
      <c r="C346" s="22" t="s">
        <v>2692</v>
      </c>
      <c r="D346" s="59" t="s">
        <v>2693</v>
      </c>
      <c r="E346" s="60" t="s">
        <v>1355</v>
      </c>
      <c r="F346" s="60" t="s">
        <v>2211</v>
      </c>
      <c r="G346" s="60" t="s">
        <v>2694</v>
      </c>
      <c r="H346" s="24" t="s">
        <v>1627</v>
      </c>
      <c r="I346" s="61">
        <v>8</v>
      </c>
      <c r="J346" s="62">
        <v>158.22</v>
      </c>
      <c r="K346" s="63">
        <f t="shared" si="9"/>
        <v>1265.76</v>
      </c>
    </row>
    <row r="347" spans="2:11" x14ac:dyDescent="0.25">
      <c r="B347" s="22" t="s">
        <v>2695</v>
      </c>
      <c r="C347" s="22" t="s">
        <v>2696</v>
      </c>
      <c r="D347" s="59" t="s">
        <v>2697</v>
      </c>
      <c r="E347" s="60" t="s">
        <v>1355</v>
      </c>
      <c r="F347" s="60" t="s">
        <v>2211</v>
      </c>
      <c r="G347" s="60" t="s">
        <v>2698</v>
      </c>
      <c r="H347" s="24" t="s">
        <v>1627</v>
      </c>
      <c r="I347" s="61">
        <v>8</v>
      </c>
      <c r="J347" s="62">
        <v>194.37</v>
      </c>
      <c r="K347" s="63">
        <f t="shared" si="9"/>
        <v>1554.96</v>
      </c>
    </row>
    <row r="348" spans="2:11" x14ac:dyDescent="0.25">
      <c r="B348" s="22" t="s">
        <v>2699</v>
      </c>
      <c r="C348" s="22" t="s">
        <v>2700</v>
      </c>
      <c r="D348" s="59" t="s">
        <v>2701</v>
      </c>
      <c r="E348" s="60" t="s">
        <v>1355</v>
      </c>
      <c r="F348" s="60" t="s">
        <v>2211</v>
      </c>
      <c r="G348" s="60" t="s">
        <v>2702</v>
      </c>
      <c r="H348" s="24" t="s">
        <v>1627</v>
      </c>
      <c r="I348" s="61">
        <v>8</v>
      </c>
      <c r="J348" s="62">
        <v>204.34</v>
      </c>
      <c r="K348" s="63">
        <f t="shared" si="9"/>
        <v>1634.72</v>
      </c>
    </row>
    <row r="349" spans="2:11" x14ac:dyDescent="0.25">
      <c r="B349" s="22" t="s">
        <v>2703</v>
      </c>
      <c r="C349" s="22" t="s">
        <v>2704</v>
      </c>
      <c r="D349" s="59" t="s">
        <v>2705</v>
      </c>
      <c r="E349" s="60" t="s">
        <v>1355</v>
      </c>
      <c r="F349" s="60" t="s">
        <v>2211</v>
      </c>
      <c r="G349" s="60" t="s">
        <v>2706</v>
      </c>
      <c r="H349" s="18" t="s">
        <v>1361</v>
      </c>
      <c r="I349" s="61">
        <v>3419</v>
      </c>
      <c r="J349" s="62">
        <v>58.48</v>
      </c>
      <c r="K349" s="63">
        <f t="shared" si="9"/>
        <v>199943.12</v>
      </c>
    </row>
    <row r="350" spans="2:11" x14ac:dyDescent="0.25">
      <c r="B350" s="22" t="s">
        <v>2707</v>
      </c>
      <c r="C350" s="22" t="s">
        <v>2708</v>
      </c>
      <c r="D350" s="59" t="s">
        <v>2709</v>
      </c>
      <c r="E350" s="60" t="s">
        <v>1355</v>
      </c>
      <c r="F350" s="60" t="s">
        <v>2211</v>
      </c>
      <c r="G350" s="60" t="s">
        <v>2710</v>
      </c>
      <c r="H350" s="18" t="s">
        <v>1361</v>
      </c>
      <c r="I350" s="61">
        <v>3437</v>
      </c>
      <c r="J350" s="62">
        <v>298.98</v>
      </c>
      <c r="K350" s="63">
        <f t="shared" si="9"/>
        <v>1027594.26</v>
      </c>
    </row>
    <row r="351" spans="2:11" x14ac:dyDescent="0.25">
      <c r="B351" s="22" t="s">
        <v>2711</v>
      </c>
      <c r="C351" s="22" t="s">
        <v>2712</v>
      </c>
      <c r="D351" s="59" t="s">
        <v>2713</v>
      </c>
      <c r="E351" s="60" t="s">
        <v>1355</v>
      </c>
      <c r="F351" s="60" t="s">
        <v>2211</v>
      </c>
      <c r="G351" s="60" t="s">
        <v>2714</v>
      </c>
      <c r="H351" s="24" t="s">
        <v>1627</v>
      </c>
      <c r="I351" s="61">
        <v>8</v>
      </c>
      <c r="J351" s="62">
        <v>479.05</v>
      </c>
      <c r="K351" s="63">
        <f t="shared" si="9"/>
        <v>3832.4</v>
      </c>
    </row>
    <row r="352" spans="2:11" x14ac:dyDescent="0.25">
      <c r="B352" s="22" t="s">
        <v>2715</v>
      </c>
      <c r="C352" s="22" t="s">
        <v>2716</v>
      </c>
      <c r="D352" s="59" t="s">
        <v>2717</v>
      </c>
      <c r="E352" s="60" t="s">
        <v>1355</v>
      </c>
      <c r="F352" s="60" t="s">
        <v>2211</v>
      </c>
      <c r="G352" s="60" t="s">
        <v>2718</v>
      </c>
      <c r="H352" s="24" t="s">
        <v>1627</v>
      </c>
      <c r="I352" s="61">
        <v>2</v>
      </c>
      <c r="J352" s="62">
        <v>120609</v>
      </c>
      <c r="K352" s="63">
        <f t="shared" si="9"/>
        <v>241218</v>
      </c>
    </row>
    <row r="353" spans="2:11" x14ac:dyDescent="0.25">
      <c r="B353" s="22" t="s">
        <v>2719</v>
      </c>
      <c r="C353" s="22" t="s">
        <v>2720</v>
      </c>
      <c r="D353" s="59">
        <v>220402</v>
      </c>
      <c r="E353" s="60" t="s">
        <v>1355</v>
      </c>
      <c r="F353" s="60" t="s">
        <v>2211</v>
      </c>
      <c r="G353" s="60" t="s">
        <v>2721</v>
      </c>
      <c r="H353" s="24" t="s">
        <v>1383</v>
      </c>
      <c r="I353" s="61">
        <v>1200</v>
      </c>
      <c r="J353" s="62">
        <v>308.60000000000002</v>
      </c>
      <c r="K353" s="63">
        <f t="shared" si="9"/>
        <v>370320</v>
      </c>
    </row>
    <row r="354" spans="2:11" x14ac:dyDescent="0.25">
      <c r="B354" s="22" t="s">
        <v>2722</v>
      </c>
      <c r="C354" s="22" t="s">
        <v>2723</v>
      </c>
      <c r="D354" s="59">
        <v>240204</v>
      </c>
      <c r="E354" s="60" t="s">
        <v>1355</v>
      </c>
      <c r="F354" s="60" t="s">
        <v>2211</v>
      </c>
      <c r="G354" s="60" t="s">
        <v>2724</v>
      </c>
      <c r="H354" s="24" t="s">
        <v>1627</v>
      </c>
      <c r="I354" s="61">
        <v>2</v>
      </c>
      <c r="J354" s="62">
        <v>519.22</v>
      </c>
      <c r="K354" s="63">
        <f t="shared" si="9"/>
        <v>1038.44</v>
      </c>
    </row>
    <row r="355" spans="2:11" x14ac:dyDescent="0.25">
      <c r="B355" s="22" t="s">
        <v>2725</v>
      </c>
      <c r="C355" s="22" t="s">
        <v>2726</v>
      </c>
      <c r="D355" s="59">
        <v>240308</v>
      </c>
      <c r="E355" s="60" t="s">
        <v>1355</v>
      </c>
      <c r="F355" s="60" t="s">
        <v>2211</v>
      </c>
      <c r="G355" s="60" t="s">
        <v>2727</v>
      </c>
      <c r="H355" s="18" t="s">
        <v>1361</v>
      </c>
      <c r="I355" s="61">
        <v>12</v>
      </c>
      <c r="J355" s="62">
        <v>844.02</v>
      </c>
      <c r="K355" s="63">
        <f t="shared" ref="K355:K387" si="10">I355*J355</f>
        <v>10128.24</v>
      </c>
    </row>
    <row r="356" spans="2:11" x14ac:dyDescent="0.25">
      <c r="B356" s="22" t="s">
        <v>2728</v>
      </c>
      <c r="C356" s="22" t="s">
        <v>2729</v>
      </c>
      <c r="D356" s="59">
        <v>240310</v>
      </c>
      <c r="E356" s="60" t="s">
        <v>1355</v>
      </c>
      <c r="F356" s="60" t="s">
        <v>2211</v>
      </c>
      <c r="G356" s="60" t="s">
        <v>2730</v>
      </c>
      <c r="H356" s="24" t="s">
        <v>1627</v>
      </c>
      <c r="I356" s="61">
        <v>4</v>
      </c>
      <c r="J356" s="62">
        <v>1167.5899999999999</v>
      </c>
      <c r="K356" s="63">
        <f t="shared" si="10"/>
        <v>4670.3599999999997</v>
      </c>
    </row>
    <row r="357" spans="2:11" x14ac:dyDescent="0.25">
      <c r="B357" s="22" t="s">
        <v>2731</v>
      </c>
      <c r="C357" s="22" t="s">
        <v>2732</v>
      </c>
      <c r="D357" s="59">
        <v>321704</v>
      </c>
      <c r="E357" s="60" t="s">
        <v>1355</v>
      </c>
      <c r="F357" s="60" t="s">
        <v>2211</v>
      </c>
      <c r="G357" s="60" t="s">
        <v>2733</v>
      </c>
      <c r="H357" s="24" t="s">
        <v>1383</v>
      </c>
      <c r="I357" s="61">
        <v>155.46</v>
      </c>
      <c r="J357" s="62">
        <v>36.630000000000003</v>
      </c>
      <c r="K357" s="63">
        <f t="shared" si="10"/>
        <v>5694.4998000000005</v>
      </c>
    </row>
    <row r="358" spans="2:11" x14ac:dyDescent="0.25">
      <c r="B358" s="22" t="s">
        <v>2734</v>
      </c>
      <c r="C358" s="22" t="s">
        <v>2735</v>
      </c>
      <c r="D358" s="59">
        <v>460305</v>
      </c>
      <c r="E358" s="60" t="s">
        <v>1355</v>
      </c>
      <c r="F358" s="60" t="s">
        <v>2211</v>
      </c>
      <c r="G358" s="60" t="s">
        <v>2736</v>
      </c>
      <c r="H358" s="18" t="s">
        <v>1361</v>
      </c>
      <c r="I358" s="61">
        <v>96</v>
      </c>
      <c r="J358" s="62">
        <v>62.38</v>
      </c>
      <c r="K358" s="63">
        <f t="shared" si="10"/>
        <v>5988.4800000000005</v>
      </c>
    </row>
    <row r="359" spans="2:11" x14ac:dyDescent="0.25">
      <c r="B359" s="22" t="s">
        <v>2737</v>
      </c>
      <c r="C359" s="22" t="s">
        <v>2738</v>
      </c>
      <c r="D359" s="59">
        <v>540713</v>
      </c>
      <c r="E359" s="60" t="s">
        <v>1355</v>
      </c>
      <c r="F359" s="60" t="s">
        <v>2211</v>
      </c>
      <c r="G359" s="60" t="s">
        <v>2739</v>
      </c>
      <c r="H359" s="24" t="s">
        <v>1383</v>
      </c>
      <c r="I359" s="61">
        <v>393.08</v>
      </c>
      <c r="J359" s="62">
        <v>63.25</v>
      </c>
      <c r="K359" s="63">
        <f t="shared" si="10"/>
        <v>24862.309999999998</v>
      </c>
    </row>
    <row r="360" spans="2:11" x14ac:dyDescent="0.25">
      <c r="B360" s="22" t="s">
        <v>2740</v>
      </c>
      <c r="C360" s="22" t="s">
        <v>2741</v>
      </c>
      <c r="D360" s="59" t="s">
        <v>2742</v>
      </c>
      <c r="E360" s="60" t="s">
        <v>1355</v>
      </c>
      <c r="F360" s="60" t="s">
        <v>2211</v>
      </c>
      <c r="G360" s="60" t="s">
        <v>2743</v>
      </c>
      <c r="H360" s="24" t="s">
        <v>1383</v>
      </c>
      <c r="I360" s="61">
        <v>700</v>
      </c>
      <c r="J360" s="62">
        <v>62.22</v>
      </c>
      <c r="K360" s="63">
        <f t="shared" si="10"/>
        <v>43554</v>
      </c>
    </row>
    <row r="361" spans="2:11" x14ac:dyDescent="0.25">
      <c r="B361" s="22" t="s">
        <v>2744</v>
      </c>
      <c r="C361" s="22" t="s">
        <v>2745</v>
      </c>
      <c r="D361" s="59" t="s">
        <v>2746</v>
      </c>
      <c r="E361" s="60" t="s">
        <v>1355</v>
      </c>
      <c r="F361" s="60" t="s">
        <v>2211</v>
      </c>
      <c r="G361" s="60" t="s">
        <v>2747</v>
      </c>
      <c r="H361" s="24" t="s">
        <v>1383</v>
      </c>
      <c r="I361" s="61">
        <v>200</v>
      </c>
      <c r="J361" s="62">
        <v>164.7</v>
      </c>
      <c r="K361" s="63">
        <f t="shared" si="10"/>
        <v>32940</v>
      </c>
    </row>
    <row r="362" spans="2:11" x14ac:dyDescent="0.25">
      <c r="B362" s="22" t="s">
        <v>2748</v>
      </c>
      <c r="C362" s="22" t="s">
        <v>2749</v>
      </c>
      <c r="D362" s="59" t="s">
        <v>2750</v>
      </c>
      <c r="E362" s="60" t="s">
        <v>1355</v>
      </c>
      <c r="F362" s="60" t="s">
        <v>2211</v>
      </c>
      <c r="G362" s="60" t="s">
        <v>2751</v>
      </c>
      <c r="H362" s="24" t="s">
        <v>1383</v>
      </c>
      <c r="I362" s="61">
        <v>2682.36</v>
      </c>
      <c r="J362" s="62">
        <v>18.5</v>
      </c>
      <c r="K362" s="63">
        <f t="shared" si="10"/>
        <v>49623.66</v>
      </c>
    </row>
    <row r="363" spans="2:11" x14ac:dyDescent="0.25">
      <c r="B363" s="22" t="s">
        <v>2752</v>
      </c>
      <c r="C363" s="22" t="s">
        <v>2753</v>
      </c>
      <c r="D363" s="59" t="s">
        <v>2754</v>
      </c>
      <c r="E363" s="60" t="s">
        <v>1355</v>
      </c>
      <c r="F363" s="60" t="s">
        <v>2211</v>
      </c>
      <c r="G363" s="60" t="s">
        <v>2755</v>
      </c>
      <c r="H363" s="24" t="s">
        <v>1627</v>
      </c>
      <c r="I363" s="61">
        <v>2</v>
      </c>
      <c r="J363" s="62">
        <v>8320.34</v>
      </c>
      <c r="K363" s="63">
        <f t="shared" si="10"/>
        <v>16640.68</v>
      </c>
    </row>
    <row r="364" spans="2:11" x14ac:dyDescent="0.25">
      <c r="B364" s="22" t="s">
        <v>2756</v>
      </c>
      <c r="C364" s="22" t="s">
        <v>2757</v>
      </c>
      <c r="D364" s="59" t="s">
        <v>2758</v>
      </c>
      <c r="E364" s="60" t="s">
        <v>1355</v>
      </c>
      <c r="F364" s="60" t="s">
        <v>2211</v>
      </c>
      <c r="G364" s="60" t="s">
        <v>2759</v>
      </c>
      <c r="H364" s="24" t="s">
        <v>1627</v>
      </c>
      <c r="I364" s="61">
        <v>12</v>
      </c>
      <c r="J364" s="62">
        <v>525150</v>
      </c>
      <c r="K364" s="63">
        <f t="shared" si="10"/>
        <v>6301800</v>
      </c>
    </row>
    <row r="365" spans="2:11" x14ac:dyDescent="0.25">
      <c r="B365" s="22" t="s">
        <v>2760</v>
      </c>
      <c r="C365" s="22" t="s">
        <v>2761</v>
      </c>
      <c r="D365" s="59" t="s">
        <v>2762</v>
      </c>
      <c r="E365" s="60" t="s">
        <v>1355</v>
      </c>
      <c r="F365" s="60" t="s">
        <v>2211</v>
      </c>
      <c r="G365" s="60" t="s">
        <v>2763</v>
      </c>
      <c r="H365" s="60" t="s">
        <v>2764</v>
      </c>
      <c r="I365" s="61">
        <v>8</v>
      </c>
      <c r="J365" s="62">
        <v>282.29000000000002</v>
      </c>
      <c r="K365" s="63">
        <f t="shared" si="10"/>
        <v>2258.3200000000002</v>
      </c>
    </row>
    <row r="366" spans="2:11" x14ac:dyDescent="0.25">
      <c r="B366" s="22" t="s">
        <v>2765</v>
      </c>
      <c r="C366" s="22" t="s">
        <v>2766</v>
      </c>
      <c r="D366" s="59" t="s">
        <v>2767</v>
      </c>
      <c r="E366" s="60" t="s">
        <v>1355</v>
      </c>
      <c r="F366" s="60" t="s">
        <v>2211</v>
      </c>
      <c r="G366" s="60" t="s">
        <v>2768</v>
      </c>
      <c r="H366" s="18" t="s">
        <v>1361</v>
      </c>
      <c r="I366" s="61">
        <v>258</v>
      </c>
      <c r="J366" s="62">
        <v>432.08</v>
      </c>
      <c r="K366" s="63">
        <f t="shared" si="10"/>
        <v>111476.64</v>
      </c>
    </row>
    <row r="367" spans="2:11" x14ac:dyDescent="0.25">
      <c r="B367" s="22" t="s">
        <v>2769</v>
      </c>
      <c r="C367" s="22" t="s">
        <v>2770</v>
      </c>
      <c r="D367" s="59" t="s">
        <v>2771</v>
      </c>
      <c r="E367" s="60" t="s">
        <v>1355</v>
      </c>
      <c r="F367" s="60" t="s">
        <v>2211</v>
      </c>
      <c r="G367" s="60" t="s">
        <v>2772</v>
      </c>
      <c r="H367" s="24" t="s">
        <v>1383</v>
      </c>
      <c r="I367" s="61">
        <v>85</v>
      </c>
      <c r="J367" s="62">
        <v>31.37</v>
      </c>
      <c r="K367" s="63">
        <f t="shared" si="10"/>
        <v>2666.4500000000003</v>
      </c>
    </row>
    <row r="368" spans="2:11" x14ac:dyDescent="0.25">
      <c r="B368" s="22" t="s">
        <v>2773</v>
      </c>
      <c r="C368" s="22" t="s">
        <v>2774</v>
      </c>
      <c r="D368" s="59" t="s">
        <v>2775</v>
      </c>
      <c r="E368" s="60" t="s">
        <v>1355</v>
      </c>
      <c r="F368" s="60" t="s">
        <v>2211</v>
      </c>
      <c r="G368" s="60" t="s">
        <v>1536</v>
      </c>
      <c r="H368" s="24" t="s">
        <v>1374</v>
      </c>
      <c r="I368" s="61">
        <v>96042.36</v>
      </c>
      <c r="J368" s="62">
        <v>10.92</v>
      </c>
      <c r="K368" s="63">
        <f t="shared" si="10"/>
        <v>1048782.5711999999</v>
      </c>
    </row>
    <row r="369" spans="2:11" x14ac:dyDescent="0.25">
      <c r="B369" s="22" t="s">
        <v>2776</v>
      </c>
      <c r="C369" s="22" t="s">
        <v>2777</v>
      </c>
      <c r="D369" s="59" t="s">
        <v>2778</v>
      </c>
      <c r="E369" s="60" t="s">
        <v>1355</v>
      </c>
      <c r="F369" s="60" t="s">
        <v>2211</v>
      </c>
      <c r="G369" s="60" t="s">
        <v>1552</v>
      </c>
      <c r="H369" s="24" t="s">
        <v>1383</v>
      </c>
      <c r="I369" s="61">
        <v>42010.74</v>
      </c>
      <c r="J369" s="62">
        <v>80.069999999999993</v>
      </c>
      <c r="K369" s="63">
        <f t="shared" si="10"/>
        <v>3363799.9517999995</v>
      </c>
    </row>
    <row r="370" spans="2:11" x14ac:dyDescent="0.25">
      <c r="B370" s="22" t="s">
        <v>2779</v>
      </c>
      <c r="C370" s="22" t="s">
        <v>2780</v>
      </c>
      <c r="D370" s="59" t="s">
        <v>2781</v>
      </c>
      <c r="E370" s="60" t="s">
        <v>1355</v>
      </c>
      <c r="F370" s="60" t="s">
        <v>2211</v>
      </c>
      <c r="G370" s="60" t="s">
        <v>1556</v>
      </c>
      <c r="H370" s="24" t="s">
        <v>1557</v>
      </c>
      <c r="I370" s="61">
        <v>4166324.98</v>
      </c>
      <c r="J370" s="62">
        <v>8.52</v>
      </c>
      <c r="K370" s="63">
        <f t="shared" si="10"/>
        <v>35497088.829599999</v>
      </c>
    </row>
    <row r="371" spans="2:11" x14ac:dyDescent="0.25">
      <c r="B371" s="22" t="s">
        <v>2782</v>
      </c>
      <c r="C371" s="22" t="s">
        <v>2783</v>
      </c>
      <c r="D371" s="59" t="s">
        <v>2784</v>
      </c>
      <c r="E371" s="60" t="s">
        <v>1355</v>
      </c>
      <c r="F371" s="60" t="s">
        <v>2211</v>
      </c>
      <c r="G371" s="60" t="s">
        <v>1561</v>
      </c>
      <c r="H371" s="24" t="s">
        <v>1374</v>
      </c>
      <c r="I371" s="61">
        <v>759.98</v>
      </c>
      <c r="J371" s="62">
        <v>386.3</v>
      </c>
      <c r="K371" s="63">
        <f t="shared" si="10"/>
        <v>293580.27400000003</v>
      </c>
    </row>
    <row r="372" spans="2:11" x14ac:dyDescent="0.25">
      <c r="B372" s="22" t="s">
        <v>2785</v>
      </c>
      <c r="C372" s="22" t="s">
        <v>2786</v>
      </c>
      <c r="D372" s="59" t="s">
        <v>2787</v>
      </c>
      <c r="E372" s="60" t="s">
        <v>1355</v>
      </c>
      <c r="F372" s="60" t="s">
        <v>2211</v>
      </c>
      <c r="G372" s="60" t="s">
        <v>1881</v>
      </c>
      <c r="H372" s="24" t="s">
        <v>1374</v>
      </c>
      <c r="I372" s="61">
        <v>5542.88</v>
      </c>
      <c r="J372" s="62">
        <v>483.41</v>
      </c>
      <c r="K372" s="63">
        <f t="shared" si="10"/>
        <v>2679483.6208000001</v>
      </c>
    </row>
    <row r="373" spans="2:11" x14ac:dyDescent="0.25">
      <c r="B373" s="22" t="s">
        <v>2788</v>
      </c>
      <c r="C373" s="22" t="s">
        <v>2789</v>
      </c>
      <c r="D373" s="59" t="s">
        <v>2790</v>
      </c>
      <c r="E373" s="60" t="s">
        <v>1355</v>
      </c>
      <c r="F373" s="60" t="s">
        <v>2211</v>
      </c>
      <c r="G373" s="60" t="s">
        <v>1889</v>
      </c>
      <c r="H373" s="24" t="s">
        <v>1374</v>
      </c>
      <c r="I373" s="61">
        <v>26659.64</v>
      </c>
      <c r="J373" s="62">
        <v>493.31</v>
      </c>
      <c r="K373" s="63">
        <f t="shared" si="10"/>
        <v>13151467.008400001</v>
      </c>
    </row>
    <row r="374" spans="2:11" x14ac:dyDescent="0.25">
      <c r="B374" s="22" t="s">
        <v>2791</v>
      </c>
      <c r="C374" s="22" t="s">
        <v>2792</v>
      </c>
      <c r="D374" s="59" t="s">
        <v>2793</v>
      </c>
      <c r="E374" s="60" t="s">
        <v>1355</v>
      </c>
      <c r="F374" s="60" t="s">
        <v>2211</v>
      </c>
      <c r="G374" s="60" t="s">
        <v>1585</v>
      </c>
      <c r="H374" s="24" t="s">
        <v>1383</v>
      </c>
      <c r="I374" s="61">
        <v>365.59</v>
      </c>
      <c r="J374" s="62">
        <v>34.409999999999997</v>
      </c>
      <c r="K374" s="63">
        <f t="shared" si="10"/>
        <v>12579.951899999998</v>
      </c>
    </row>
    <row r="375" spans="2:11" x14ac:dyDescent="0.25">
      <c r="B375" s="22" t="s">
        <v>2794</v>
      </c>
      <c r="C375" s="22" t="s">
        <v>2795</v>
      </c>
      <c r="D375" s="59" t="s">
        <v>2796</v>
      </c>
      <c r="E375" s="60" t="s">
        <v>1355</v>
      </c>
      <c r="F375" s="60" t="s">
        <v>2211</v>
      </c>
      <c r="G375" s="60" t="s">
        <v>1593</v>
      </c>
      <c r="H375" s="24" t="s">
        <v>1374</v>
      </c>
      <c r="I375" s="61">
        <v>697.6</v>
      </c>
      <c r="J375" s="62">
        <v>24.16</v>
      </c>
      <c r="K375" s="63">
        <f t="shared" si="10"/>
        <v>16854.016</v>
      </c>
    </row>
    <row r="376" spans="2:11" x14ac:dyDescent="0.25">
      <c r="B376" s="22" t="s">
        <v>2797</v>
      </c>
      <c r="C376" s="22" t="s">
        <v>2798</v>
      </c>
      <c r="D376" s="59" t="s">
        <v>2799</v>
      </c>
      <c r="E376" s="60" t="s">
        <v>1355</v>
      </c>
      <c r="F376" s="60" t="s">
        <v>2211</v>
      </c>
      <c r="G376" s="60" t="s">
        <v>2800</v>
      </c>
      <c r="H376" s="24" t="s">
        <v>1383</v>
      </c>
      <c r="I376" s="61">
        <v>1382.74</v>
      </c>
      <c r="J376" s="62">
        <v>87.57</v>
      </c>
      <c r="K376" s="63">
        <f t="shared" si="10"/>
        <v>121086.54179999999</v>
      </c>
    </row>
    <row r="377" spans="2:11" x14ac:dyDescent="0.25">
      <c r="B377" s="22" t="s">
        <v>2801</v>
      </c>
      <c r="C377" s="22" t="s">
        <v>2802</v>
      </c>
      <c r="D377" s="59" t="s">
        <v>2803</v>
      </c>
      <c r="E377" s="60" t="s">
        <v>1355</v>
      </c>
      <c r="F377" s="60" t="s">
        <v>2211</v>
      </c>
      <c r="G377" s="60" t="s">
        <v>2804</v>
      </c>
      <c r="H377" s="24" t="s">
        <v>1383</v>
      </c>
      <c r="I377" s="61">
        <v>628.91</v>
      </c>
      <c r="J377" s="62">
        <v>86.79</v>
      </c>
      <c r="K377" s="63">
        <f t="shared" si="10"/>
        <v>54583.098900000005</v>
      </c>
    </row>
    <row r="378" spans="2:11" x14ac:dyDescent="0.25">
      <c r="B378" s="22" t="s">
        <v>2805</v>
      </c>
      <c r="C378" s="22" t="s">
        <v>2806</v>
      </c>
      <c r="D378" s="59" t="s">
        <v>2807</v>
      </c>
      <c r="E378" s="60" t="s">
        <v>1355</v>
      </c>
      <c r="F378" s="60" t="s">
        <v>2211</v>
      </c>
      <c r="G378" s="60" t="s">
        <v>2808</v>
      </c>
      <c r="H378" s="18" t="s">
        <v>1361</v>
      </c>
      <c r="I378" s="61">
        <v>38</v>
      </c>
      <c r="J378" s="62">
        <v>88.2</v>
      </c>
      <c r="K378" s="63">
        <f t="shared" si="10"/>
        <v>3351.6</v>
      </c>
    </row>
    <row r="379" spans="2:11" x14ac:dyDescent="0.25">
      <c r="B379" s="22" t="s">
        <v>2809</v>
      </c>
      <c r="C379" s="22" t="s">
        <v>2810</v>
      </c>
      <c r="D379" s="59" t="s">
        <v>2811</v>
      </c>
      <c r="E379" s="60" t="s">
        <v>1355</v>
      </c>
      <c r="F379" s="60" t="s">
        <v>2211</v>
      </c>
      <c r="G379" s="60" t="s">
        <v>2812</v>
      </c>
      <c r="H379" s="24" t="s">
        <v>1557</v>
      </c>
      <c r="I379" s="61">
        <v>1012428</v>
      </c>
      <c r="J379" s="62">
        <v>9.17</v>
      </c>
      <c r="K379" s="63">
        <f t="shared" si="10"/>
        <v>9283964.7599999998</v>
      </c>
    </row>
    <row r="380" spans="2:11" x14ac:dyDescent="0.25">
      <c r="B380" s="22" t="s">
        <v>2813</v>
      </c>
      <c r="C380" s="22" t="s">
        <v>2814</v>
      </c>
      <c r="D380" s="59" t="s">
        <v>2815</v>
      </c>
      <c r="E380" s="60" t="s">
        <v>1355</v>
      </c>
      <c r="F380" s="60" t="s">
        <v>2211</v>
      </c>
      <c r="G380" s="60" t="s">
        <v>2816</v>
      </c>
      <c r="H380" s="24" t="s">
        <v>1374</v>
      </c>
      <c r="I380" s="61">
        <v>4301.74</v>
      </c>
      <c r="J380" s="62">
        <v>885.01</v>
      </c>
      <c r="K380" s="63">
        <f t="shared" si="10"/>
        <v>3807082.9173999997</v>
      </c>
    </row>
    <row r="381" spans="2:11" x14ac:dyDescent="0.25">
      <c r="B381" s="22" t="s">
        <v>2817</v>
      </c>
      <c r="C381" s="22" t="s">
        <v>2818</v>
      </c>
      <c r="D381" s="59" t="s">
        <v>2819</v>
      </c>
      <c r="E381" s="60" t="s">
        <v>1355</v>
      </c>
      <c r="F381" s="60" t="s">
        <v>2211</v>
      </c>
      <c r="G381" s="60" t="s">
        <v>1784</v>
      </c>
      <c r="H381" s="18" t="s">
        <v>1361</v>
      </c>
      <c r="I381" s="61">
        <v>3876</v>
      </c>
      <c r="J381" s="62">
        <v>49.95</v>
      </c>
      <c r="K381" s="63">
        <f t="shared" si="10"/>
        <v>193606.2</v>
      </c>
    </row>
    <row r="382" spans="2:11" x14ac:dyDescent="0.25">
      <c r="B382" s="22" t="s">
        <v>2820</v>
      </c>
      <c r="C382" s="22" t="s">
        <v>2821</v>
      </c>
      <c r="D382" s="59" t="s">
        <v>2822</v>
      </c>
      <c r="E382" s="60" t="s">
        <v>1355</v>
      </c>
      <c r="F382" s="60" t="s">
        <v>2211</v>
      </c>
      <c r="G382" s="60" t="s">
        <v>1788</v>
      </c>
      <c r="H382" s="18" t="s">
        <v>1361</v>
      </c>
      <c r="I382" s="61">
        <v>3876</v>
      </c>
      <c r="J382" s="62">
        <v>618.6</v>
      </c>
      <c r="K382" s="63">
        <f t="shared" si="10"/>
        <v>2397693.6</v>
      </c>
    </row>
    <row r="383" spans="2:11" x14ac:dyDescent="0.25">
      <c r="B383" s="22" t="s">
        <v>2823</v>
      </c>
      <c r="C383" s="22" t="s">
        <v>2824</v>
      </c>
      <c r="D383" s="59" t="s">
        <v>2825</v>
      </c>
      <c r="E383" s="60" t="s">
        <v>1355</v>
      </c>
      <c r="F383" s="60" t="s">
        <v>2211</v>
      </c>
      <c r="G383" s="60" t="s">
        <v>2826</v>
      </c>
      <c r="H383" s="24" t="s">
        <v>1557</v>
      </c>
      <c r="I383" s="61">
        <v>240000</v>
      </c>
      <c r="J383" s="62">
        <v>4.9800000000000004</v>
      </c>
      <c r="K383" s="63">
        <f t="shared" si="10"/>
        <v>1195200</v>
      </c>
    </row>
    <row r="384" spans="2:11" x14ac:dyDescent="0.25">
      <c r="B384" s="22" t="s">
        <v>2827</v>
      </c>
      <c r="C384" s="22" t="s">
        <v>2828</v>
      </c>
      <c r="D384" s="59" t="s">
        <v>2829</v>
      </c>
      <c r="E384" s="60" t="s">
        <v>1355</v>
      </c>
      <c r="F384" s="60" t="s">
        <v>2211</v>
      </c>
      <c r="G384" s="60" t="s">
        <v>2830</v>
      </c>
      <c r="H384" s="24" t="s">
        <v>1557</v>
      </c>
      <c r="I384" s="61">
        <v>240000</v>
      </c>
      <c r="J384" s="62">
        <v>1.67</v>
      </c>
      <c r="K384" s="63">
        <f t="shared" si="10"/>
        <v>400800</v>
      </c>
    </row>
    <row r="385" spans="2:11" x14ac:dyDescent="0.25">
      <c r="B385" s="22" t="s">
        <v>2831</v>
      </c>
      <c r="C385" s="22" t="s">
        <v>2832</v>
      </c>
      <c r="D385" s="59" t="s">
        <v>2833</v>
      </c>
      <c r="E385" s="60" t="s">
        <v>1355</v>
      </c>
      <c r="F385" s="60" t="s">
        <v>2211</v>
      </c>
      <c r="G385" s="60" t="s">
        <v>2834</v>
      </c>
      <c r="H385" s="24" t="s">
        <v>1383</v>
      </c>
      <c r="I385" s="61">
        <v>7750</v>
      </c>
      <c r="J385" s="62">
        <v>240.45</v>
      </c>
      <c r="K385" s="63">
        <f t="shared" si="10"/>
        <v>1863487.5</v>
      </c>
    </row>
    <row r="386" spans="2:11" x14ac:dyDescent="0.25">
      <c r="B386" s="22" t="s">
        <v>2835</v>
      </c>
      <c r="C386" s="22" t="s">
        <v>2836</v>
      </c>
      <c r="D386" s="59"/>
      <c r="E386" s="60" t="s">
        <v>1355</v>
      </c>
      <c r="F386" s="60" t="s">
        <v>2211</v>
      </c>
      <c r="G386" s="60" t="s">
        <v>2837</v>
      </c>
      <c r="H386" s="18" t="s">
        <v>1361</v>
      </c>
      <c r="I386" s="61">
        <v>3600</v>
      </c>
      <c r="J386" s="62">
        <v>200</v>
      </c>
      <c r="K386" s="63">
        <f t="shared" si="10"/>
        <v>720000</v>
      </c>
    </row>
    <row r="387" spans="2:11" ht="13.5" thickBot="1" x14ac:dyDescent="0.3">
      <c r="B387" s="22" t="s">
        <v>2838</v>
      </c>
      <c r="C387" s="28" t="s">
        <v>2839</v>
      </c>
      <c r="D387" s="66" t="s">
        <v>2840</v>
      </c>
      <c r="E387" s="67" t="s">
        <v>1355</v>
      </c>
      <c r="F387" s="67" t="s">
        <v>2211</v>
      </c>
      <c r="G387" s="67" t="s">
        <v>2841</v>
      </c>
      <c r="H387" s="24" t="s">
        <v>1557</v>
      </c>
      <c r="I387" s="68">
        <v>4366</v>
      </c>
      <c r="J387" s="69">
        <v>25.15</v>
      </c>
      <c r="K387" s="70">
        <f t="shared" si="10"/>
        <v>109804.9</v>
      </c>
    </row>
    <row r="388" spans="2:11" ht="13.5" thickBot="1" x14ac:dyDescent="0.3">
      <c r="B388" s="22" t="s">
        <v>2842</v>
      </c>
      <c r="C388" s="34">
        <v>12</v>
      </c>
      <c r="D388" s="52"/>
      <c r="E388" s="36" t="s">
        <v>1355</v>
      </c>
      <c r="F388" s="36" t="s">
        <v>2843</v>
      </c>
      <c r="G388" s="36" t="s">
        <v>1528</v>
      </c>
      <c r="H388" s="36"/>
      <c r="I388" s="37"/>
      <c r="J388" s="38"/>
      <c r="K388" s="39"/>
    </row>
    <row r="389" spans="2:11" x14ac:dyDescent="0.25">
      <c r="B389" s="22" t="s">
        <v>2844</v>
      </c>
      <c r="C389" s="40" t="s">
        <v>2845</v>
      </c>
      <c r="D389" s="17"/>
      <c r="E389" s="18" t="s">
        <v>1355</v>
      </c>
      <c r="F389" s="18" t="s">
        <v>2843</v>
      </c>
      <c r="G389" s="18" t="s">
        <v>2846</v>
      </c>
      <c r="H389" s="60" t="s">
        <v>2764</v>
      </c>
      <c r="I389" s="41">
        <v>7</v>
      </c>
      <c r="J389" s="42">
        <v>43351.4</v>
      </c>
      <c r="K389" s="43">
        <f>I389*J389</f>
        <v>303459.8</v>
      </c>
    </row>
    <row r="390" spans="2:11" x14ac:dyDescent="0.25">
      <c r="B390" s="22" t="s">
        <v>2847</v>
      </c>
      <c r="C390" s="44" t="s">
        <v>2848</v>
      </c>
      <c r="D390" s="23" t="s">
        <v>2849</v>
      </c>
      <c r="E390" s="24" t="s">
        <v>1355</v>
      </c>
      <c r="F390" s="24" t="s">
        <v>2843</v>
      </c>
      <c r="G390" s="24" t="s">
        <v>2850</v>
      </c>
      <c r="H390" s="18" t="s">
        <v>1361</v>
      </c>
      <c r="I390" s="45">
        <v>1340</v>
      </c>
      <c r="J390" s="46">
        <v>21.34</v>
      </c>
      <c r="K390" s="47">
        <f t="shared" ref="K390:K453" si="11">I390*J390</f>
        <v>28595.599999999999</v>
      </c>
    </row>
    <row r="391" spans="2:11" x14ac:dyDescent="0.25">
      <c r="B391" s="22" t="s">
        <v>2851</v>
      </c>
      <c r="C391" s="44" t="s">
        <v>2852</v>
      </c>
      <c r="D391" s="23" t="s">
        <v>2853</v>
      </c>
      <c r="E391" s="24" t="s">
        <v>1355</v>
      </c>
      <c r="F391" s="24" t="s">
        <v>2843</v>
      </c>
      <c r="G391" s="24" t="s">
        <v>2854</v>
      </c>
      <c r="H391" s="18" t="s">
        <v>1361</v>
      </c>
      <c r="I391" s="45">
        <v>170</v>
      </c>
      <c r="J391" s="46">
        <v>8.19</v>
      </c>
      <c r="K391" s="47">
        <f t="shared" si="11"/>
        <v>1392.3</v>
      </c>
    </row>
    <row r="392" spans="2:11" x14ac:dyDescent="0.25">
      <c r="B392" s="22" t="s">
        <v>2855</v>
      </c>
      <c r="C392" s="44" t="s">
        <v>2856</v>
      </c>
      <c r="D392" s="17"/>
      <c r="E392" s="24" t="s">
        <v>1355</v>
      </c>
      <c r="F392" s="24" t="s">
        <v>2843</v>
      </c>
      <c r="G392" s="24" t="s">
        <v>2857</v>
      </c>
      <c r="H392" s="60" t="s">
        <v>2764</v>
      </c>
      <c r="I392" s="45">
        <v>7</v>
      </c>
      <c r="J392" s="46">
        <v>113.58</v>
      </c>
      <c r="K392" s="47">
        <f t="shared" si="11"/>
        <v>795.06</v>
      </c>
    </row>
    <row r="393" spans="2:11" x14ac:dyDescent="0.25">
      <c r="B393" s="22" t="s">
        <v>2858</v>
      </c>
      <c r="C393" s="44" t="s">
        <v>2859</v>
      </c>
      <c r="D393" s="23" t="s">
        <v>2860</v>
      </c>
      <c r="E393" s="24" t="s">
        <v>1355</v>
      </c>
      <c r="F393" s="24" t="s">
        <v>2843</v>
      </c>
      <c r="G393" s="24" t="s">
        <v>2861</v>
      </c>
      <c r="H393" s="18" t="s">
        <v>1361</v>
      </c>
      <c r="I393" s="45">
        <v>2720</v>
      </c>
      <c r="J393" s="46">
        <v>8.6</v>
      </c>
      <c r="K393" s="47">
        <f t="shared" si="11"/>
        <v>23392</v>
      </c>
    </row>
    <row r="394" spans="2:11" x14ac:dyDescent="0.25">
      <c r="B394" s="22" t="s">
        <v>2862</v>
      </c>
      <c r="C394" s="44" t="s">
        <v>2863</v>
      </c>
      <c r="D394" s="23" t="s">
        <v>2864</v>
      </c>
      <c r="E394" s="24" t="s">
        <v>1355</v>
      </c>
      <c r="F394" s="24" t="s">
        <v>2843</v>
      </c>
      <c r="G394" s="24" t="s">
        <v>2865</v>
      </c>
      <c r="H394" s="18" t="s">
        <v>1361</v>
      </c>
      <c r="I394" s="45">
        <v>500</v>
      </c>
      <c r="J394" s="46">
        <v>74.709999999999994</v>
      </c>
      <c r="K394" s="47">
        <f t="shared" si="11"/>
        <v>37355</v>
      </c>
    </row>
    <row r="395" spans="2:11" x14ac:dyDescent="0.25">
      <c r="B395" s="22" t="s">
        <v>2866</v>
      </c>
      <c r="C395" s="44" t="s">
        <v>2867</v>
      </c>
      <c r="D395" s="23" t="s">
        <v>2868</v>
      </c>
      <c r="E395" s="24" t="s">
        <v>1355</v>
      </c>
      <c r="F395" s="24" t="s">
        <v>2843</v>
      </c>
      <c r="G395" s="24" t="s">
        <v>2869</v>
      </c>
      <c r="H395" s="18" t="s">
        <v>1361</v>
      </c>
      <c r="I395" s="45">
        <v>3200</v>
      </c>
      <c r="J395" s="46">
        <v>11.61</v>
      </c>
      <c r="K395" s="47">
        <f t="shared" si="11"/>
        <v>37152</v>
      </c>
    </row>
    <row r="396" spans="2:11" x14ac:dyDescent="0.25">
      <c r="B396" s="22" t="s">
        <v>2870</v>
      </c>
      <c r="C396" s="44" t="s">
        <v>2871</v>
      </c>
      <c r="D396" s="23" t="s">
        <v>2872</v>
      </c>
      <c r="E396" s="24" t="s">
        <v>1355</v>
      </c>
      <c r="F396" s="24" t="s">
        <v>2843</v>
      </c>
      <c r="G396" s="24" t="s">
        <v>2873</v>
      </c>
      <c r="H396" s="18" t="s">
        <v>1361</v>
      </c>
      <c r="I396" s="45">
        <v>860</v>
      </c>
      <c r="J396" s="46">
        <v>16.48</v>
      </c>
      <c r="K396" s="47">
        <f t="shared" si="11"/>
        <v>14172.800000000001</v>
      </c>
    </row>
    <row r="397" spans="2:11" x14ac:dyDescent="0.25">
      <c r="B397" s="22" t="s">
        <v>2874</v>
      </c>
      <c r="C397" s="44" t="s">
        <v>2875</v>
      </c>
      <c r="D397" s="23" t="s">
        <v>2876</v>
      </c>
      <c r="E397" s="24" t="s">
        <v>1355</v>
      </c>
      <c r="F397" s="24" t="s">
        <v>2843</v>
      </c>
      <c r="G397" s="24" t="s">
        <v>2877</v>
      </c>
      <c r="H397" s="18" t="s">
        <v>1361</v>
      </c>
      <c r="I397" s="45">
        <v>2610</v>
      </c>
      <c r="J397" s="46">
        <v>33.25</v>
      </c>
      <c r="K397" s="47">
        <f t="shared" si="11"/>
        <v>86782.5</v>
      </c>
    </row>
    <row r="398" spans="2:11" x14ac:dyDescent="0.25">
      <c r="B398" s="22" t="s">
        <v>2878</v>
      </c>
      <c r="C398" s="44" t="s">
        <v>2879</v>
      </c>
      <c r="D398" s="23" t="s">
        <v>2880</v>
      </c>
      <c r="E398" s="24" t="s">
        <v>1355</v>
      </c>
      <c r="F398" s="24" t="s">
        <v>2843</v>
      </c>
      <c r="G398" s="24" t="s">
        <v>2881</v>
      </c>
      <c r="H398" s="18" t="s">
        <v>1361</v>
      </c>
      <c r="I398" s="45">
        <v>80</v>
      </c>
      <c r="J398" s="46">
        <v>45.94</v>
      </c>
      <c r="K398" s="47">
        <f t="shared" si="11"/>
        <v>3675.2</v>
      </c>
    </row>
    <row r="399" spans="2:11" x14ac:dyDescent="0.25">
      <c r="B399" s="22" t="s">
        <v>2882</v>
      </c>
      <c r="C399" s="44" t="s">
        <v>2883</v>
      </c>
      <c r="D399" s="23" t="s">
        <v>2884</v>
      </c>
      <c r="E399" s="24" t="s">
        <v>1355</v>
      </c>
      <c r="F399" s="24" t="s">
        <v>2843</v>
      </c>
      <c r="G399" s="24" t="s">
        <v>2885</v>
      </c>
      <c r="H399" s="18" t="s">
        <v>1361</v>
      </c>
      <c r="I399" s="45">
        <v>320</v>
      </c>
      <c r="J399" s="46">
        <v>8.2899999999999991</v>
      </c>
      <c r="K399" s="47">
        <f t="shared" si="11"/>
        <v>2652.7999999999997</v>
      </c>
    </row>
    <row r="400" spans="2:11" x14ac:dyDescent="0.25">
      <c r="B400" s="22" t="s">
        <v>2886</v>
      </c>
      <c r="C400" s="44" t="s">
        <v>2887</v>
      </c>
      <c r="D400" s="23" t="s">
        <v>2888</v>
      </c>
      <c r="E400" s="24" t="s">
        <v>1355</v>
      </c>
      <c r="F400" s="24" t="s">
        <v>2843</v>
      </c>
      <c r="G400" s="24" t="s">
        <v>2889</v>
      </c>
      <c r="H400" s="18" t="s">
        <v>1361</v>
      </c>
      <c r="I400" s="45">
        <v>1320</v>
      </c>
      <c r="J400" s="46">
        <v>73.599999999999994</v>
      </c>
      <c r="K400" s="47">
        <f t="shared" si="11"/>
        <v>97151.999999999985</v>
      </c>
    </row>
    <row r="401" spans="2:11" x14ac:dyDescent="0.25">
      <c r="B401" s="22" t="s">
        <v>2890</v>
      </c>
      <c r="C401" s="44" t="s">
        <v>2891</v>
      </c>
      <c r="D401" s="23" t="s">
        <v>2892</v>
      </c>
      <c r="E401" s="24" t="s">
        <v>1355</v>
      </c>
      <c r="F401" s="24" t="s">
        <v>2843</v>
      </c>
      <c r="G401" s="24" t="s">
        <v>2893</v>
      </c>
      <c r="H401" s="18" t="s">
        <v>1361</v>
      </c>
      <c r="I401" s="45">
        <v>200</v>
      </c>
      <c r="J401" s="46">
        <v>11.46</v>
      </c>
      <c r="K401" s="47">
        <f t="shared" si="11"/>
        <v>2292</v>
      </c>
    </row>
    <row r="402" spans="2:11" x14ac:dyDescent="0.25">
      <c r="B402" s="22" t="s">
        <v>2894</v>
      </c>
      <c r="C402" s="44" t="s">
        <v>2895</v>
      </c>
      <c r="D402" s="23" t="s">
        <v>2896</v>
      </c>
      <c r="E402" s="24" t="s">
        <v>1355</v>
      </c>
      <c r="F402" s="24" t="s">
        <v>2843</v>
      </c>
      <c r="G402" s="24" t="s">
        <v>2897</v>
      </c>
      <c r="H402" s="18" t="s">
        <v>1361</v>
      </c>
      <c r="I402" s="45">
        <v>800</v>
      </c>
      <c r="J402" s="46">
        <v>137.86000000000001</v>
      </c>
      <c r="K402" s="47">
        <f t="shared" si="11"/>
        <v>110288.00000000001</v>
      </c>
    </row>
    <row r="403" spans="2:11" x14ac:dyDescent="0.25">
      <c r="B403" s="22" t="s">
        <v>2898</v>
      </c>
      <c r="C403" s="44" t="s">
        <v>2899</v>
      </c>
      <c r="D403" s="23" t="s">
        <v>2900</v>
      </c>
      <c r="E403" s="24" t="s">
        <v>1355</v>
      </c>
      <c r="F403" s="24" t="s">
        <v>2843</v>
      </c>
      <c r="G403" s="24" t="s">
        <v>2901</v>
      </c>
      <c r="H403" s="18" t="s">
        <v>1361</v>
      </c>
      <c r="I403" s="45">
        <v>1500</v>
      </c>
      <c r="J403" s="46">
        <v>138.94</v>
      </c>
      <c r="K403" s="47">
        <f t="shared" si="11"/>
        <v>208410</v>
      </c>
    </row>
    <row r="404" spans="2:11" x14ac:dyDescent="0.25">
      <c r="B404" s="22" t="s">
        <v>2902</v>
      </c>
      <c r="C404" s="44" t="s">
        <v>2903</v>
      </c>
      <c r="D404" s="23" t="s">
        <v>2904</v>
      </c>
      <c r="E404" s="24" t="s">
        <v>1355</v>
      </c>
      <c r="F404" s="24" t="s">
        <v>2843</v>
      </c>
      <c r="G404" s="24" t="s">
        <v>2905</v>
      </c>
      <c r="H404" s="18" t="s">
        <v>1361</v>
      </c>
      <c r="I404" s="45">
        <v>400</v>
      </c>
      <c r="J404" s="46">
        <v>15.58</v>
      </c>
      <c r="K404" s="47">
        <f t="shared" si="11"/>
        <v>6232</v>
      </c>
    </row>
    <row r="405" spans="2:11" x14ac:dyDescent="0.25">
      <c r="B405" s="22" t="s">
        <v>2906</v>
      </c>
      <c r="C405" s="44" t="s">
        <v>2907</v>
      </c>
      <c r="D405" s="23" t="s">
        <v>2908</v>
      </c>
      <c r="E405" s="24" t="s">
        <v>1355</v>
      </c>
      <c r="F405" s="24" t="s">
        <v>2843</v>
      </c>
      <c r="G405" s="24" t="s">
        <v>2909</v>
      </c>
      <c r="H405" s="18" t="s">
        <v>1361</v>
      </c>
      <c r="I405" s="45">
        <v>1000</v>
      </c>
      <c r="J405" s="46">
        <v>24.06</v>
      </c>
      <c r="K405" s="47">
        <f t="shared" si="11"/>
        <v>24060</v>
      </c>
    </row>
    <row r="406" spans="2:11" x14ac:dyDescent="0.25">
      <c r="B406" s="22" t="s">
        <v>2910</v>
      </c>
      <c r="C406" s="44" t="s">
        <v>2911</v>
      </c>
      <c r="D406" s="23" t="s">
        <v>2912</v>
      </c>
      <c r="E406" s="24" t="s">
        <v>1355</v>
      </c>
      <c r="F406" s="24" t="s">
        <v>2843</v>
      </c>
      <c r="G406" s="24" t="s">
        <v>2913</v>
      </c>
      <c r="H406" s="18" t="s">
        <v>1361</v>
      </c>
      <c r="I406" s="45">
        <v>400</v>
      </c>
      <c r="J406" s="46">
        <v>21.99</v>
      </c>
      <c r="K406" s="47">
        <f t="shared" si="11"/>
        <v>8796</v>
      </c>
    </row>
    <row r="407" spans="2:11" x14ac:dyDescent="0.25">
      <c r="B407" s="22" t="s">
        <v>2914</v>
      </c>
      <c r="C407" s="44" t="s">
        <v>2915</v>
      </c>
      <c r="D407" s="23" t="s">
        <v>2916</v>
      </c>
      <c r="E407" s="24" t="s">
        <v>1355</v>
      </c>
      <c r="F407" s="24" t="s">
        <v>2843</v>
      </c>
      <c r="G407" s="24" t="s">
        <v>2917</v>
      </c>
      <c r="H407" s="18" t="s">
        <v>1361</v>
      </c>
      <c r="I407" s="45">
        <v>430</v>
      </c>
      <c r="J407" s="46">
        <v>31.12</v>
      </c>
      <c r="K407" s="47">
        <f t="shared" si="11"/>
        <v>13381.6</v>
      </c>
    </row>
    <row r="408" spans="2:11" x14ac:dyDescent="0.25">
      <c r="B408" s="22" t="s">
        <v>2918</v>
      </c>
      <c r="C408" s="44" t="s">
        <v>2919</v>
      </c>
      <c r="D408" s="23" t="s">
        <v>2920</v>
      </c>
      <c r="E408" s="24" t="s">
        <v>1355</v>
      </c>
      <c r="F408" s="24" t="s">
        <v>2843</v>
      </c>
      <c r="G408" s="24" t="s">
        <v>2921</v>
      </c>
      <c r="H408" s="18" t="s">
        <v>1361</v>
      </c>
      <c r="I408" s="45">
        <v>430</v>
      </c>
      <c r="J408" s="46">
        <v>54.57</v>
      </c>
      <c r="K408" s="47">
        <f t="shared" si="11"/>
        <v>23465.1</v>
      </c>
    </row>
    <row r="409" spans="2:11" x14ac:dyDescent="0.25">
      <c r="B409" s="22" t="s">
        <v>2922</v>
      </c>
      <c r="C409" s="44" t="s">
        <v>2923</v>
      </c>
      <c r="D409" s="23" t="s">
        <v>2924</v>
      </c>
      <c r="E409" s="24" t="s">
        <v>1355</v>
      </c>
      <c r="F409" s="24" t="s">
        <v>2843</v>
      </c>
      <c r="G409" s="24" t="s">
        <v>2925</v>
      </c>
      <c r="H409" s="18" t="s">
        <v>1361</v>
      </c>
      <c r="I409" s="45">
        <v>400</v>
      </c>
      <c r="J409" s="46">
        <v>4.79</v>
      </c>
      <c r="K409" s="47">
        <f t="shared" si="11"/>
        <v>1916</v>
      </c>
    </row>
    <row r="410" spans="2:11" x14ac:dyDescent="0.25">
      <c r="B410" s="22" t="s">
        <v>2926</v>
      </c>
      <c r="C410" s="44" t="s">
        <v>2927</v>
      </c>
      <c r="D410" s="23" t="s">
        <v>2928</v>
      </c>
      <c r="E410" s="24" t="s">
        <v>1355</v>
      </c>
      <c r="F410" s="24" t="s">
        <v>2843</v>
      </c>
      <c r="G410" s="24" t="s">
        <v>2929</v>
      </c>
      <c r="H410" s="18" t="s">
        <v>1361</v>
      </c>
      <c r="I410" s="45">
        <v>100</v>
      </c>
      <c r="J410" s="46">
        <v>6.03</v>
      </c>
      <c r="K410" s="47">
        <f t="shared" si="11"/>
        <v>603</v>
      </c>
    </row>
    <row r="411" spans="2:11" x14ac:dyDescent="0.25">
      <c r="B411" s="22" t="s">
        <v>2930</v>
      </c>
      <c r="C411" s="44" t="s">
        <v>2931</v>
      </c>
      <c r="D411" s="23" t="s">
        <v>2932</v>
      </c>
      <c r="E411" s="24" t="s">
        <v>1355</v>
      </c>
      <c r="F411" s="24" t="s">
        <v>2843</v>
      </c>
      <c r="G411" s="24" t="s">
        <v>2933</v>
      </c>
      <c r="H411" s="18" t="s">
        <v>1361</v>
      </c>
      <c r="I411" s="45">
        <v>1000</v>
      </c>
      <c r="J411" s="46">
        <v>15.12</v>
      </c>
      <c r="K411" s="47">
        <f t="shared" si="11"/>
        <v>15120</v>
      </c>
    </row>
    <row r="412" spans="2:11" x14ac:dyDescent="0.25">
      <c r="B412" s="22" t="s">
        <v>2934</v>
      </c>
      <c r="C412" s="44" t="s">
        <v>2935</v>
      </c>
      <c r="D412" s="23" t="s">
        <v>2936</v>
      </c>
      <c r="E412" s="24" t="s">
        <v>1355</v>
      </c>
      <c r="F412" s="24" t="s">
        <v>2843</v>
      </c>
      <c r="G412" s="24" t="s">
        <v>2937</v>
      </c>
      <c r="H412" s="18" t="s">
        <v>1361</v>
      </c>
      <c r="I412" s="45">
        <v>13750</v>
      </c>
      <c r="J412" s="46">
        <v>47.05</v>
      </c>
      <c r="K412" s="47">
        <f t="shared" si="11"/>
        <v>646937.5</v>
      </c>
    </row>
    <row r="413" spans="2:11" x14ac:dyDescent="0.25">
      <c r="B413" s="22" t="s">
        <v>2938</v>
      </c>
      <c r="C413" s="44" t="s">
        <v>2939</v>
      </c>
      <c r="D413" s="23">
        <v>390407</v>
      </c>
      <c r="E413" s="24" t="s">
        <v>1355</v>
      </c>
      <c r="F413" s="24" t="s">
        <v>2843</v>
      </c>
      <c r="G413" s="24" t="s">
        <v>2940</v>
      </c>
      <c r="H413" s="18" t="s">
        <v>1361</v>
      </c>
      <c r="I413" s="45">
        <v>1800</v>
      </c>
      <c r="J413" s="46">
        <v>19.13</v>
      </c>
      <c r="K413" s="47">
        <f t="shared" si="11"/>
        <v>34434</v>
      </c>
    </row>
    <row r="414" spans="2:11" x14ac:dyDescent="0.25">
      <c r="B414" s="22" t="s">
        <v>2941</v>
      </c>
      <c r="C414" s="44" t="s">
        <v>2942</v>
      </c>
      <c r="D414" s="23" t="s">
        <v>2943</v>
      </c>
      <c r="E414" s="24" t="s">
        <v>1355</v>
      </c>
      <c r="F414" s="24" t="s">
        <v>2843</v>
      </c>
      <c r="G414" s="24" t="s">
        <v>2944</v>
      </c>
      <c r="H414" s="18" t="s">
        <v>1361</v>
      </c>
      <c r="I414" s="45">
        <v>41000</v>
      </c>
      <c r="J414" s="46">
        <v>3.24</v>
      </c>
      <c r="K414" s="47">
        <f t="shared" si="11"/>
        <v>132840</v>
      </c>
    </row>
    <row r="415" spans="2:11" x14ac:dyDescent="0.25">
      <c r="B415" s="22" t="s">
        <v>2945</v>
      </c>
      <c r="C415" s="44" t="s">
        <v>2946</v>
      </c>
      <c r="D415" s="23" t="s">
        <v>2947</v>
      </c>
      <c r="E415" s="24" t="s">
        <v>1355</v>
      </c>
      <c r="F415" s="24" t="s">
        <v>2843</v>
      </c>
      <c r="G415" s="24" t="s">
        <v>2948</v>
      </c>
      <c r="H415" s="18" t="s">
        <v>1361</v>
      </c>
      <c r="I415" s="45">
        <v>450</v>
      </c>
      <c r="J415" s="46">
        <v>3.29</v>
      </c>
      <c r="K415" s="47">
        <f t="shared" si="11"/>
        <v>1480.5</v>
      </c>
    </row>
    <row r="416" spans="2:11" x14ac:dyDescent="0.25">
      <c r="B416" s="22" t="s">
        <v>2949</v>
      </c>
      <c r="C416" s="44" t="s">
        <v>2950</v>
      </c>
      <c r="D416" s="23" t="s">
        <v>2951</v>
      </c>
      <c r="E416" s="24" t="s">
        <v>1355</v>
      </c>
      <c r="F416" s="24" t="s">
        <v>2843</v>
      </c>
      <c r="G416" s="24" t="s">
        <v>2952</v>
      </c>
      <c r="H416" s="18" t="s">
        <v>1361</v>
      </c>
      <c r="I416" s="45">
        <v>10</v>
      </c>
      <c r="J416" s="46">
        <v>5.74</v>
      </c>
      <c r="K416" s="47">
        <f t="shared" si="11"/>
        <v>57.400000000000006</v>
      </c>
    </row>
    <row r="417" spans="2:11" x14ac:dyDescent="0.25">
      <c r="B417" s="22" t="s">
        <v>2953</v>
      </c>
      <c r="C417" s="44" t="s">
        <v>2954</v>
      </c>
      <c r="D417" s="23" t="s">
        <v>2955</v>
      </c>
      <c r="E417" s="24" t="s">
        <v>1355</v>
      </c>
      <c r="F417" s="24" t="s">
        <v>2843</v>
      </c>
      <c r="G417" s="24" t="s">
        <v>2956</v>
      </c>
      <c r="H417" s="18" t="s">
        <v>1361</v>
      </c>
      <c r="I417" s="45">
        <v>41000</v>
      </c>
      <c r="J417" s="46">
        <v>3.29</v>
      </c>
      <c r="K417" s="47">
        <f t="shared" si="11"/>
        <v>134890</v>
      </c>
    </row>
    <row r="418" spans="2:11" x14ac:dyDescent="0.25">
      <c r="B418" s="22" t="s">
        <v>2957</v>
      </c>
      <c r="C418" s="44" t="s">
        <v>2958</v>
      </c>
      <c r="D418" s="23" t="s">
        <v>2959</v>
      </c>
      <c r="E418" s="24" t="s">
        <v>1355</v>
      </c>
      <c r="F418" s="24" t="s">
        <v>2843</v>
      </c>
      <c r="G418" s="24" t="s">
        <v>2960</v>
      </c>
      <c r="H418" s="18" t="s">
        <v>1361</v>
      </c>
      <c r="I418" s="45">
        <v>2600</v>
      </c>
      <c r="J418" s="46">
        <v>6.62</v>
      </c>
      <c r="K418" s="47">
        <f t="shared" si="11"/>
        <v>17212</v>
      </c>
    </row>
    <row r="419" spans="2:11" x14ac:dyDescent="0.25">
      <c r="B419" s="22" t="s">
        <v>2961</v>
      </c>
      <c r="C419" s="44" t="s">
        <v>2962</v>
      </c>
      <c r="D419" s="23" t="s">
        <v>2892</v>
      </c>
      <c r="E419" s="24" t="s">
        <v>1355</v>
      </c>
      <c r="F419" s="24" t="s">
        <v>2843</v>
      </c>
      <c r="G419" s="24" t="s">
        <v>2963</v>
      </c>
      <c r="H419" s="18" t="s">
        <v>1361</v>
      </c>
      <c r="I419" s="45">
        <v>29500</v>
      </c>
      <c r="J419" s="46">
        <v>11.46</v>
      </c>
      <c r="K419" s="47">
        <f t="shared" si="11"/>
        <v>338070</v>
      </c>
    </row>
    <row r="420" spans="2:11" x14ac:dyDescent="0.25">
      <c r="B420" s="22" t="s">
        <v>2964</v>
      </c>
      <c r="C420" s="44" t="s">
        <v>2965</v>
      </c>
      <c r="D420" s="23">
        <v>39260102</v>
      </c>
      <c r="E420" s="24" t="s">
        <v>1355</v>
      </c>
      <c r="F420" s="24" t="s">
        <v>2843</v>
      </c>
      <c r="G420" s="24" t="s">
        <v>2966</v>
      </c>
      <c r="H420" s="18" t="s">
        <v>1361</v>
      </c>
      <c r="I420" s="45">
        <v>260</v>
      </c>
      <c r="J420" s="46">
        <v>31.75</v>
      </c>
      <c r="K420" s="47">
        <f t="shared" si="11"/>
        <v>8255</v>
      </c>
    </row>
    <row r="421" spans="2:11" x14ac:dyDescent="0.25">
      <c r="B421" s="22" t="s">
        <v>2967</v>
      </c>
      <c r="C421" s="44" t="s">
        <v>2968</v>
      </c>
      <c r="D421" s="23">
        <v>39260101</v>
      </c>
      <c r="E421" s="24" t="s">
        <v>1355</v>
      </c>
      <c r="F421" s="24" t="s">
        <v>2843</v>
      </c>
      <c r="G421" s="24" t="s">
        <v>2969</v>
      </c>
      <c r="H421" s="18" t="s">
        <v>1361</v>
      </c>
      <c r="I421" s="45">
        <v>1950</v>
      </c>
      <c r="J421" s="46">
        <v>15.88</v>
      </c>
      <c r="K421" s="47">
        <f t="shared" si="11"/>
        <v>30966</v>
      </c>
    </row>
    <row r="422" spans="2:11" x14ac:dyDescent="0.25">
      <c r="B422" s="22" t="s">
        <v>2970</v>
      </c>
      <c r="C422" s="44" t="s">
        <v>2971</v>
      </c>
      <c r="D422" s="17"/>
      <c r="E422" s="24" t="s">
        <v>1355</v>
      </c>
      <c r="F422" s="24" t="s">
        <v>2843</v>
      </c>
      <c r="G422" s="24" t="s">
        <v>2972</v>
      </c>
      <c r="H422" s="60" t="s">
        <v>2764</v>
      </c>
      <c r="I422" s="45">
        <v>42</v>
      </c>
      <c r="J422" s="46">
        <v>1368.25</v>
      </c>
      <c r="K422" s="47">
        <f t="shared" si="11"/>
        <v>57466.5</v>
      </c>
    </row>
    <row r="423" spans="2:11" x14ac:dyDescent="0.25">
      <c r="B423" s="22" t="s">
        <v>2973</v>
      </c>
      <c r="C423" s="44" t="s">
        <v>2974</v>
      </c>
      <c r="D423" s="17"/>
      <c r="E423" s="24" t="s">
        <v>1355</v>
      </c>
      <c r="F423" s="24" t="s">
        <v>2843</v>
      </c>
      <c r="G423" s="24" t="s">
        <v>2975</v>
      </c>
      <c r="H423" s="60" t="s">
        <v>2764</v>
      </c>
      <c r="I423" s="45">
        <v>12</v>
      </c>
      <c r="J423" s="46">
        <v>1307.07</v>
      </c>
      <c r="K423" s="47">
        <f t="shared" si="11"/>
        <v>15684.84</v>
      </c>
    </row>
    <row r="424" spans="2:11" x14ac:dyDescent="0.25">
      <c r="B424" s="22" t="s">
        <v>2976</v>
      </c>
      <c r="C424" s="44" t="s">
        <v>2977</v>
      </c>
      <c r="D424" s="17"/>
      <c r="E424" s="24" t="s">
        <v>1355</v>
      </c>
      <c r="F424" s="24" t="s">
        <v>2843</v>
      </c>
      <c r="G424" s="24" t="s">
        <v>2978</v>
      </c>
      <c r="H424" s="60" t="s">
        <v>2764</v>
      </c>
      <c r="I424" s="45">
        <v>194</v>
      </c>
      <c r="J424" s="46">
        <v>755.06</v>
      </c>
      <c r="K424" s="47">
        <f t="shared" si="11"/>
        <v>146481.63999999998</v>
      </c>
    </row>
    <row r="425" spans="2:11" x14ac:dyDescent="0.25">
      <c r="B425" s="22" t="s">
        <v>2979</v>
      </c>
      <c r="C425" s="44" t="s">
        <v>2980</v>
      </c>
      <c r="D425" s="23" t="s">
        <v>2981</v>
      </c>
      <c r="E425" s="24" t="s">
        <v>1355</v>
      </c>
      <c r="F425" s="24" t="s">
        <v>2843</v>
      </c>
      <c r="G425" s="24" t="s">
        <v>2982</v>
      </c>
      <c r="H425" s="24" t="s">
        <v>2983</v>
      </c>
      <c r="I425" s="45">
        <v>105</v>
      </c>
      <c r="J425" s="46">
        <v>47.33</v>
      </c>
      <c r="K425" s="47">
        <f t="shared" si="11"/>
        <v>4969.6499999999996</v>
      </c>
    </row>
    <row r="426" spans="2:11" x14ac:dyDescent="0.25">
      <c r="B426" s="22" t="s">
        <v>2984</v>
      </c>
      <c r="C426" s="44" t="s">
        <v>2985</v>
      </c>
      <c r="D426" s="23" t="s">
        <v>2986</v>
      </c>
      <c r="E426" s="24" t="s">
        <v>1355</v>
      </c>
      <c r="F426" s="24" t="s">
        <v>2843</v>
      </c>
      <c r="G426" s="24" t="s">
        <v>2987</v>
      </c>
      <c r="H426" s="18" t="s">
        <v>1361</v>
      </c>
      <c r="I426" s="45">
        <v>5600</v>
      </c>
      <c r="J426" s="46">
        <v>54.59</v>
      </c>
      <c r="K426" s="47">
        <f t="shared" si="11"/>
        <v>305704</v>
      </c>
    </row>
    <row r="427" spans="2:11" x14ac:dyDescent="0.25">
      <c r="B427" s="22" t="s">
        <v>2988</v>
      </c>
      <c r="C427" s="44" t="s">
        <v>2989</v>
      </c>
      <c r="D427" s="17"/>
      <c r="E427" s="24" t="s">
        <v>1355</v>
      </c>
      <c r="F427" s="24" t="s">
        <v>2843</v>
      </c>
      <c r="G427" s="24" t="s">
        <v>2990</v>
      </c>
      <c r="H427" s="60" t="s">
        <v>2764</v>
      </c>
      <c r="I427" s="45">
        <v>1</v>
      </c>
      <c r="J427" s="46">
        <v>58.12</v>
      </c>
      <c r="K427" s="47">
        <f t="shared" si="11"/>
        <v>58.12</v>
      </c>
    </row>
    <row r="428" spans="2:11" x14ac:dyDescent="0.25">
      <c r="B428" s="22" t="s">
        <v>2991</v>
      </c>
      <c r="C428" s="44" t="s">
        <v>2992</v>
      </c>
      <c r="D428" s="17"/>
      <c r="E428" s="24" t="s">
        <v>1355</v>
      </c>
      <c r="F428" s="24" t="s">
        <v>2843</v>
      </c>
      <c r="G428" s="24" t="s">
        <v>2993</v>
      </c>
      <c r="H428" s="60" t="s">
        <v>2764</v>
      </c>
      <c r="I428" s="45">
        <v>109</v>
      </c>
      <c r="J428" s="46">
        <v>66.62</v>
      </c>
      <c r="K428" s="47">
        <f t="shared" si="11"/>
        <v>7261.5800000000008</v>
      </c>
    </row>
    <row r="429" spans="2:11" x14ac:dyDescent="0.25">
      <c r="B429" s="22" t="s">
        <v>2994</v>
      </c>
      <c r="C429" s="44" t="s">
        <v>2995</v>
      </c>
      <c r="D429" s="17"/>
      <c r="E429" s="24" t="s">
        <v>1355</v>
      </c>
      <c r="F429" s="24" t="s">
        <v>2843</v>
      </c>
      <c r="G429" s="24" t="s">
        <v>2996</v>
      </c>
      <c r="H429" s="60" t="s">
        <v>2764</v>
      </c>
      <c r="I429" s="45">
        <v>58</v>
      </c>
      <c r="J429" s="46">
        <v>37.6</v>
      </c>
      <c r="K429" s="47">
        <f t="shared" si="11"/>
        <v>2180.8000000000002</v>
      </c>
    </row>
    <row r="430" spans="2:11" x14ac:dyDescent="0.25">
      <c r="B430" s="22" t="s">
        <v>2997</v>
      </c>
      <c r="C430" s="44" t="s">
        <v>2998</v>
      </c>
      <c r="D430" s="17"/>
      <c r="E430" s="24" t="s">
        <v>1355</v>
      </c>
      <c r="F430" s="24" t="s">
        <v>2843</v>
      </c>
      <c r="G430" s="24" t="s">
        <v>2999</v>
      </c>
      <c r="H430" s="60" t="s">
        <v>2764</v>
      </c>
      <c r="I430" s="45">
        <v>132</v>
      </c>
      <c r="J430" s="46">
        <v>31.25</v>
      </c>
      <c r="K430" s="47">
        <f t="shared" si="11"/>
        <v>4125</v>
      </c>
    </row>
    <row r="431" spans="2:11" x14ac:dyDescent="0.25">
      <c r="B431" s="22" t="s">
        <v>3000</v>
      </c>
      <c r="C431" s="44" t="s">
        <v>3001</v>
      </c>
      <c r="D431" s="17"/>
      <c r="E431" s="24" t="s">
        <v>1355</v>
      </c>
      <c r="F431" s="24" t="s">
        <v>2843</v>
      </c>
      <c r="G431" s="24" t="s">
        <v>3002</v>
      </c>
      <c r="H431" s="60" t="s">
        <v>2764</v>
      </c>
      <c r="I431" s="45">
        <v>75</v>
      </c>
      <c r="J431" s="46">
        <v>43.94</v>
      </c>
      <c r="K431" s="47">
        <f t="shared" si="11"/>
        <v>3295.5</v>
      </c>
    </row>
    <row r="432" spans="2:11" x14ac:dyDescent="0.25">
      <c r="B432" s="22" t="s">
        <v>3003</v>
      </c>
      <c r="C432" s="44" t="s">
        <v>3004</v>
      </c>
      <c r="D432" s="17"/>
      <c r="E432" s="24" t="s">
        <v>1355</v>
      </c>
      <c r="F432" s="24" t="s">
        <v>2843</v>
      </c>
      <c r="G432" s="24" t="s">
        <v>3005</v>
      </c>
      <c r="H432" s="60" t="s">
        <v>2764</v>
      </c>
      <c r="I432" s="45">
        <v>68</v>
      </c>
      <c r="J432" s="46">
        <v>50.29</v>
      </c>
      <c r="K432" s="47">
        <f t="shared" si="11"/>
        <v>3419.72</v>
      </c>
    </row>
    <row r="433" spans="2:11" x14ac:dyDescent="0.25">
      <c r="B433" s="22" t="s">
        <v>3006</v>
      </c>
      <c r="C433" s="44" t="s">
        <v>3007</v>
      </c>
      <c r="D433" s="17"/>
      <c r="E433" s="24" t="s">
        <v>1355</v>
      </c>
      <c r="F433" s="24" t="s">
        <v>2843</v>
      </c>
      <c r="G433" s="24" t="s">
        <v>3008</v>
      </c>
      <c r="H433" s="60" t="s">
        <v>2764</v>
      </c>
      <c r="I433" s="45">
        <v>23</v>
      </c>
      <c r="J433" s="46">
        <v>74.25</v>
      </c>
      <c r="K433" s="47">
        <f t="shared" si="11"/>
        <v>1707.75</v>
      </c>
    </row>
    <row r="434" spans="2:11" x14ac:dyDescent="0.25">
      <c r="B434" s="22" t="s">
        <v>3009</v>
      </c>
      <c r="C434" s="44" t="s">
        <v>3010</v>
      </c>
      <c r="D434" s="23"/>
      <c r="E434" s="24" t="s">
        <v>1355</v>
      </c>
      <c r="F434" s="24" t="s">
        <v>2843</v>
      </c>
      <c r="G434" s="24" t="s">
        <v>3011</v>
      </c>
      <c r="H434" s="60" t="s">
        <v>2764</v>
      </c>
      <c r="I434" s="45">
        <v>11</v>
      </c>
      <c r="J434" s="46">
        <v>66.62</v>
      </c>
      <c r="K434" s="47">
        <f t="shared" si="11"/>
        <v>732.82</v>
      </c>
    </row>
    <row r="435" spans="2:11" x14ac:dyDescent="0.25">
      <c r="B435" s="22" t="s">
        <v>3012</v>
      </c>
      <c r="C435" s="44" t="s">
        <v>3013</v>
      </c>
      <c r="D435" s="23"/>
      <c r="E435" s="24" t="s">
        <v>1355</v>
      </c>
      <c r="F435" s="24" t="s">
        <v>2843</v>
      </c>
      <c r="G435" s="24" t="s">
        <v>3014</v>
      </c>
      <c r="H435" s="60" t="s">
        <v>2764</v>
      </c>
      <c r="I435" s="45">
        <v>51</v>
      </c>
      <c r="J435" s="46">
        <v>74.25</v>
      </c>
      <c r="K435" s="47">
        <f t="shared" si="11"/>
        <v>3786.75</v>
      </c>
    </row>
    <row r="436" spans="2:11" x14ac:dyDescent="0.25">
      <c r="B436" s="22" t="s">
        <v>3015</v>
      </c>
      <c r="C436" s="44" t="s">
        <v>3016</v>
      </c>
      <c r="D436" s="23"/>
      <c r="E436" s="24" t="s">
        <v>1355</v>
      </c>
      <c r="F436" s="24" t="s">
        <v>2843</v>
      </c>
      <c r="G436" s="24" t="s">
        <v>3017</v>
      </c>
      <c r="H436" s="60" t="s">
        <v>2764</v>
      </c>
      <c r="I436" s="45">
        <v>105</v>
      </c>
      <c r="J436" s="46">
        <v>43.94</v>
      </c>
      <c r="K436" s="47">
        <f t="shared" si="11"/>
        <v>4613.7</v>
      </c>
    </row>
    <row r="437" spans="2:11" x14ac:dyDescent="0.25">
      <c r="B437" s="22" t="s">
        <v>3018</v>
      </c>
      <c r="C437" s="44" t="s">
        <v>3019</v>
      </c>
      <c r="D437" s="23">
        <v>392606</v>
      </c>
      <c r="E437" s="24" t="s">
        <v>1355</v>
      </c>
      <c r="F437" s="24" t="s">
        <v>2843</v>
      </c>
      <c r="G437" s="24" t="s">
        <v>3020</v>
      </c>
      <c r="H437" s="18" t="s">
        <v>1361</v>
      </c>
      <c r="I437" s="45">
        <v>2750</v>
      </c>
      <c r="J437" s="46">
        <v>12.69</v>
      </c>
      <c r="K437" s="47">
        <f t="shared" si="11"/>
        <v>34897.5</v>
      </c>
    </row>
    <row r="438" spans="2:11" x14ac:dyDescent="0.25">
      <c r="B438" s="22" t="s">
        <v>3021</v>
      </c>
      <c r="C438" s="44" t="s">
        <v>3022</v>
      </c>
      <c r="D438" s="23">
        <v>392607</v>
      </c>
      <c r="E438" s="24" t="s">
        <v>1355</v>
      </c>
      <c r="F438" s="24" t="s">
        <v>2843</v>
      </c>
      <c r="G438" s="24" t="s">
        <v>3023</v>
      </c>
      <c r="H438" s="18" t="s">
        <v>1361</v>
      </c>
      <c r="I438" s="45">
        <v>1100</v>
      </c>
      <c r="J438" s="46">
        <v>17.79</v>
      </c>
      <c r="K438" s="47">
        <f t="shared" si="11"/>
        <v>19569</v>
      </c>
    </row>
    <row r="439" spans="2:11" x14ac:dyDescent="0.25">
      <c r="B439" s="22" t="s">
        <v>3024</v>
      </c>
      <c r="C439" s="44" t="s">
        <v>3025</v>
      </c>
      <c r="D439" s="23">
        <v>392608</v>
      </c>
      <c r="E439" s="24" t="s">
        <v>1355</v>
      </c>
      <c r="F439" s="24" t="s">
        <v>2843</v>
      </c>
      <c r="G439" s="24" t="s">
        <v>3026</v>
      </c>
      <c r="H439" s="18" t="s">
        <v>1361</v>
      </c>
      <c r="I439" s="45">
        <v>82600</v>
      </c>
      <c r="J439" s="46">
        <v>23.95</v>
      </c>
      <c r="K439" s="47">
        <f t="shared" si="11"/>
        <v>1978270</v>
      </c>
    </row>
    <row r="440" spans="2:11" x14ac:dyDescent="0.25">
      <c r="B440" s="22" t="s">
        <v>3027</v>
      </c>
      <c r="C440" s="44" t="s">
        <v>3028</v>
      </c>
      <c r="D440" s="23" t="s">
        <v>3029</v>
      </c>
      <c r="E440" s="24" t="s">
        <v>1355</v>
      </c>
      <c r="F440" s="24" t="s">
        <v>2843</v>
      </c>
      <c r="G440" s="24" t="s">
        <v>3030</v>
      </c>
      <c r="H440" s="24" t="s">
        <v>1614</v>
      </c>
      <c r="I440" s="45">
        <v>3100</v>
      </c>
      <c r="J440" s="46">
        <v>34.159999999999997</v>
      </c>
      <c r="K440" s="47">
        <f t="shared" si="11"/>
        <v>105895.99999999999</v>
      </c>
    </row>
    <row r="441" spans="2:11" x14ac:dyDescent="0.25">
      <c r="B441" s="22" t="s">
        <v>3031</v>
      </c>
      <c r="C441" s="44" t="s">
        <v>3032</v>
      </c>
      <c r="D441" s="23">
        <v>392611</v>
      </c>
      <c r="E441" s="24" t="s">
        <v>1355</v>
      </c>
      <c r="F441" s="24" t="s">
        <v>2843</v>
      </c>
      <c r="G441" s="24" t="s">
        <v>3033</v>
      </c>
      <c r="H441" s="18" t="s">
        <v>1361</v>
      </c>
      <c r="I441" s="45">
        <v>5000</v>
      </c>
      <c r="J441" s="46">
        <v>60.25</v>
      </c>
      <c r="K441" s="47">
        <f t="shared" si="11"/>
        <v>301250</v>
      </c>
    </row>
    <row r="442" spans="2:11" x14ac:dyDescent="0.25">
      <c r="B442" s="22" t="s">
        <v>3034</v>
      </c>
      <c r="C442" s="44" t="s">
        <v>3035</v>
      </c>
      <c r="D442" s="23"/>
      <c r="E442" s="24" t="s">
        <v>1355</v>
      </c>
      <c r="F442" s="24" t="s">
        <v>2843</v>
      </c>
      <c r="G442" s="24" t="s">
        <v>3036</v>
      </c>
      <c r="H442" s="24" t="s">
        <v>2983</v>
      </c>
      <c r="I442" s="45">
        <v>194</v>
      </c>
      <c r="J442" s="46">
        <v>380.7</v>
      </c>
      <c r="K442" s="47">
        <f t="shared" si="11"/>
        <v>73855.8</v>
      </c>
    </row>
    <row r="443" spans="2:11" x14ac:dyDescent="0.25">
      <c r="B443" s="22" t="s">
        <v>3037</v>
      </c>
      <c r="C443" s="44" t="s">
        <v>3038</v>
      </c>
      <c r="D443" s="23"/>
      <c r="E443" s="24" t="s">
        <v>1355</v>
      </c>
      <c r="F443" s="24" t="s">
        <v>2843</v>
      </c>
      <c r="G443" s="24" t="s">
        <v>3039</v>
      </c>
      <c r="H443" s="24" t="s">
        <v>2983</v>
      </c>
      <c r="I443" s="45">
        <v>388</v>
      </c>
      <c r="J443" s="46">
        <v>228.42</v>
      </c>
      <c r="K443" s="47">
        <f t="shared" si="11"/>
        <v>88626.959999999992</v>
      </c>
    </row>
    <row r="444" spans="2:11" x14ac:dyDescent="0.25">
      <c r="B444" s="22" t="s">
        <v>3040</v>
      </c>
      <c r="C444" s="44" t="s">
        <v>3041</v>
      </c>
      <c r="D444" s="23"/>
      <c r="E444" s="24" t="s">
        <v>1355</v>
      </c>
      <c r="F444" s="24" t="s">
        <v>2843</v>
      </c>
      <c r="G444" s="24" t="s">
        <v>3042</v>
      </c>
      <c r="H444" s="24" t="s">
        <v>2983</v>
      </c>
      <c r="I444" s="45">
        <v>9</v>
      </c>
      <c r="J444" s="46">
        <v>283446</v>
      </c>
      <c r="K444" s="47">
        <f t="shared" si="11"/>
        <v>2551014</v>
      </c>
    </row>
    <row r="445" spans="2:11" x14ac:dyDescent="0.25">
      <c r="B445" s="22" t="s">
        <v>3043</v>
      </c>
      <c r="C445" s="44" t="s">
        <v>3044</v>
      </c>
      <c r="D445" s="23"/>
      <c r="E445" s="24" t="s">
        <v>1355</v>
      </c>
      <c r="F445" s="24" t="s">
        <v>2843</v>
      </c>
      <c r="G445" s="24" t="s">
        <v>3045</v>
      </c>
      <c r="H445" s="24" t="s">
        <v>2983</v>
      </c>
      <c r="I445" s="45">
        <v>3</v>
      </c>
      <c r="J445" s="46">
        <v>283446</v>
      </c>
      <c r="K445" s="47">
        <f t="shared" si="11"/>
        <v>850338</v>
      </c>
    </row>
    <row r="446" spans="2:11" x14ac:dyDescent="0.25">
      <c r="B446" s="22" t="s">
        <v>3046</v>
      </c>
      <c r="C446" s="44" t="s">
        <v>3047</v>
      </c>
      <c r="D446" s="23"/>
      <c r="E446" s="24" t="s">
        <v>1355</v>
      </c>
      <c r="F446" s="24" t="s">
        <v>2843</v>
      </c>
      <c r="G446" s="24" t="s">
        <v>3048</v>
      </c>
      <c r="H446" s="24" t="s">
        <v>1627</v>
      </c>
      <c r="I446" s="45">
        <v>8</v>
      </c>
      <c r="J446" s="46">
        <v>73.709999999999994</v>
      </c>
      <c r="K446" s="47">
        <f t="shared" si="11"/>
        <v>589.67999999999995</v>
      </c>
    </row>
    <row r="447" spans="2:11" x14ac:dyDescent="0.25">
      <c r="B447" s="22" t="s">
        <v>3049</v>
      </c>
      <c r="C447" s="44" t="s">
        <v>3050</v>
      </c>
      <c r="D447" s="23"/>
      <c r="E447" s="24" t="s">
        <v>1355</v>
      </c>
      <c r="F447" s="24" t="s">
        <v>2843</v>
      </c>
      <c r="G447" s="24" t="s">
        <v>3051</v>
      </c>
      <c r="H447" s="24" t="s">
        <v>1627</v>
      </c>
      <c r="I447" s="45">
        <v>23</v>
      </c>
      <c r="J447" s="46">
        <v>287.12</v>
      </c>
      <c r="K447" s="47">
        <f t="shared" si="11"/>
        <v>6603.76</v>
      </c>
    </row>
    <row r="448" spans="2:11" x14ac:dyDescent="0.25">
      <c r="B448" s="22" t="s">
        <v>3052</v>
      </c>
      <c r="C448" s="44" t="s">
        <v>3053</v>
      </c>
      <c r="D448" s="23"/>
      <c r="E448" s="24" t="s">
        <v>1355</v>
      </c>
      <c r="F448" s="24" t="s">
        <v>2843</v>
      </c>
      <c r="G448" s="24" t="s">
        <v>3054</v>
      </c>
      <c r="H448" s="24" t="s">
        <v>1627</v>
      </c>
      <c r="I448" s="45">
        <v>8</v>
      </c>
      <c r="J448" s="46">
        <v>63</v>
      </c>
      <c r="K448" s="47">
        <f t="shared" si="11"/>
        <v>504</v>
      </c>
    </row>
    <row r="449" spans="2:11" x14ac:dyDescent="0.25">
      <c r="B449" s="22" t="s">
        <v>3055</v>
      </c>
      <c r="C449" s="44" t="s">
        <v>3056</v>
      </c>
      <c r="D449" s="23"/>
      <c r="E449" s="24" t="s">
        <v>1355</v>
      </c>
      <c r="F449" s="24" t="s">
        <v>2843</v>
      </c>
      <c r="G449" s="24" t="s">
        <v>3057</v>
      </c>
      <c r="H449" s="24" t="s">
        <v>1627</v>
      </c>
      <c r="I449" s="45">
        <v>22</v>
      </c>
      <c r="J449" s="46">
        <v>377.53</v>
      </c>
      <c r="K449" s="47">
        <f t="shared" si="11"/>
        <v>8305.66</v>
      </c>
    </row>
    <row r="450" spans="2:11" x14ac:dyDescent="0.25">
      <c r="B450" s="22" t="s">
        <v>3058</v>
      </c>
      <c r="C450" s="44" t="s">
        <v>3059</v>
      </c>
      <c r="D450" s="23" t="s">
        <v>3060</v>
      </c>
      <c r="E450" s="24" t="s">
        <v>1355</v>
      </c>
      <c r="F450" s="24" t="s">
        <v>2843</v>
      </c>
      <c r="G450" s="24" t="s">
        <v>3061</v>
      </c>
      <c r="H450" s="18" t="s">
        <v>1361</v>
      </c>
      <c r="I450" s="45">
        <v>2180</v>
      </c>
      <c r="J450" s="46">
        <v>200.08</v>
      </c>
      <c r="K450" s="47">
        <f t="shared" si="11"/>
        <v>436174.4</v>
      </c>
    </row>
    <row r="451" spans="2:11" x14ac:dyDescent="0.25">
      <c r="B451" s="22" t="s">
        <v>3062</v>
      </c>
      <c r="C451" s="44" t="s">
        <v>3063</v>
      </c>
      <c r="D451" s="23" t="s">
        <v>3064</v>
      </c>
      <c r="E451" s="24" t="s">
        <v>1355</v>
      </c>
      <c r="F451" s="24" t="s">
        <v>2843</v>
      </c>
      <c r="G451" s="24" t="s">
        <v>3065</v>
      </c>
      <c r="H451" s="18" t="s">
        <v>1361</v>
      </c>
      <c r="I451" s="45">
        <v>2100</v>
      </c>
      <c r="J451" s="46">
        <v>200.08</v>
      </c>
      <c r="K451" s="47">
        <f t="shared" si="11"/>
        <v>420168</v>
      </c>
    </row>
    <row r="452" spans="2:11" x14ac:dyDescent="0.25">
      <c r="B452" s="22" t="s">
        <v>3066</v>
      </c>
      <c r="C452" s="44" t="s">
        <v>3067</v>
      </c>
      <c r="D452" s="23" t="s">
        <v>3068</v>
      </c>
      <c r="E452" s="24" t="s">
        <v>1355</v>
      </c>
      <c r="F452" s="24" t="s">
        <v>2843</v>
      </c>
      <c r="G452" s="24" t="s">
        <v>3069</v>
      </c>
      <c r="H452" s="18" t="s">
        <v>1361</v>
      </c>
      <c r="I452" s="45">
        <v>156</v>
      </c>
      <c r="J452" s="46">
        <v>145.88</v>
      </c>
      <c r="K452" s="47">
        <f t="shared" si="11"/>
        <v>22757.279999999999</v>
      </c>
    </row>
    <row r="453" spans="2:11" x14ac:dyDescent="0.25">
      <c r="B453" s="22" t="s">
        <v>3070</v>
      </c>
      <c r="C453" s="44" t="s">
        <v>3071</v>
      </c>
      <c r="D453" s="23">
        <v>380608</v>
      </c>
      <c r="E453" s="24" t="s">
        <v>1355</v>
      </c>
      <c r="F453" s="24" t="s">
        <v>2843</v>
      </c>
      <c r="G453" s="24" t="s">
        <v>3072</v>
      </c>
      <c r="H453" s="18" t="s">
        <v>1361</v>
      </c>
      <c r="I453" s="45">
        <v>4300</v>
      </c>
      <c r="J453" s="46">
        <v>50.29</v>
      </c>
      <c r="K453" s="47">
        <f t="shared" si="11"/>
        <v>216247</v>
      </c>
    </row>
    <row r="454" spans="2:11" x14ac:dyDescent="0.25">
      <c r="B454" s="22" t="s">
        <v>3073</v>
      </c>
      <c r="C454" s="44" t="s">
        <v>3074</v>
      </c>
      <c r="D454" s="23">
        <v>380612</v>
      </c>
      <c r="E454" s="24" t="s">
        <v>1355</v>
      </c>
      <c r="F454" s="24" t="s">
        <v>2843</v>
      </c>
      <c r="G454" s="24" t="s">
        <v>3075</v>
      </c>
      <c r="H454" s="18" t="s">
        <v>1361</v>
      </c>
      <c r="I454" s="45">
        <v>6350</v>
      </c>
      <c r="J454" s="46">
        <v>69.09</v>
      </c>
      <c r="K454" s="47">
        <f t="shared" ref="K454:K517" si="12">I454*J454</f>
        <v>438721.5</v>
      </c>
    </row>
    <row r="455" spans="2:11" x14ac:dyDescent="0.25">
      <c r="B455" s="22" t="s">
        <v>3076</v>
      </c>
      <c r="C455" s="44" t="s">
        <v>3077</v>
      </c>
      <c r="D455" s="23">
        <v>380604</v>
      </c>
      <c r="E455" s="24" t="s">
        <v>1355</v>
      </c>
      <c r="F455" s="24" t="s">
        <v>2843</v>
      </c>
      <c r="G455" s="24" t="s">
        <v>3078</v>
      </c>
      <c r="H455" s="18" t="s">
        <v>1361</v>
      </c>
      <c r="I455" s="45">
        <v>17300</v>
      </c>
      <c r="J455" s="46">
        <v>33.22</v>
      </c>
      <c r="K455" s="47">
        <f t="shared" si="12"/>
        <v>574706</v>
      </c>
    </row>
    <row r="456" spans="2:11" x14ac:dyDescent="0.25">
      <c r="B456" s="22" t="s">
        <v>3079</v>
      </c>
      <c r="C456" s="44" t="s">
        <v>3080</v>
      </c>
      <c r="D456" s="23">
        <v>380618</v>
      </c>
      <c r="E456" s="24" t="s">
        <v>1355</v>
      </c>
      <c r="F456" s="24" t="s">
        <v>2843</v>
      </c>
      <c r="G456" s="24" t="s">
        <v>3081</v>
      </c>
      <c r="H456" s="18" t="s">
        <v>1361</v>
      </c>
      <c r="I456" s="45">
        <v>640</v>
      </c>
      <c r="J456" s="46">
        <v>137.82</v>
      </c>
      <c r="K456" s="47">
        <f t="shared" si="12"/>
        <v>88204.799999999988</v>
      </c>
    </row>
    <row r="457" spans="2:11" x14ac:dyDescent="0.25">
      <c r="B457" s="22" t="s">
        <v>3082</v>
      </c>
      <c r="C457" s="44" t="s">
        <v>3083</v>
      </c>
      <c r="D457" s="23">
        <v>380606</v>
      </c>
      <c r="E457" s="24" t="s">
        <v>1355</v>
      </c>
      <c r="F457" s="24" t="s">
        <v>2843</v>
      </c>
      <c r="G457" s="24" t="s">
        <v>3084</v>
      </c>
      <c r="H457" s="18" t="s">
        <v>1361</v>
      </c>
      <c r="I457" s="45">
        <v>6</v>
      </c>
      <c r="J457" s="46">
        <v>39.68</v>
      </c>
      <c r="K457" s="47">
        <f t="shared" si="12"/>
        <v>238.07999999999998</v>
      </c>
    </row>
    <row r="458" spans="2:11" x14ac:dyDescent="0.25">
      <c r="B458" s="22" t="s">
        <v>3085</v>
      </c>
      <c r="C458" s="44" t="s">
        <v>3086</v>
      </c>
      <c r="D458" s="23" t="s">
        <v>3087</v>
      </c>
      <c r="E458" s="24" t="s">
        <v>1355</v>
      </c>
      <c r="F458" s="24" t="s">
        <v>2843</v>
      </c>
      <c r="G458" s="24" t="s">
        <v>3088</v>
      </c>
      <c r="H458" s="18" t="s">
        <v>1361</v>
      </c>
      <c r="I458" s="45">
        <v>99</v>
      </c>
      <c r="J458" s="46">
        <v>60.14</v>
      </c>
      <c r="K458" s="47">
        <f t="shared" si="12"/>
        <v>5953.86</v>
      </c>
    </row>
    <row r="459" spans="2:11" x14ac:dyDescent="0.25">
      <c r="B459" s="22" t="s">
        <v>3089</v>
      </c>
      <c r="C459" s="44" t="s">
        <v>3090</v>
      </c>
      <c r="D459" s="23" t="s">
        <v>3091</v>
      </c>
      <c r="E459" s="24" t="s">
        <v>1355</v>
      </c>
      <c r="F459" s="24" t="s">
        <v>2843</v>
      </c>
      <c r="G459" s="24" t="s">
        <v>3092</v>
      </c>
      <c r="H459" s="18" t="s">
        <v>1361</v>
      </c>
      <c r="I459" s="45">
        <v>180</v>
      </c>
      <c r="J459" s="46">
        <v>33.72</v>
      </c>
      <c r="K459" s="47">
        <f t="shared" si="12"/>
        <v>6069.5999999999995</v>
      </c>
    </row>
    <row r="460" spans="2:11" x14ac:dyDescent="0.25">
      <c r="B460" s="22" t="s">
        <v>3093</v>
      </c>
      <c r="C460" s="44" t="s">
        <v>3094</v>
      </c>
      <c r="D460" s="23" t="s">
        <v>3095</v>
      </c>
      <c r="E460" s="24" t="s">
        <v>1355</v>
      </c>
      <c r="F460" s="24" t="s">
        <v>2843</v>
      </c>
      <c r="G460" s="24" t="s">
        <v>3096</v>
      </c>
      <c r="H460" s="18" t="s">
        <v>1361</v>
      </c>
      <c r="I460" s="45">
        <v>90</v>
      </c>
      <c r="J460" s="46">
        <v>105.89</v>
      </c>
      <c r="K460" s="47">
        <f t="shared" si="12"/>
        <v>9530.1</v>
      </c>
    </row>
    <row r="461" spans="2:11" x14ac:dyDescent="0.25">
      <c r="B461" s="22" t="s">
        <v>3097</v>
      </c>
      <c r="C461" s="44" t="s">
        <v>3098</v>
      </c>
      <c r="D461" s="23">
        <v>38880612</v>
      </c>
      <c r="E461" s="24" t="s">
        <v>1355</v>
      </c>
      <c r="F461" s="24" t="s">
        <v>2843</v>
      </c>
      <c r="G461" s="24" t="s">
        <v>3099</v>
      </c>
      <c r="H461" s="60" t="s">
        <v>2764</v>
      </c>
      <c r="I461" s="45">
        <v>12</v>
      </c>
      <c r="J461" s="46">
        <v>103.64</v>
      </c>
      <c r="K461" s="47">
        <f t="shared" si="12"/>
        <v>1243.68</v>
      </c>
    </row>
    <row r="462" spans="2:11" x14ac:dyDescent="0.25">
      <c r="B462" s="22" t="s">
        <v>3100</v>
      </c>
      <c r="C462" s="44" t="s">
        <v>3101</v>
      </c>
      <c r="D462" s="23">
        <v>38880604</v>
      </c>
      <c r="E462" s="24" t="s">
        <v>1355</v>
      </c>
      <c r="F462" s="24" t="s">
        <v>2843</v>
      </c>
      <c r="G462" s="24" t="s">
        <v>3102</v>
      </c>
      <c r="H462" s="60" t="s">
        <v>2764</v>
      </c>
      <c r="I462" s="45">
        <v>12</v>
      </c>
      <c r="J462" s="46">
        <v>49.84</v>
      </c>
      <c r="K462" s="47">
        <f t="shared" si="12"/>
        <v>598.08000000000004</v>
      </c>
    </row>
    <row r="463" spans="2:11" x14ac:dyDescent="0.25">
      <c r="B463" s="22" t="s">
        <v>3103</v>
      </c>
      <c r="C463" s="44" t="s">
        <v>3104</v>
      </c>
      <c r="D463" s="23" t="s">
        <v>3105</v>
      </c>
      <c r="E463" s="24" t="s">
        <v>1355</v>
      </c>
      <c r="F463" s="24" t="s">
        <v>2843</v>
      </c>
      <c r="G463" s="24" t="s">
        <v>3106</v>
      </c>
      <c r="H463" s="18" t="s">
        <v>1361</v>
      </c>
      <c r="I463" s="45">
        <v>1600</v>
      </c>
      <c r="J463" s="46">
        <v>63.68</v>
      </c>
      <c r="K463" s="47">
        <f t="shared" si="12"/>
        <v>101888</v>
      </c>
    </row>
    <row r="464" spans="2:11" x14ac:dyDescent="0.25">
      <c r="B464" s="22" t="s">
        <v>3107</v>
      </c>
      <c r="C464" s="44" t="s">
        <v>3108</v>
      </c>
      <c r="D464" s="23" t="s">
        <v>3109</v>
      </c>
      <c r="E464" s="24" t="s">
        <v>1355</v>
      </c>
      <c r="F464" s="24" t="s">
        <v>2843</v>
      </c>
      <c r="G464" s="24" t="s">
        <v>3110</v>
      </c>
      <c r="H464" s="18" t="s">
        <v>1361</v>
      </c>
      <c r="I464" s="45">
        <v>600</v>
      </c>
      <c r="J464" s="46">
        <v>33.75</v>
      </c>
      <c r="K464" s="47">
        <f t="shared" si="12"/>
        <v>20250</v>
      </c>
    </row>
    <row r="465" spans="2:11" x14ac:dyDescent="0.25">
      <c r="B465" s="22" t="s">
        <v>3111</v>
      </c>
      <c r="C465" s="44" t="s">
        <v>3112</v>
      </c>
      <c r="D465" s="23" t="s">
        <v>3113</v>
      </c>
      <c r="E465" s="24" t="s">
        <v>1355</v>
      </c>
      <c r="F465" s="24" t="s">
        <v>2843</v>
      </c>
      <c r="G465" s="24" t="s">
        <v>3114</v>
      </c>
      <c r="H465" s="18" t="s">
        <v>1361</v>
      </c>
      <c r="I465" s="45">
        <v>4800</v>
      </c>
      <c r="J465" s="46">
        <v>45.94</v>
      </c>
      <c r="K465" s="47">
        <f t="shared" si="12"/>
        <v>220512</v>
      </c>
    </row>
    <row r="466" spans="2:11" x14ac:dyDescent="0.25">
      <c r="B466" s="22" t="s">
        <v>3115</v>
      </c>
      <c r="C466" s="44" t="s">
        <v>3116</v>
      </c>
      <c r="D466" s="23">
        <v>380518</v>
      </c>
      <c r="E466" s="24" t="s">
        <v>1355</v>
      </c>
      <c r="F466" s="24" t="s">
        <v>2843</v>
      </c>
      <c r="G466" s="24" t="s">
        <v>3117</v>
      </c>
      <c r="H466" s="18" t="s">
        <v>1361</v>
      </c>
      <c r="I466" s="45">
        <v>75</v>
      </c>
      <c r="J466" s="46">
        <v>128.16999999999999</v>
      </c>
      <c r="K466" s="47">
        <f t="shared" si="12"/>
        <v>9612.7499999999982</v>
      </c>
    </row>
    <row r="467" spans="2:11" x14ac:dyDescent="0.25">
      <c r="B467" s="22" t="s">
        <v>3118</v>
      </c>
      <c r="C467" s="44" t="s">
        <v>3119</v>
      </c>
      <c r="D467" s="23"/>
      <c r="E467" s="24" t="s">
        <v>1355</v>
      </c>
      <c r="F467" s="24" t="s">
        <v>2843</v>
      </c>
      <c r="G467" s="24" t="s">
        <v>3120</v>
      </c>
      <c r="H467" s="60" t="s">
        <v>2764</v>
      </c>
      <c r="I467" s="45">
        <v>194</v>
      </c>
      <c r="J467" s="46">
        <v>793.13</v>
      </c>
      <c r="K467" s="47">
        <f t="shared" si="12"/>
        <v>153867.22</v>
      </c>
    </row>
    <row r="468" spans="2:11" x14ac:dyDescent="0.25">
      <c r="B468" s="22" t="s">
        <v>3121</v>
      </c>
      <c r="C468" s="44" t="s">
        <v>3122</v>
      </c>
      <c r="D468" s="23"/>
      <c r="E468" s="24" t="s">
        <v>1355</v>
      </c>
      <c r="F468" s="24" t="s">
        <v>2843</v>
      </c>
      <c r="G468" s="24" t="s">
        <v>3123</v>
      </c>
      <c r="H468" s="24" t="s">
        <v>2983</v>
      </c>
      <c r="I468" s="45">
        <v>3</v>
      </c>
      <c r="J468" s="46">
        <v>1012500</v>
      </c>
      <c r="K468" s="47">
        <f t="shared" si="12"/>
        <v>3037500</v>
      </c>
    </row>
    <row r="469" spans="2:11" x14ac:dyDescent="0.25">
      <c r="B469" s="22" t="s">
        <v>3124</v>
      </c>
      <c r="C469" s="44" t="s">
        <v>3125</v>
      </c>
      <c r="D469" s="23"/>
      <c r="E469" s="24" t="s">
        <v>1355</v>
      </c>
      <c r="F469" s="24" t="s">
        <v>2843</v>
      </c>
      <c r="G469" s="24" t="s">
        <v>3126</v>
      </c>
      <c r="H469" s="24" t="s">
        <v>2983</v>
      </c>
      <c r="I469" s="45">
        <v>3</v>
      </c>
      <c r="J469" s="46">
        <v>1012500</v>
      </c>
      <c r="K469" s="47">
        <f t="shared" si="12"/>
        <v>3037500</v>
      </c>
    </row>
    <row r="470" spans="2:11" x14ac:dyDescent="0.25">
      <c r="B470" s="22" t="s">
        <v>3127</v>
      </c>
      <c r="C470" s="44" t="s">
        <v>3128</v>
      </c>
      <c r="D470" s="23"/>
      <c r="E470" s="24" t="s">
        <v>1355</v>
      </c>
      <c r="F470" s="24" t="s">
        <v>2843</v>
      </c>
      <c r="G470" s="24" t="s">
        <v>3129</v>
      </c>
      <c r="H470" s="24" t="s">
        <v>2983</v>
      </c>
      <c r="I470" s="45">
        <v>1</v>
      </c>
      <c r="J470" s="46">
        <v>293625</v>
      </c>
      <c r="K470" s="47">
        <f t="shared" si="12"/>
        <v>293625</v>
      </c>
    </row>
    <row r="471" spans="2:11" x14ac:dyDescent="0.25">
      <c r="B471" s="22" t="s">
        <v>3130</v>
      </c>
      <c r="C471" s="44" t="s">
        <v>3131</v>
      </c>
      <c r="D471" s="23" t="s">
        <v>3132</v>
      </c>
      <c r="E471" s="24" t="s">
        <v>1355</v>
      </c>
      <c r="F471" s="24" t="s">
        <v>2843</v>
      </c>
      <c r="G471" s="24" t="s">
        <v>3133</v>
      </c>
      <c r="H471" s="60" t="s">
        <v>2764</v>
      </c>
      <c r="I471" s="45">
        <v>250</v>
      </c>
      <c r="J471" s="46">
        <v>165.09</v>
      </c>
      <c r="K471" s="47">
        <f t="shared" si="12"/>
        <v>41272.5</v>
      </c>
    </row>
    <row r="472" spans="2:11" x14ac:dyDescent="0.25">
      <c r="B472" s="22" t="s">
        <v>3134</v>
      </c>
      <c r="C472" s="44" t="s">
        <v>3135</v>
      </c>
      <c r="D472" s="23" t="s">
        <v>3136</v>
      </c>
      <c r="E472" s="24" t="s">
        <v>1355</v>
      </c>
      <c r="F472" s="24" t="s">
        <v>2843</v>
      </c>
      <c r="G472" s="24" t="s">
        <v>3137</v>
      </c>
      <c r="H472" s="60" t="s">
        <v>2764</v>
      </c>
      <c r="I472" s="45">
        <v>66</v>
      </c>
      <c r="J472" s="46">
        <v>194.83</v>
      </c>
      <c r="K472" s="47">
        <f t="shared" si="12"/>
        <v>12858.78</v>
      </c>
    </row>
    <row r="473" spans="2:11" x14ac:dyDescent="0.25">
      <c r="B473" s="22" t="s">
        <v>3138</v>
      </c>
      <c r="C473" s="44" t="s">
        <v>3139</v>
      </c>
      <c r="D473" s="23" t="s">
        <v>3140</v>
      </c>
      <c r="E473" s="24" t="s">
        <v>1355</v>
      </c>
      <c r="F473" s="24" t="s">
        <v>2843</v>
      </c>
      <c r="G473" s="24" t="s">
        <v>3141</v>
      </c>
      <c r="H473" s="60" t="s">
        <v>2764</v>
      </c>
      <c r="I473" s="45">
        <v>6</v>
      </c>
      <c r="J473" s="46">
        <v>134.03</v>
      </c>
      <c r="K473" s="47">
        <f t="shared" si="12"/>
        <v>804.18000000000006</v>
      </c>
    </row>
    <row r="474" spans="2:11" x14ac:dyDescent="0.25">
      <c r="B474" s="22" t="s">
        <v>3142</v>
      </c>
      <c r="C474" s="44" t="s">
        <v>3143</v>
      </c>
      <c r="D474" s="23">
        <v>381211</v>
      </c>
      <c r="E474" s="24" t="s">
        <v>1355</v>
      </c>
      <c r="F474" s="24" t="s">
        <v>2843</v>
      </c>
      <c r="G474" s="24" t="s">
        <v>3144</v>
      </c>
      <c r="H474" s="60" t="s">
        <v>2764</v>
      </c>
      <c r="I474" s="45">
        <v>20</v>
      </c>
      <c r="J474" s="46">
        <v>194.36</v>
      </c>
      <c r="K474" s="47">
        <f t="shared" si="12"/>
        <v>3887.2000000000003</v>
      </c>
    </row>
    <row r="475" spans="2:11" x14ac:dyDescent="0.25">
      <c r="B475" s="22" t="s">
        <v>3145</v>
      </c>
      <c r="C475" s="44" t="s">
        <v>3146</v>
      </c>
      <c r="D475" s="23">
        <v>381209</v>
      </c>
      <c r="E475" s="24" t="s">
        <v>1355</v>
      </c>
      <c r="F475" s="24" t="s">
        <v>2843</v>
      </c>
      <c r="G475" s="24" t="s">
        <v>3147</v>
      </c>
      <c r="H475" s="60" t="s">
        <v>2764</v>
      </c>
      <c r="I475" s="45">
        <v>58</v>
      </c>
      <c r="J475" s="46">
        <v>255.96</v>
      </c>
      <c r="K475" s="47">
        <f t="shared" si="12"/>
        <v>14845.68</v>
      </c>
    </row>
    <row r="476" spans="2:11" x14ac:dyDescent="0.25">
      <c r="B476" s="22" t="s">
        <v>3148</v>
      </c>
      <c r="C476" s="44" t="s">
        <v>3149</v>
      </c>
      <c r="D476" s="23">
        <v>381213</v>
      </c>
      <c r="E476" s="24" t="s">
        <v>1355</v>
      </c>
      <c r="F476" s="24" t="s">
        <v>2843</v>
      </c>
      <c r="G476" s="24" t="s">
        <v>3150</v>
      </c>
      <c r="H476" s="60" t="s">
        <v>2764</v>
      </c>
      <c r="I476" s="45">
        <v>103</v>
      </c>
      <c r="J476" s="46">
        <v>421.73</v>
      </c>
      <c r="K476" s="47">
        <f t="shared" si="12"/>
        <v>43438.19</v>
      </c>
    </row>
    <row r="477" spans="2:11" x14ac:dyDescent="0.25">
      <c r="B477" s="22" t="s">
        <v>3151</v>
      </c>
      <c r="C477" s="44" t="s">
        <v>3152</v>
      </c>
      <c r="D477" s="23" t="s">
        <v>3153</v>
      </c>
      <c r="E477" s="24" t="s">
        <v>1355</v>
      </c>
      <c r="F477" s="24" t="s">
        <v>2843</v>
      </c>
      <c r="G477" s="24" t="s">
        <v>3154</v>
      </c>
      <c r="H477" s="24" t="s">
        <v>2983</v>
      </c>
      <c r="I477" s="45">
        <v>180</v>
      </c>
      <c r="J477" s="46">
        <v>209.6</v>
      </c>
      <c r="K477" s="47">
        <f t="shared" si="12"/>
        <v>37728</v>
      </c>
    </row>
    <row r="478" spans="2:11" x14ac:dyDescent="0.25">
      <c r="B478" s="22" t="s">
        <v>3155</v>
      </c>
      <c r="C478" s="44" t="s">
        <v>3156</v>
      </c>
      <c r="D478" s="23" t="s">
        <v>3157</v>
      </c>
      <c r="E478" s="24" t="s">
        <v>1355</v>
      </c>
      <c r="F478" s="24" t="s">
        <v>2843</v>
      </c>
      <c r="G478" s="24" t="s">
        <v>3158</v>
      </c>
      <c r="H478" s="24" t="s">
        <v>2983</v>
      </c>
      <c r="I478" s="45">
        <v>170</v>
      </c>
      <c r="J478" s="46">
        <v>209.6</v>
      </c>
      <c r="K478" s="47">
        <f t="shared" si="12"/>
        <v>35632</v>
      </c>
    </row>
    <row r="479" spans="2:11" x14ac:dyDescent="0.25">
      <c r="B479" s="22" t="s">
        <v>3159</v>
      </c>
      <c r="C479" s="44" t="s">
        <v>3160</v>
      </c>
      <c r="D479" s="23"/>
      <c r="E479" s="24" t="s">
        <v>1355</v>
      </c>
      <c r="F479" s="24" t="s">
        <v>2843</v>
      </c>
      <c r="G479" s="24" t="s">
        <v>3161</v>
      </c>
      <c r="H479" s="24" t="s">
        <v>2983</v>
      </c>
      <c r="I479" s="45">
        <v>2</v>
      </c>
      <c r="J479" s="46">
        <v>5479.65</v>
      </c>
      <c r="K479" s="47">
        <f t="shared" si="12"/>
        <v>10959.3</v>
      </c>
    </row>
    <row r="480" spans="2:11" x14ac:dyDescent="0.25">
      <c r="B480" s="22" t="s">
        <v>3162</v>
      </c>
      <c r="C480" s="44" t="s">
        <v>3163</v>
      </c>
      <c r="D480" s="23"/>
      <c r="E480" s="24" t="s">
        <v>1355</v>
      </c>
      <c r="F480" s="24" t="s">
        <v>2843</v>
      </c>
      <c r="G480" s="24" t="s">
        <v>3164</v>
      </c>
      <c r="H480" s="24" t="s">
        <v>2983</v>
      </c>
      <c r="I480" s="45">
        <v>106</v>
      </c>
      <c r="J480" s="46">
        <v>7423.65</v>
      </c>
      <c r="K480" s="47">
        <f t="shared" si="12"/>
        <v>786906.89999999991</v>
      </c>
    </row>
    <row r="481" spans="2:11" x14ac:dyDescent="0.25">
      <c r="B481" s="22" t="s">
        <v>3165</v>
      </c>
      <c r="C481" s="44" t="s">
        <v>3166</v>
      </c>
      <c r="D481" s="23"/>
      <c r="E481" s="24" t="s">
        <v>1355</v>
      </c>
      <c r="F481" s="24" t="s">
        <v>2843</v>
      </c>
      <c r="G481" s="24" t="s">
        <v>3167</v>
      </c>
      <c r="H481" s="24" t="s">
        <v>2983</v>
      </c>
      <c r="I481" s="45">
        <v>88</v>
      </c>
      <c r="J481" s="46">
        <v>8026.43</v>
      </c>
      <c r="K481" s="47">
        <f t="shared" si="12"/>
        <v>706325.84000000008</v>
      </c>
    </row>
    <row r="482" spans="2:11" x14ac:dyDescent="0.25">
      <c r="B482" s="22" t="s">
        <v>3168</v>
      </c>
      <c r="C482" s="44" t="s">
        <v>3169</v>
      </c>
      <c r="D482" s="23" t="s">
        <v>3170</v>
      </c>
      <c r="E482" s="24" t="s">
        <v>1355</v>
      </c>
      <c r="F482" s="24" t="s">
        <v>2843</v>
      </c>
      <c r="G482" s="24" t="s">
        <v>3171</v>
      </c>
      <c r="H482" s="24" t="s">
        <v>2983</v>
      </c>
      <c r="I482" s="45">
        <v>1488</v>
      </c>
      <c r="J482" s="46">
        <v>215.16</v>
      </c>
      <c r="K482" s="47">
        <f t="shared" si="12"/>
        <v>320158.08000000002</v>
      </c>
    </row>
    <row r="483" spans="2:11" x14ac:dyDescent="0.25">
      <c r="B483" s="22" t="s">
        <v>3172</v>
      </c>
      <c r="C483" s="44" t="s">
        <v>3173</v>
      </c>
      <c r="D483" s="23"/>
      <c r="E483" s="24" t="s">
        <v>1355</v>
      </c>
      <c r="F483" s="24" t="s">
        <v>2843</v>
      </c>
      <c r="G483" s="24" t="s">
        <v>3174</v>
      </c>
      <c r="H483" s="18" t="s">
        <v>1361</v>
      </c>
      <c r="I483" s="45">
        <v>2200</v>
      </c>
      <c r="J483" s="46">
        <v>612.54</v>
      </c>
      <c r="K483" s="47">
        <f t="shared" si="12"/>
        <v>1347588</v>
      </c>
    </row>
    <row r="484" spans="2:11" x14ac:dyDescent="0.25">
      <c r="B484" s="22" t="s">
        <v>3175</v>
      </c>
      <c r="C484" s="44" t="s">
        <v>3176</v>
      </c>
      <c r="D484" s="23"/>
      <c r="E484" s="24" t="s">
        <v>1355</v>
      </c>
      <c r="F484" s="24" t="s">
        <v>2843</v>
      </c>
      <c r="G484" s="24" t="s">
        <v>3177</v>
      </c>
      <c r="H484" s="60" t="s">
        <v>2764</v>
      </c>
      <c r="I484" s="45">
        <v>20</v>
      </c>
      <c r="J484" s="46">
        <v>383.87</v>
      </c>
      <c r="K484" s="47">
        <f t="shared" si="12"/>
        <v>7677.4</v>
      </c>
    </row>
    <row r="485" spans="2:11" x14ac:dyDescent="0.25">
      <c r="B485" s="22" t="s">
        <v>3178</v>
      </c>
      <c r="C485" s="44" t="s">
        <v>3179</v>
      </c>
      <c r="D485" s="23" t="s">
        <v>3180</v>
      </c>
      <c r="E485" s="24" t="s">
        <v>1355</v>
      </c>
      <c r="F485" s="24" t="s">
        <v>2843</v>
      </c>
      <c r="G485" s="24" t="s">
        <v>3181</v>
      </c>
      <c r="H485" s="60" t="s">
        <v>2764</v>
      </c>
      <c r="I485" s="45">
        <v>30</v>
      </c>
      <c r="J485" s="46">
        <v>138.04</v>
      </c>
      <c r="K485" s="47">
        <f t="shared" si="12"/>
        <v>4141.2</v>
      </c>
    </row>
    <row r="486" spans="2:11" x14ac:dyDescent="0.25">
      <c r="B486" s="22" t="s">
        <v>3182</v>
      </c>
      <c r="C486" s="44" t="s">
        <v>3183</v>
      </c>
      <c r="D486" s="23"/>
      <c r="E486" s="24" t="s">
        <v>1355</v>
      </c>
      <c r="F486" s="24" t="s">
        <v>2843</v>
      </c>
      <c r="G486" s="24" t="s">
        <v>3184</v>
      </c>
      <c r="H486" s="60" t="s">
        <v>2764</v>
      </c>
      <c r="I486" s="45">
        <v>44</v>
      </c>
      <c r="J486" s="46">
        <v>3250.13</v>
      </c>
      <c r="K486" s="47">
        <f t="shared" si="12"/>
        <v>143005.72</v>
      </c>
    </row>
    <row r="487" spans="2:11" x14ac:dyDescent="0.25">
      <c r="B487" s="22" t="s">
        <v>3185</v>
      </c>
      <c r="C487" s="44" t="s">
        <v>3186</v>
      </c>
      <c r="D487" s="23" t="s">
        <v>3187</v>
      </c>
      <c r="E487" s="24" t="s">
        <v>1355</v>
      </c>
      <c r="F487" s="24" t="s">
        <v>2843</v>
      </c>
      <c r="G487" s="24" t="s">
        <v>3188</v>
      </c>
      <c r="H487" s="60" t="s">
        <v>2764</v>
      </c>
      <c r="I487" s="45">
        <v>106</v>
      </c>
      <c r="J487" s="46">
        <v>1642.59</v>
      </c>
      <c r="K487" s="47">
        <f t="shared" si="12"/>
        <v>174114.53999999998</v>
      </c>
    </row>
    <row r="488" spans="2:11" x14ac:dyDescent="0.25">
      <c r="B488" s="22" t="s">
        <v>3189</v>
      </c>
      <c r="C488" s="44" t="s">
        <v>3190</v>
      </c>
      <c r="D488" s="23"/>
      <c r="E488" s="24" t="s">
        <v>1355</v>
      </c>
      <c r="F488" s="24" t="s">
        <v>2843</v>
      </c>
      <c r="G488" s="24" t="s">
        <v>3191</v>
      </c>
      <c r="H488" s="24" t="s">
        <v>2983</v>
      </c>
      <c r="I488" s="45">
        <v>1630</v>
      </c>
      <c r="J488" s="46">
        <v>10397.879999999999</v>
      </c>
      <c r="K488" s="47">
        <f t="shared" si="12"/>
        <v>16948544.399999999</v>
      </c>
    </row>
    <row r="489" spans="2:11" x14ac:dyDescent="0.25">
      <c r="B489" s="22" t="s">
        <v>3192</v>
      </c>
      <c r="C489" s="44" t="s">
        <v>3193</v>
      </c>
      <c r="D489" s="23"/>
      <c r="E489" s="24" t="s">
        <v>1355</v>
      </c>
      <c r="F489" s="24" t="s">
        <v>2843</v>
      </c>
      <c r="G489" s="24" t="s">
        <v>3194</v>
      </c>
      <c r="H489" s="24" t="s">
        <v>2983</v>
      </c>
      <c r="I489" s="45">
        <v>2</v>
      </c>
      <c r="J489" s="46">
        <v>146930.81</v>
      </c>
      <c r="K489" s="47">
        <f t="shared" si="12"/>
        <v>293861.62</v>
      </c>
    </row>
    <row r="490" spans="2:11" x14ac:dyDescent="0.25">
      <c r="B490" s="22" t="s">
        <v>3195</v>
      </c>
      <c r="C490" s="44" t="s">
        <v>3196</v>
      </c>
      <c r="D490" s="23"/>
      <c r="E490" s="24" t="s">
        <v>1355</v>
      </c>
      <c r="F490" s="24" t="s">
        <v>2843</v>
      </c>
      <c r="G490" s="24" t="s">
        <v>3197</v>
      </c>
      <c r="H490" s="24" t="s">
        <v>2983</v>
      </c>
      <c r="I490" s="45">
        <v>2</v>
      </c>
      <c r="J490" s="46">
        <v>146930.81</v>
      </c>
      <c r="K490" s="47">
        <f t="shared" si="12"/>
        <v>293861.62</v>
      </c>
    </row>
    <row r="491" spans="2:11" x14ac:dyDescent="0.25">
      <c r="B491" s="22" t="s">
        <v>3198</v>
      </c>
      <c r="C491" s="44" t="s">
        <v>3199</v>
      </c>
      <c r="D491" s="23"/>
      <c r="E491" s="24" t="s">
        <v>1355</v>
      </c>
      <c r="F491" s="24" t="s">
        <v>2843</v>
      </c>
      <c r="G491" s="24" t="s">
        <v>3200</v>
      </c>
      <c r="H491" s="24" t="s">
        <v>2983</v>
      </c>
      <c r="I491" s="45">
        <v>1</v>
      </c>
      <c r="J491" s="46">
        <v>146930.81</v>
      </c>
      <c r="K491" s="47">
        <f t="shared" si="12"/>
        <v>146930.81</v>
      </c>
    </row>
    <row r="492" spans="2:11" x14ac:dyDescent="0.25">
      <c r="B492" s="22" t="s">
        <v>3201</v>
      </c>
      <c r="C492" s="44" t="s">
        <v>3202</v>
      </c>
      <c r="D492" s="23"/>
      <c r="E492" s="24" t="s">
        <v>1355</v>
      </c>
      <c r="F492" s="24" t="s">
        <v>2843</v>
      </c>
      <c r="G492" s="24" t="s">
        <v>3203</v>
      </c>
      <c r="H492" s="24" t="s">
        <v>2983</v>
      </c>
      <c r="I492" s="45">
        <v>1</v>
      </c>
      <c r="J492" s="46">
        <v>146930.81</v>
      </c>
      <c r="K492" s="47">
        <f t="shared" si="12"/>
        <v>146930.81</v>
      </c>
    </row>
    <row r="493" spans="2:11" x14ac:dyDescent="0.25">
      <c r="B493" s="22" t="s">
        <v>3204</v>
      </c>
      <c r="C493" s="44" t="s">
        <v>3205</v>
      </c>
      <c r="D493" s="23"/>
      <c r="E493" s="24" t="s">
        <v>1355</v>
      </c>
      <c r="F493" s="24" t="s">
        <v>2843</v>
      </c>
      <c r="G493" s="24" t="s">
        <v>3206</v>
      </c>
      <c r="H493" s="24" t="s">
        <v>2983</v>
      </c>
      <c r="I493" s="45">
        <v>1</v>
      </c>
      <c r="J493" s="46">
        <v>146930.81</v>
      </c>
      <c r="K493" s="47">
        <f t="shared" si="12"/>
        <v>146930.81</v>
      </c>
    </row>
    <row r="494" spans="2:11" x14ac:dyDescent="0.25">
      <c r="B494" s="22" t="s">
        <v>3207</v>
      </c>
      <c r="C494" s="44" t="s">
        <v>3208</v>
      </c>
      <c r="D494" s="23"/>
      <c r="E494" s="24" t="s">
        <v>1355</v>
      </c>
      <c r="F494" s="24" t="s">
        <v>2843</v>
      </c>
      <c r="G494" s="24" t="s">
        <v>3209</v>
      </c>
      <c r="H494" s="24" t="s">
        <v>2983</v>
      </c>
      <c r="I494" s="45">
        <v>3</v>
      </c>
      <c r="J494" s="46">
        <v>146930.81</v>
      </c>
      <c r="K494" s="47">
        <f t="shared" si="12"/>
        <v>440792.43</v>
      </c>
    </row>
    <row r="495" spans="2:11" x14ac:dyDescent="0.25">
      <c r="B495" s="22" t="s">
        <v>3210</v>
      </c>
      <c r="C495" s="44" t="s">
        <v>3211</v>
      </c>
      <c r="D495" s="23"/>
      <c r="E495" s="24" t="s">
        <v>1355</v>
      </c>
      <c r="F495" s="24" t="s">
        <v>2843</v>
      </c>
      <c r="G495" s="24" t="s">
        <v>3212</v>
      </c>
      <c r="H495" s="24" t="s">
        <v>2983</v>
      </c>
      <c r="I495" s="45">
        <v>3</v>
      </c>
      <c r="J495" s="46">
        <v>146930.81</v>
      </c>
      <c r="K495" s="47">
        <f t="shared" si="12"/>
        <v>440792.43</v>
      </c>
    </row>
    <row r="496" spans="2:11" x14ac:dyDescent="0.25">
      <c r="B496" s="22" t="s">
        <v>3213</v>
      </c>
      <c r="C496" s="44" t="s">
        <v>3214</v>
      </c>
      <c r="D496" s="23"/>
      <c r="E496" s="24" t="s">
        <v>1355</v>
      </c>
      <c r="F496" s="24" t="s">
        <v>2843</v>
      </c>
      <c r="G496" s="24" t="s">
        <v>3215</v>
      </c>
      <c r="H496" s="24" t="s">
        <v>2983</v>
      </c>
      <c r="I496" s="45">
        <v>6</v>
      </c>
      <c r="J496" s="46">
        <v>146930.81</v>
      </c>
      <c r="K496" s="47">
        <f t="shared" si="12"/>
        <v>881584.86</v>
      </c>
    </row>
    <row r="497" spans="2:11" x14ac:dyDescent="0.25">
      <c r="B497" s="22" t="s">
        <v>3216</v>
      </c>
      <c r="C497" s="44" t="s">
        <v>3217</v>
      </c>
      <c r="D497" s="23"/>
      <c r="E497" s="24" t="s">
        <v>1355</v>
      </c>
      <c r="F497" s="24" t="s">
        <v>2843</v>
      </c>
      <c r="G497" s="24" t="s">
        <v>3218</v>
      </c>
      <c r="H497" s="24" t="s">
        <v>2983</v>
      </c>
      <c r="I497" s="45">
        <v>3</v>
      </c>
      <c r="J497" s="46">
        <v>7206.79</v>
      </c>
      <c r="K497" s="47">
        <f t="shared" si="12"/>
        <v>21620.37</v>
      </c>
    </row>
    <row r="498" spans="2:11" x14ac:dyDescent="0.25">
      <c r="B498" s="22" t="s">
        <v>3219</v>
      </c>
      <c r="C498" s="44" t="s">
        <v>3220</v>
      </c>
      <c r="D498" s="23"/>
      <c r="E498" s="24" t="s">
        <v>1355</v>
      </c>
      <c r="F498" s="24" t="s">
        <v>2843</v>
      </c>
      <c r="G498" s="24" t="s">
        <v>3221</v>
      </c>
      <c r="H498" s="24" t="s">
        <v>2983</v>
      </c>
      <c r="I498" s="45">
        <v>1</v>
      </c>
      <c r="J498" s="46">
        <v>7206.79</v>
      </c>
      <c r="K498" s="47">
        <f t="shared" si="12"/>
        <v>7206.79</v>
      </c>
    </row>
    <row r="499" spans="2:11" x14ac:dyDescent="0.25">
      <c r="B499" s="22" t="s">
        <v>3222</v>
      </c>
      <c r="C499" s="44" t="s">
        <v>3223</v>
      </c>
      <c r="D499" s="23"/>
      <c r="E499" s="24" t="s">
        <v>1355</v>
      </c>
      <c r="F499" s="24" t="s">
        <v>2843</v>
      </c>
      <c r="G499" s="24" t="s">
        <v>3224</v>
      </c>
      <c r="H499" s="24" t="s">
        <v>2983</v>
      </c>
      <c r="I499" s="45">
        <v>3</v>
      </c>
      <c r="J499" s="46">
        <v>7206.79</v>
      </c>
      <c r="K499" s="47">
        <f t="shared" si="12"/>
        <v>21620.37</v>
      </c>
    </row>
    <row r="500" spans="2:11" x14ac:dyDescent="0.25">
      <c r="B500" s="22" t="s">
        <v>3225</v>
      </c>
      <c r="C500" s="44" t="s">
        <v>3226</v>
      </c>
      <c r="D500" s="23"/>
      <c r="E500" s="24" t="s">
        <v>1355</v>
      </c>
      <c r="F500" s="24" t="s">
        <v>2843</v>
      </c>
      <c r="G500" s="24" t="s">
        <v>3227</v>
      </c>
      <c r="H500" s="24" t="s">
        <v>2983</v>
      </c>
      <c r="I500" s="45">
        <v>1</v>
      </c>
      <c r="J500" s="46">
        <v>7206.79</v>
      </c>
      <c r="K500" s="47">
        <f t="shared" si="12"/>
        <v>7206.79</v>
      </c>
    </row>
    <row r="501" spans="2:11" x14ac:dyDescent="0.25">
      <c r="B501" s="22" t="s">
        <v>3228</v>
      </c>
      <c r="C501" s="44" t="s">
        <v>3229</v>
      </c>
      <c r="D501" s="23"/>
      <c r="E501" s="24" t="s">
        <v>1355</v>
      </c>
      <c r="F501" s="24" t="s">
        <v>2843</v>
      </c>
      <c r="G501" s="24" t="s">
        <v>3230</v>
      </c>
      <c r="H501" s="24" t="s">
        <v>2983</v>
      </c>
      <c r="I501" s="45">
        <v>3</v>
      </c>
      <c r="J501" s="46">
        <v>7206.79</v>
      </c>
      <c r="K501" s="47">
        <f t="shared" si="12"/>
        <v>21620.37</v>
      </c>
    </row>
    <row r="502" spans="2:11" x14ac:dyDescent="0.25">
      <c r="B502" s="22" t="s">
        <v>3231</v>
      </c>
      <c r="C502" s="44" t="s">
        <v>3232</v>
      </c>
      <c r="D502" s="23"/>
      <c r="E502" s="24" t="s">
        <v>1355</v>
      </c>
      <c r="F502" s="24" t="s">
        <v>2843</v>
      </c>
      <c r="G502" s="24" t="s">
        <v>3233</v>
      </c>
      <c r="H502" s="24" t="s">
        <v>2983</v>
      </c>
      <c r="I502" s="45">
        <v>4</v>
      </c>
      <c r="J502" s="46">
        <v>7206.79</v>
      </c>
      <c r="K502" s="47">
        <f t="shared" si="12"/>
        <v>28827.16</v>
      </c>
    </row>
    <row r="503" spans="2:11" x14ac:dyDescent="0.25">
      <c r="B503" s="22" t="s">
        <v>3234</v>
      </c>
      <c r="C503" s="44" t="s">
        <v>3235</v>
      </c>
      <c r="D503" s="23"/>
      <c r="E503" s="24" t="s">
        <v>1355</v>
      </c>
      <c r="F503" s="24" t="s">
        <v>2843</v>
      </c>
      <c r="G503" s="24" t="s">
        <v>3236</v>
      </c>
      <c r="H503" s="24" t="s">
        <v>2983</v>
      </c>
      <c r="I503" s="45">
        <v>1</v>
      </c>
      <c r="J503" s="46">
        <v>7206.79</v>
      </c>
      <c r="K503" s="47">
        <f t="shared" si="12"/>
        <v>7206.79</v>
      </c>
    </row>
    <row r="504" spans="2:11" x14ac:dyDescent="0.25">
      <c r="B504" s="22" t="s">
        <v>3237</v>
      </c>
      <c r="C504" s="44" t="s">
        <v>3238</v>
      </c>
      <c r="D504" s="23"/>
      <c r="E504" s="24" t="s">
        <v>1355</v>
      </c>
      <c r="F504" s="24" t="s">
        <v>2843</v>
      </c>
      <c r="G504" s="24" t="s">
        <v>3239</v>
      </c>
      <c r="H504" s="24" t="s">
        <v>2983</v>
      </c>
      <c r="I504" s="45">
        <v>3</v>
      </c>
      <c r="J504" s="46">
        <v>5285.51</v>
      </c>
      <c r="K504" s="47">
        <f t="shared" si="12"/>
        <v>15856.53</v>
      </c>
    </row>
    <row r="505" spans="2:11" x14ac:dyDescent="0.25">
      <c r="B505" s="22" t="s">
        <v>3240</v>
      </c>
      <c r="C505" s="44" t="s">
        <v>3241</v>
      </c>
      <c r="D505" s="23"/>
      <c r="E505" s="24" t="s">
        <v>1355</v>
      </c>
      <c r="F505" s="24" t="s">
        <v>2843</v>
      </c>
      <c r="G505" s="24" t="s">
        <v>3242</v>
      </c>
      <c r="H505" s="60" t="s">
        <v>2764</v>
      </c>
      <c r="I505" s="45">
        <v>2</v>
      </c>
      <c r="J505" s="46">
        <v>3274.29</v>
      </c>
      <c r="K505" s="47">
        <f t="shared" si="12"/>
        <v>6548.58</v>
      </c>
    </row>
    <row r="506" spans="2:11" x14ac:dyDescent="0.25">
      <c r="B506" s="22" t="s">
        <v>3243</v>
      </c>
      <c r="C506" s="44" t="s">
        <v>3244</v>
      </c>
      <c r="D506" s="23"/>
      <c r="E506" s="24" t="s">
        <v>1355</v>
      </c>
      <c r="F506" s="24" t="s">
        <v>2843</v>
      </c>
      <c r="G506" s="24" t="s">
        <v>3245</v>
      </c>
      <c r="H506" s="24" t="s">
        <v>2983</v>
      </c>
      <c r="I506" s="45">
        <v>2</v>
      </c>
      <c r="J506" s="46">
        <v>429688.38</v>
      </c>
      <c r="K506" s="47">
        <f t="shared" si="12"/>
        <v>859376.76</v>
      </c>
    </row>
    <row r="507" spans="2:11" x14ac:dyDescent="0.25">
      <c r="B507" s="22" t="s">
        <v>3246</v>
      </c>
      <c r="C507" s="44" t="s">
        <v>3247</v>
      </c>
      <c r="D507" s="23"/>
      <c r="E507" s="24" t="s">
        <v>1355</v>
      </c>
      <c r="F507" s="24" t="s">
        <v>2843</v>
      </c>
      <c r="G507" s="24" t="s">
        <v>3248</v>
      </c>
      <c r="H507" s="24" t="s">
        <v>2983</v>
      </c>
      <c r="I507" s="45">
        <v>20</v>
      </c>
      <c r="J507" s="46">
        <v>11861.72</v>
      </c>
      <c r="K507" s="47">
        <f t="shared" si="12"/>
        <v>237234.4</v>
      </c>
    </row>
    <row r="508" spans="2:11" x14ac:dyDescent="0.25">
      <c r="B508" s="22" t="s">
        <v>3249</v>
      </c>
      <c r="C508" s="44" t="s">
        <v>3250</v>
      </c>
      <c r="D508" s="23"/>
      <c r="E508" s="24" t="s">
        <v>1355</v>
      </c>
      <c r="F508" s="24" t="s">
        <v>2843</v>
      </c>
      <c r="G508" s="24" t="s">
        <v>3251</v>
      </c>
      <c r="H508" s="24" t="s">
        <v>2983</v>
      </c>
      <c r="I508" s="45">
        <v>10</v>
      </c>
      <c r="J508" s="46">
        <v>11861.72</v>
      </c>
      <c r="K508" s="47">
        <f t="shared" si="12"/>
        <v>118617.2</v>
      </c>
    </row>
    <row r="509" spans="2:11" x14ac:dyDescent="0.25">
      <c r="B509" s="22" t="s">
        <v>3252</v>
      </c>
      <c r="C509" s="44" t="s">
        <v>3253</v>
      </c>
      <c r="D509" s="23"/>
      <c r="E509" s="24" t="s">
        <v>1355</v>
      </c>
      <c r="F509" s="24" t="s">
        <v>2843</v>
      </c>
      <c r="G509" s="24" t="s">
        <v>3254</v>
      </c>
      <c r="H509" s="24" t="s">
        <v>2983</v>
      </c>
      <c r="I509" s="45">
        <v>1</v>
      </c>
      <c r="J509" s="46">
        <v>11861.72</v>
      </c>
      <c r="K509" s="47">
        <f t="shared" si="12"/>
        <v>11861.72</v>
      </c>
    </row>
    <row r="510" spans="2:11" x14ac:dyDescent="0.25">
      <c r="B510" s="22" t="s">
        <v>3255</v>
      </c>
      <c r="C510" s="44" t="s">
        <v>3256</v>
      </c>
      <c r="D510" s="23"/>
      <c r="E510" s="24" t="s">
        <v>1355</v>
      </c>
      <c r="F510" s="24" t="s">
        <v>2843</v>
      </c>
      <c r="G510" s="24" t="s">
        <v>3257</v>
      </c>
      <c r="H510" s="24" t="s">
        <v>2983</v>
      </c>
      <c r="I510" s="45">
        <v>2</v>
      </c>
      <c r="J510" s="46">
        <v>11861.72</v>
      </c>
      <c r="K510" s="47">
        <f t="shared" si="12"/>
        <v>23723.439999999999</v>
      </c>
    </row>
    <row r="511" spans="2:11" x14ac:dyDescent="0.25">
      <c r="B511" s="22" t="s">
        <v>3258</v>
      </c>
      <c r="C511" s="44" t="s">
        <v>3259</v>
      </c>
      <c r="D511" s="23"/>
      <c r="E511" s="24" t="s">
        <v>1355</v>
      </c>
      <c r="F511" s="24" t="s">
        <v>2843</v>
      </c>
      <c r="G511" s="24" t="s">
        <v>3260</v>
      </c>
      <c r="H511" s="24" t="s">
        <v>2983</v>
      </c>
      <c r="I511" s="45">
        <v>2</v>
      </c>
      <c r="J511" s="46">
        <v>11861.72</v>
      </c>
      <c r="K511" s="47">
        <f t="shared" si="12"/>
        <v>23723.439999999999</v>
      </c>
    </row>
    <row r="512" spans="2:11" x14ac:dyDescent="0.25">
      <c r="B512" s="22" t="s">
        <v>3261</v>
      </c>
      <c r="C512" s="44" t="s">
        <v>3262</v>
      </c>
      <c r="D512" s="23"/>
      <c r="E512" s="24" t="s">
        <v>1355</v>
      </c>
      <c r="F512" s="24" t="s">
        <v>2843</v>
      </c>
      <c r="G512" s="24" t="s">
        <v>3263</v>
      </c>
      <c r="H512" s="24" t="s">
        <v>2983</v>
      </c>
      <c r="I512" s="45">
        <v>4</v>
      </c>
      <c r="J512" s="46">
        <v>11861.72</v>
      </c>
      <c r="K512" s="47">
        <f t="shared" si="12"/>
        <v>47446.879999999997</v>
      </c>
    </row>
    <row r="513" spans="2:11" x14ac:dyDescent="0.25">
      <c r="B513" s="22" t="s">
        <v>3264</v>
      </c>
      <c r="C513" s="44" t="s">
        <v>3265</v>
      </c>
      <c r="D513" s="23">
        <v>360902</v>
      </c>
      <c r="E513" s="24" t="s">
        <v>1355</v>
      </c>
      <c r="F513" s="24" t="s">
        <v>2843</v>
      </c>
      <c r="G513" s="24" t="s">
        <v>3266</v>
      </c>
      <c r="H513" s="24" t="s">
        <v>1627</v>
      </c>
      <c r="I513" s="45">
        <v>4</v>
      </c>
      <c r="J513" s="46">
        <v>17892.95</v>
      </c>
      <c r="K513" s="47">
        <f t="shared" si="12"/>
        <v>71571.8</v>
      </c>
    </row>
    <row r="514" spans="2:11" x14ac:dyDescent="0.25">
      <c r="B514" s="22" t="s">
        <v>3267</v>
      </c>
      <c r="C514" s="44" t="s">
        <v>3268</v>
      </c>
      <c r="D514" s="23"/>
      <c r="E514" s="24" t="s">
        <v>1355</v>
      </c>
      <c r="F514" s="24" t="s">
        <v>2843</v>
      </c>
      <c r="G514" s="24" t="s">
        <v>3269</v>
      </c>
      <c r="H514" s="60" t="s">
        <v>2764</v>
      </c>
      <c r="I514" s="45">
        <v>2</v>
      </c>
      <c r="J514" s="46">
        <v>5485.05</v>
      </c>
      <c r="K514" s="47">
        <f t="shared" si="12"/>
        <v>10970.1</v>
      </c>
    </row>
    <row r="515" spans="2:11" x14ac:dyDescent="0.25">
      <c r="B515" s="22" t="s">
        <v>3270</v>
      </c>
      <c r="C515" s="44" t="s">
        <v>3271</v>
      </c>
      <c r="D515" s="23" t="s">
        <v>3272</v>
      </c>
      <c r="E515" s="24" t="s">
        <v>1355</v>
      </c>
      <c r="F515" s="24" t="s">
        <v>2843</v>
      </c>
      <c r="G515" s="24" t="s">
        <v>3273</v>
      </c>
      <c r="H515" s="60" t="s">
        <v>2764</v>
      </c>
      <c r="I515" s="45">
        <v>31</v>
      </c>
      <c r="J515" s="46">
        <v>148.65</v>
      </c>
      <c r="K515" s="47">
        <f t="shared" si="12"/>
        <v>4608.1500000000005</v>
      </c>
    </row>
    <row r="516" spans="2:11" x14ac:dyDescent="0.25">
      <c r="B516" s="22" t="s">
        <v>3274</v>
      </c>
      <c r="C516" s="44" t="s">
        <v>3275</v>
      </c>
      <c r="D516" s="23"/>
      <c r="E516" s="24" t="s">
        <v>1355</v>
      </c>
      <c r="F516" s="24" t="s">
        <v>2843</v>
      </c>
      <c r="G516" s="24" t="s">
        <v>3276</v>
      </c>
      <c r="H516" s="24" t="s">
        <v>2983</v>
      </c>
      <c r="I516" s="45">
        <v>1</v>
      </c>
      <c r="J516" s="46">
        <v>69049.539999999994</v>
      </c>
      <c r="K516" s="47">
        <f t="shared" si="12"/>
        <v>69049.539999999994</v>
      </c>
    </row>
    <row r="517" spans="2:11" x14ac:dyDescent="0.25">
      <c r="B517" s="22" t="s">
        <v>3277</v>
      </c>
      <c r="C517" s="44" t="s">
        <v>3278</v>
      </c>
      <c r="D517" s="23"/>
      <c r="E517" s="24" t="s">
        <v>1355</v>
      </c>
      <c r="F517" s="24" t="s">
        <v>2843</v>
      </c>
      <c r="G517" s="24" t="s">
        <v>3279</v>
      </c>
      <c r="H517" s="24" t="s">
        <v>2983</v>
      </c>
      <c r="I517" s="45">
        <v>6</v>
      </c>
      <c r="J517" s="46">
        <v>141723</v>
      </c>
      <c r="K517" s="47">
        <f t="shared" si="12"/>
        <v>850338</v>
      </c>
    </row>
    <row r="518" spans="2:11" x14ac:dyDescent="0.25">
      <c r="B518" s="22" t="s">
        <v>3280</v>
      </c>
      <c r="C518" s="44" t="s">
        <v>3281</v>
      </c>
      <c r="D518" s="23"/>
      <c r="E518" s="24" t="s">
        <v>1355</v>
      </c>
      <c r="F518" s="24" t="s">
        <v>2843</v>
      </c>
      <c r="G518" s="24" t="s">
        <v>3282</v>
      </c>
      <c r="H518" s="24" t="s">
        <v>2983</v>
      </c>
      <c r="I518" s="45">
        <v>1</v>
      </c>
      <c r="J518" s="46">
        <v>18763.650000000001</v>
      </c>
      <c r="K518" s="47">
        <f t="shared" ref="K518:K522" si="13">I518*J518</f>
        <v>18763.650000000001</v>
      </c>
    </row>
    <row r="519" spans="2:11" x14ac:dyDescent="0.25">
      <c r="B519" s="22" t="s">
        <v>3283</v>
      </c>
      <c r="C519" s="44" t="s">
        <v>3284</v>
      </c>
      <c r="D519" s="23"/>
      <c r="E519" s="24" t="s">
        <v>1355</v>
      </c>
      <c r="F519" s="24" t="s">
        <v>2843</v>
      </c>
      <c r="G519" s="24" t="s">
        <v>3285</v>
      </c>
      <c r="H519" s="24" t="s">
        <v>2983</v>
      </c>
      <c r="I519" s="45">
        <v>3</v>
      </c>
      <c r="J519" s="46">
        <v>62500</v>
      </c>
      <c r="K519" s="47">
        <f t="shared" si="13"/>
        <v>187500</v>
      </c>
    </row>
    <row r="520" spans="2:11" x14ac:dyDescent="0.25">
      <c r="B520" s="22" t="s">
        <v>3286</v>
      </c>
      <c r="C520" s="44" t="s">
        <v>3287</v>
      </c>
      <c r="D520" s="23"/>
      <c r="E520" s="24" t="s">
        <v>1355</v>
      </c>
      <c r="F520" s="24" t="s">
        <v>2843</v>
      </c>
      <c r="G520" s="24" t="s">
        <v>3288</v>
      </c>
      <c r="H520" s="24" t="s">
        <v>2983</v>
      </c>
      <c r="I520" s="45">
        <v>3</v>
      </c>
      <c r="J520" s="46">
        <v>43983</v>
      </c>
      <c r="K520" s="47">
        <f t="shared" si="13"/>
        <v>131949</v>
      </c>
    </row>
    <row r="521" spans="2:11" x14ac:dyDescent="0.25">
      <c r="B521" s="22" t="s">
        <v>3289</v>
      </c>
      <c r="C521" s="44" t="s">
        <v>3290</v>
      </c>
      <c r="D521" s="23"/>
      <c r="E521" s="24" t="s">
        <v>1355</v>
      </c>
      <c r="F521" s="24" t="s">
        <v>2843</v>
      </c>
      <c r="G521" s="24" t="s">
        <v>3291</v>
      </c>
      <c r="H521" s="24" t="s">
        <v>2983</v>
      </c>
      <c r="I521" s="45">
        <v>4</v>
      </c>
      <c r="J521" s="46">
        <v>93973.23</v>
      </c>
      <c r="K521" s="47">
        <f t="shared" si="13"/>
        <v>375892.92</v>
      </c>
    </row>
    <row r="522" spans="2:11" ht="13.5" thickBot="1" x14ac:dyDescent="0.3">
      <c r="B522" s="22" t="s">
        <v>3292</v>
      </c>
      <c r="C522" s="48" t="s">
        <v>3293</v>
      </c>
      <c r="D522" s="29"/>
      <c r="E522" s="30" t="s">
        <v>1355</v>
      </c>
      <c r="F522" s="30" t="s">
        <v>2843</v>
      </c>
      <c r="G522" s="30" t="s">
        <v>3294</v>
      </c>
      <c r="H522" s="24" t="s">
        <v>2983</v>
      </c>
      <c r="I522" s="49">
        <v>3</v>
      </c>
      <c r="J522" s="50">
        <v>93973.23</v>
      </c>
      <c r="K522" s="51">
        <f t="shared" si="13"/>
        <v>281919.69</v>
      </c>
    </row>
    <row r="523" spans="2:11" ht="13.5" thickBot="1" x14ac:dyDescent="0.3">
      <c r="B523" s="22" t="s">
        <v>3295</v>
      </c>
      <c r="C523" s="34">
        <v>13</v>
      </c>
      <c r="D523" s="52"/>
      <c r="E523" s="36" t="s">
        <v>1355</v>
      </c>
      <c r="F523" s="36" t="s">
        <v>3296</v>
      </c>
      <c r="G523" s="36"/>
      <c r="H523" s="36" t="s">
        <v>1528</v>
      </c>
      <c r="I523" s="37"/>
      <c r="J523" s="38"/>
      <c r="K523" s="39"/>
    </row>
    <row r="524" spans="2:11" x14ac:dyDescent="0.25">
      <c r="B524" s="22" t="s">
        <v>3297</v>
      </c>
      <c r="C524" s="40" t="s">
        <v>3298</v>
      </c>
      <c r="D524" s="17"/>
      <c r="E524" s="18" t="s">
        <v>1355</v>
      </c>
      <c r="F524" s="18" t="s">
        <v>3296</v>
      </c>
      <c r="G524" s="18" t="s">
        <v>3299</v>
      </c>
      <c r="H524" s="24" t="s">
        <v>2983</v>
      </c>
      <c r="I524" s="41">
        <v>5</v>
      </c>
      <c r="J524" s="42">
        <v>1907.09</v>
      </c>
      <c r="K524" s="43">
        <f>I524*J524</f>
        <v>9535.4499999999989</v>
      </c>
    </row>
    <row r="525" spans="2:11" x14ac:dyDescent="0.25">
      <c r="B525" s="22" t="s">
        <v>3300</v>
      </c>
      <c r="C525" s="44" t="s">
        <v>3301</v>
      </c>
      <c r="D525" s="23"/>
      <c r="E525" s="24" t="s">
        <v>1355</v>
      </c>
      <c r="F525" s="24" t="s">
        <v>3296</v>
      </c>
      <c r="G525" s="24" t="s">
        <v>3302</v>
      </c>
      <c r="H525" s="24" t="s">
        <v>2983</v>
      </c>
      <c r="I525" s="45">
        <v>4</v>
      </c>
      <c r="J525" s="46">
        <v>1907.09</v>
      </c>
      <c r="K525" s="47">
        <f t="shared" ref="K525:K588" si="14">I525*J525</f>
        <v>7628.36</v>
      </c>
    </row>
    <row r="526" spans="2:11" x14ac:dyDescent="0.25">
      <c r="B526" s="22" t="s">
        <v>3303</v>
      </c>
      <c r="C526" s="44" t="s">
        <v>3304</v>
      </c>
      <c r="D526" s="23"/>
      <c r="E526" s="24" t="s">
        <v>1355</v>
      </c>
      <c r="F526" s="24" t="s">
        <v>3296</v>
      </c>
      <c r="G526" s="24" t="s">
        <v>3305</v>
      </c>
      <c r="H526" s="24" t="s">
        <v>2983</v>
      </c>
      <c r="I526" s="45">
        <v>27</v>
      </c>
      <c r="J526" s="46">
        <v>1907.09</v>
      </c>
      <c r="K526" s="47">
        <f t="shared" si="14"/>
        <v>51491.43</v>
      </c>
    </row>
    <row r="527" spans="2:11" x14ac:dyDescent="0.25">
      <c r="B527" s="22" t="s">
        <v>3306</v>
      </c>
      <c r="C527" s="44" t="s">
        <v>3307</v>
      </c>
      <c r="D527" s="23"/>
      <c r="E527" s="24" t="s">
        <v>1355</v>
      </c>
      <c r="F527" s="24" t="s">
        <v>3296</v>
      </c>
      <c r="G527" s="24" t="s">
        <v>3308</v>
      </c>
      <c r="H527" s="24" t="s">
        <v>2983</v>
      </c>
      <c r="I527" s="45">
        <v>7</v>
      </c>
      <c r="J527" s="46">
        <v>1907.09</v>
      </c>
      <c r="K527" s="47">
        <f t="shared" si="14"/>
        <v>13349.63</v>
      </c>
    </row>
    <row r="528" spans="2:11" x14ac:dyDescent="0.25">
      <c r="B528" s="22" t="s">
        <v>3309</v>
      </c>
      <c r="C528" s="44" t="s">
        <v>3310</v>
      </c>
      <c r="D528" s="23"/>
      <c r="E528" s="24" t="s">
        <v>1355</v>
      </c>
      <c r="F528" s="24" t="s">
        <v>3296</v>
      </c>
      <c r="G528" s="24" t="s">
        <v>3311</v>
      </c>
      <c r="H528" s="24" t="s">
        <v>2983</v>
      </c>
      <c r="I528" s="45">
        <v>6</v>
      </c>
      <c r="J528" s="46">
        <v>1907.09</v>
      </c>
      <c r="K528" s="47">
        <f t="shared" si="14"/>
        <v>11442.539999999999</v>
      </c>
    </row>
    <row r="529" spans="2:11" x14ac:dyDescent="0.25">
      <c r="B529" s="22" t="s">
        <v>3312</v>
      </c>
      <c r="C529" s="44" t="s">
        <v>3313</v>
      </c>
      <c r="D529" s="23"/>
      <c r="E529" s="24" t="s">
        <v>1355</v>
      </c>
      <c r="F529" s="24" t="s">
        <v>3296</v>
      </c>
      <c r="G529" s="24" t="s">
        <v>3314</v>
      </c>
      <c r="H529" s="24" t="s">
        <v>2983</v>
      </c>
      <c r="I529" s="45">
        <v>2</v>
      </c>
      <c r="J529" s="46">
        <v>1907.09</v>
      </c>
      <c r="K529" s="47">
        <f t="shared" si="14"/>
        <v>3814.18</v>
      </c>
    </row>
    <row r="530" spans="2:11" x14ac:dyDescent="0.25">
      <c r="B530" s="22" t="s">
        <v>3315</v>
      </c>
      <c r="C530" s="44" t="s">
        <v>3316</v>
      </c>
      <c r="D530" s="23"/>
      <c r="E530" s="24" t="s">
        <v>1355</v>
      </c>
      <c r="F530" s="24" t="s">
        <v>3296</v>
      </c>
      <c r="G530" s="24" t="s">
        <v>3317</v>
      </c>
      <c r="H530" s="24" t="s">
        <v>2983</v>
      </c>
      <c r="I530" s="45">
        <v>4</v>
      </c>
      <c r="J530" s="46">
        <v>1907.09</v>
      </c>
      <c r="K530" s="47">
        <f t="shared" si="14"/>
        <v>7628.36</v>
      </c>
    </row>
    <row r="531" spans="2:11" x14ac:dyDescent="0.25">
      <c r="B531" s="22" t="s">
        <v>3318</v>
      </c>
      <c r="C531" s="44" t="s">
        <v>3319</v>
      </c>
      <c r="D531" s="23"/>
      <c r="E531" s="24" t="s">
        <v>1355</v>
      </c>
      <c r="F531" s="24" t="s">
        <v>3296</v>
      </c>
      <c r="G531" s="24" t="s">
        <v>3320</v>
      </c>
      <c r="H531" s="24" t="s">
        <v>2983</v>
      </c>
      <c r="I531" s="45">
        <v>5</v>
      </c>
      <c r="J531" s="46">
        <v>34232.44</v>
      </c>
      <c r="K531" s="47">
        <f t="shared" si="14"/>
        <v>171162.2</v>
      </c>
    </row>
    <row r="532" spans="2:11" x14ac:dyDescent="0.25">
      <c r="B532" s="22" t="s">
        <v>3321</v>
      </c>
      <c r="C532" s="44" t="s">
        <v>3322</v>
      </c>
      <c r="D532" s="23"/>
      <c r="E532" s="24" t="s">
        <v>1355</v>
      </c>
      <c r="F532" s="24" t="s">
        <v>3296</v>
      </c>
      <c r="G532" s="24" t="s">
        <v>3323</v>
      </c>
      <c r="H532" s="24" t="s">
        <v>2983</v>
      </c>
      <c r="I532" s="45">
        <v>5</v>
      </c>
      <c r="J532" s="46">
        <v>19561.39</v>
      </c>
      <c r="K532" s="47">
        <f t="shared" si="14"/>
        <v>97806.95</v>
      </c>
    </row>
    <row r="533" spans="2:11" x14ac:dyDescent="0.25">
      <c r="B533" s="22" t="s">
        <v>3324</v>
      </c>
      <c r="C533" s="44" t="s">
        <v>3325</v>
      </c>
      <c r="D533" s="23"/>
      <c r="E533" s="24" t="s">
        <v>1355</v>
      </c>
      <c r="F533" s="24" t="s">
        <v>3296</v>
      </c>
      <c r="G533" s="24" t="s">
        <v>3326</v>
      </c>
      <c r="H533" s="18" t="s">
        <v>1361</v>
      </c>
      <c r="I533" s="45">
        <v>3000</v>
      </c>
      <c r="J533" s="46">
        <v>48.9</v>
      </c>
      <c r="K533" s="47">
        <f t="shared" si="14"/>
        <v>146700</v>
      </c>
    </row>
    <row r="534" spans="2:11" x14ac:dyDescent="0.25">
      <c r="B534" s="22" t="s">
        <v>3327</v>
      </c>
      <c r="C534" s="44" t="s">
        <v>3328</v>
      </c>
      <c r="D534" s="23"/>
      <c r="E534" s="24" t="s">
        <v>1355</v>
      </c>
      <c r="F534" s="24" t="s">
        <v>3296</v>
      </c>
      <c r="G534" s="24" t="s">
        <v>3329</v>
      </c>
      <c r="H534" s="18" t="s">
        <v>1361</v>
      </c>
      <c r="I534" s="45">
        <v>2100</v>
      </c>
      <c r="J534" s="46">
        <v>44.01</v>
      </c>
      <c r="K534" s="47">
        <f t="shared" si="14"/>
        <v>92421</v>
      </c>
    </row>
    <row r="535" spans="2:11" x14ac:dyDescent="0.25">
      <c r="B535" s="22" t="s">
        <v>3330</v>
      </c>
      <c r="C535" s="44" t="s">
        <v>3331</v>
      </c>
      <c r="D535" s="23"/>
      <c r="E535" s="24" t="s">
        <v>1355</v>
      </c>
      <c r="F535" s="24" t="s">
        <v>3296</v>
      </c>
      <c r="G535" s="24" t="s">
        <v>3332</v>
      </c>
      <c r="H535" s="18" t="s">
        <v>1361</v>
      </c>
      <c r="I535" s="45">
        <v>100</v>
      </c>
      <c r="J535" s="46">
        <v>22.01</v>
      </c>
      <c r="K535" s="47">
        <f t="shared" si="14"/>
        <v>2201</v>
      </c>
    </row>
    <row r="536" spans="2:11" x14ac:dyDescent="0.25">
      <c r="B536" s="22" t="s">
        <v>3333</v>
      </c>
      <c r="C536" s="44" t="s">
        <v>3334</v>
      </c>
      <c r="D536" s="23" t="s">
        <v>3335</v>
      </c>
      <c r="E536" s="24" t="s">
        <v>1355</v>
      </c>
      <c r="F536" s="24" t="s">
        <v>3296</v>
      </c>
      <c r="G536" s="24" t="s">
        <v>3336</v>
      </c>
      <c r="H536" s="18" t="s">
        <v>1361</v>
      </c>
      <c r="I536" s="45">
        <v>26000</v>
      </c>
      <c r="J536" s="46">
        <v>22.01</v>
      </c>
      <c r="K536" s="47">
        <f t="shared" si="14"/>
        <v>572260</v>
      </c>
    </row>
    <row r="537" spans="2:11" x14ac:dyDescent="0.25">
      <c r="B537" s="22" t="s">
        <v>3337</v>
      </c>
      <c r="C537" s="44" t="s">
        <v>3338</v>
      </c>
      <c r="D537" s="23" t="s">
        <v>3339</v>
      </c>
      <c r="E537" s="24" t="s">
        <v>1355</v>
      </c>
      <c r="F537" s="24" t="s">
        <v>3296</v>
      </c>
      <c r="G537" s="24" t="s">
        <v>3340</v>
      </c>
      <c r="H537" s="18" t="s">
        <v>1361</v>
      </c>
      <c r="I537" s="45">
        <v>3700</v>
      </c>
      <c r="J537" s="46">
        <v>10.69</v>
      </c>
      <c r="K537" s="47">
        <f t="shared" si="14"/>
        <v>39553</v>
      </c>
    </row>
    <row r="538" spans="2:11" x14ac:dyDescent="0.25">
      <c r="B538" s="22" t="s">
        <v>3341</v>
      </c>
      <c r="C538" s="44" t="s">
        <v>3342</v>
      </c>
      <c r="D538" s="23" t="s">
        <v>3343</v>
      </c>
      <c r="E538" s="24" t="s">
        <v>1355</v>
      </c>
      <c r="F538" s="24" t="s">
        <v>3296</v>
      </c>
      <c r="G538" s="24" t="s">
        <v>3344</v>
      </c>
      <c r="H538" s="18" t="s">
        <v>1361</v>
      </c>
      <c r="I538" s="45">
        <v>10600</v>
      </c>
      <c r="J538" s="46">
        <v>18.100000000000001</v>
      </c>
      <c r="K538" s="47">
        <f t="shared" si="14"/>
        <v>191860.00000000003</v>
      </c>
    </row>
    <row r="539" spans="2:11" x14ac:dyDescent="0.25">
      <c r="B539" s="22" t="s">
        <v>3345</v>
      </c>
      <c r="C539" s="44" t="s">
        <v>3346</v>
      </c>
      <c r="D539" s="23"/>
      <c r="E539" s="24" t="s">
        <v>1355</v>
      </c>
      <c r="F539" s="24" t="s">
        <v>3296</v>
      </c>
      <c r="G539" s="24" t="s">
        <v>3347</v>
      </c>
      <c r="H539" s="18" t="s">
        <v>1361</v>
      </c>
      <c r="I539" s="45">
        <v>3100</v>
      </c>
      <c r="J539" s="46">
        <v>9.77</v>
      </c>
      <c r="K539" s="47">
        <f t="shared" si="14"/>
        <v>30287</v>
      </c>
    </row>
    <row r="540" spans="2:11" x14ac:dyDescent="0.25">
      <c r="B540" s="22" t="s">
        <v>3348</v>
      </c>
      <c r="C540" s="44" t="s">
        <v>3349</v>
      </c>
      <c r="D540" s="23"/>
      <c r="E540" s="24" t="s">
        <v>1355</v>
      </c>
      <c r="F540" s="24" t="s">
        <v>3296</v>
      </c>
      <c r="G540" s="24" t="s">
        <v>3350</v>
      </c>
      <c r="H540" s="18" t="s">
        <v>1361</v>
      </c>
      <c r="I540" s="45">
        <v>65100</v>
      </c>
      <c r="J540" s="46">
        <v>11</v>
      </c>
      <c r="K540" s="47">
        <f t="shared" si="14"/>
        <v>716100</v>
      </c>
    </row>
    <row r="541" spans="2:11" x14ac:dyDescent="0.25">
      <c r="B541" s="22" t="s">
        <v>3351</v>
      </c>
      <c r="C541" s="44" t="s">
        <v>3352</v>
      </c>
      <c r="D541" s="23"/>
      <c r="E541" s="24" t="s">
        <v>1355</v>
      </c>
      <c r="F541" s="24" t="s">
        <v>3296</v>
      </c>
      <c r="G541" s="24" t="s">
        <v>3353</v>
      </c>
      <c r="H541" s="18" t="s">
        <v>1361</v>
      </c>
      <c r="I541" s="45">
        <v>3000</v>
      </c>
      <c r="J541" s="46">
        <v>17.12</v>
      </c>
      <c r="K541" s="47">
        <f t="shared" si="14"/>
        <v>51360</v>
      </c>
    </row>
    <row r="542" spans="2:11" x14ac:dyDescent="0.25">
      <c r="B542" s="22" t="s">
        <v>3354</v>
      </c>
      <c r="C542" s="44" t="s">
        <v>3355</v>
      </c>
      <c r="D542" s="23"/>
      <c r="E542" s="24" t="s">
        <v>1355</v>
      </c>
      <c r="F542" s="24" t="s">
        <v>3296</v>
      </c>
      <c r="G542" s="24" t="s">
        <v>3356</v>
      </c>
      <c r="H542" s="18" t="s">
        <v>1361</v>
      </c>
      <c r="I542" s="45">
        <v>2200</v>
      </c>
      <c r="J542" s="46">
        <v>14.67</v>
      </c>
      <c r="K542" s="47">
        <f t="shared" si="14"/>
        <v>32274</v>
      </c>
    </row>
    <row r="543" spans="2:11" x14ac:dyDescent="0.25">
      <c r="B543" s="22" t="s">
        <v>3357</v>
      </c>
      <c r="C543" s="44" t="s">
        <v>3358</v>
      </c>
      <c r="D543" s="23"/>
      <c r="E543" s="24" t="s">
        <v>1355</v>
      </c>
      <c r="F543" s="24" t="s">
        <v>3296</v>
      </c>
      <c r="G543" s="24" t="s">
        <v>3359</v>
      </c>
      <c r="H543" s="24" t="s">
        <v>1627</v>
      </c>
      <c r="I543" s="45">
        <v>105</v>
      </c>
      <c r="J543" s="46">
        <v>441.52</v>
      </c>
      <c r="K543" s="47">
        <f t="shared" si="14"/>
        <v>46359.6</v>
      </c>
    </row>
    <row r="544" spans="2:11" x14ac:dyDescent="0.25">
      <c r="B544" s="22" t="s">
        <v>3360</v>
      </c>
      <c r="C544" s="44" t="s">
        <v>3361</v>
      </c>
      <c r="D544" s="23"/>
      <c r="E544" s="24" t="s">
        <v>1355</v>
      </c>
      <c r="F544" s="24" t="s">
        <v>3296</v>
      </c>
      <c r="G544" s="24" t="s">
        <v>3362</v>
      </c>
      <c r="H544" s="24" t="s">
        <v>2983</v>
      </c>
      <c r="I544" s="45">
        <v>1</v>
      </c>
      <c r="J544" s="46">
        <v>195613.95</v>
      </c>
      <c r="K544" s="47">
        <f t="shared" si="14"/>
        <v>195613.95</v>
      </c>
    </row>
    <row r="545" spans="2:11" x14ac:dyDescent="0.25">
      <c r="B545" s="22" t="s">
        <v>3363</v>
      </c>
      <c r="C545" s="44" t="s">
        <v>3364</v>
      </c>
      <c r="D545" s="23"/>
      <c r="E545" s="24" t="s">
        <v>1355</v>
      </c>
      <c r="F545" s="24" t="s">
        <v>3296</v>
      </c>
      <c r="G545" s="24" t="s">
        <v>3365</v>
      </c>
      <c r="H545" s="24" t="s">
        <v>1627</v>
      </c>
      <c r="I545" s="45">
        <v>2</v>
      </c>
      <c r="J545" s="46">
        <v>130000</v>
      </c>
      <c r="K545" s="47">
        <f t="shared" si="14"/>
        <v>260000</v>
      </c>
    </row>
    <row r="546" spans="2:11" x14ac:dyDescent="0.25">
      <c r="B546" s="22" t="s">
        <v>3366</v>
      </c>
      <c r="C546" s="44" t="s">
        <v>3367</v>
      </c>
      <c r="D546" s="23"/>
      <c r="E546" s="24" t="s">
        <v>1355</v>
      </c>
      <c r="F546" s="24" t="s">
        <v>3296</v>
      </c>
      <c r="G546" s="24" t="s">
        <v>3368</v>
      </c>
      <c r="H546" s="24" t="s">
        <v>2983</v>
      </c>
      <c r="I546" s="45">
        <v>1</v>
      </c>
      <c r="J546" s="46">
        <v>146710.45000000001</v>
      </c>
      <c r="K546" s="47">
        <f t="shared" si="14"/>
        <v>146710.45000000001</v>
      </c>
    </row>
    <row r="547" spans="2:11" x14ac:dyDescent="0.25">
      <c r="B547" s="22" t="s">
        <v>3369</v>
      </c>
      <c r="C547" s="44" t="s">
        <v>3370</v>
      </c>
      <c r="D547" s="23"/>
      <c r="E547" s="24" t="s">
        <v>1355</v>
      </c>
      <c r="F547" s="24" t="s">
        <v>3296</v>
      </c>
      <c r="G547" s="24" t="s">
        <v>3371</v>
      </c>
      <c r="H547" s="24" t="s">
        <v>3372</v>
      </c>
      <c r="I547" s="45">
        <v>1</v>
      </c>
      <c r="J547" s="46">
        <v>73355.23</v>
      </c>
      <c r="K547" s="47">
        <f t="shared" si="14"/>
        <v>73355.23</v>
      </c>
    </row>
    <row r="548" spans="2:11" x14ac:dyDescent="0.25">
      <c r="B548" s="22" t="s">
        <v>3373</v>
      </c>
      <c r="C548" s="44" t="s">
        <v>3374</v>
      </c>
      <c r="D548" s="23"/>
      <c r="E548" s="24" t="s">
        <v>1355</v>
      </c>
      <c r="F548" s="24" t="s">
        <v>3296</v>
      </c>
      <c r="G548" s="24" t="s">
        <v>3375</v>
      </c>
      <c r="H548" s="24" t="s">
        <v>2983</v>
      </c>
      <c r="I548" s="45">
        <v>10</v>
      </c>
      <c r="J548" s="46">
        <v>48903.48</v>
      </c>
      <c r="K548" s="47">
        <f t="shared" si="14"/>
        <v>489034.80000000005</v>
      </c>
    </row>
    <row r="549" spans="2:11" x14ac:dyDescent="0.25">
      <c r="B549" s="22" t="s">
        <v>3376</v>
      </c>
      <c r="C549" s="44" t="s">
        <v>3377</v>
      </c>
      <c r="D549" s="23"/>
      <c r="E549" s="24" t="s">
        <v>1355</v>
      </c>
      <c r="F549" s="24" t="s">
        <v>3296</v>
      </c>
      <c r="G549" s="24" t="s">
        <v>3378</v>
      </c>
      <c r="H549" s="24" t="s">
        <v>2983</v>
      </c>
      <c r="I549" s="45">
        <v>122</v>
      </c>
      <c r="J549" s="46">
        <v>1711.62</v>
      </c>
      <c r="K549" s="47">
        <f t="shared" si="14"/>
        <v>208817.63999999998</v>
      </c>
    </row>
    <row r="550" spans="2:11" x14ac:dyDescent="0.25">
      <c r="B550" s="22" t="s">
        <v>3379</v>
      </c>
      <c r="C550" s="44" t="s">
        <v>3380</v>
      </c>
      <c r="D550" s="23"/>
      <c r="E550" s="24" t="s">
        <v>1355</v>
      </c>
      <c r="F550" s="24" t="s">
        <v>3296</v>
      </c>
      <c r="G550" s="24" t="s">
        <v>3381</v>
      </c>
      <c r="H550" s="24" t="s">
        <v>2983</v>
      </c>
      <c r="I550" s="45">
        <v>33</v>
      </c>
      <c r="J550" s="46">
        <v>24451.74</v>
      </c>
      <c r="K550" s="47">
        <f t="shared" si="14"/>
        <v>806907.42</v>
      </c>
    </row>
    <row r="551" spans="2:11" x14ac:dyDescent="0.25">
      <c r="B551" s="22" t="s">
        <v>3382</v>
      </c>
      <c r="C551" s="44" t="s">
        <v>3383</v>
      </c>
      <c r="D551" s="23"/>
      <c r="E551" s="24" t="s">
        <v>1355</v>
      </c>
      <c r="F551" s="24" t="s">
        <v>3296</v>
      </c>
      <c r="G551" s="24" t="s">
        <v>3384</v>
      </c>
      <c r="H551" s="24" t="s">
        <v>2983</v>
      </c>
      <c r="I551" s="45">
        <v>76</v>
      </c>
      <c r="J551" s="46">
        <v>7824.56</v>
      </c>
      <c r="K551" s="47">
        <f t="shared" si="14"/>
        <v>594666.56000000006</v>
      </c>
    </row>
    <row r="552" spans="2:11" x14ac:dyDescent="0.25">
      <c r="B552" s="22" t="s">
        <v>3385</v>
      </c>
      <c r="C552" s="44" t="s">
        <v>3386</v>
      </c>
      <c r="D552" s="23"/>
      <c r="E552" s="24" t="s">
        <v>1355</v>
      </c>
      <c r="F552" s="24" t="s">
        <v>3296</v>
      </c>
      <c r="G552" s="24" t="s">
        <v>3387</v>
      </c>
      <c r="H552" s="24" t="s">
        <v>2983</v>
      </c>
      <c r="I552" s="45">
        <v>12</v>
      </c>
      <c r="J552" s="46">
        <v>7824.56</v>
      </c>
      <c r="K552" s="47">
        <f t="shared" si="14"/>
        <v>93894.720000000001</v>
      </c>
    </row>
    <row r="553" spans="2:11" x14ac:dyDescent="0.25">
      <c r="B553" s="22" t="s">
        <v>3388</v>
      </c>
      <c r="C553" s="44" t="s">
        <v>3389</v>
      </c>
      <c r="D553" s="23"/>
      <c r="E553" s="24" t="s">
        <v>1355</v>
      </c>
      <c r="F553" s="24" t="s">
        <v>3296</v>
      </c>
      <c r="G553" s="24" t="s">
        <v>3390</v>
      </c>
      <c r="H553" s="24" t="s">
        <v>2983</v>
      </c>
      <c r="I553" s="45">
        <v>4</v>
      </c>
      <c r="J553" s="46">
        <v>24390.61</v>
      </c>
      <c r="K553" s="47">
        <f t="shared" si="14"/>
        <v>97562.44</v>
      </c>
    </row>
    <row r="554" spans="2:11" x14ac:dyDescent="0.25">
      <c r="B554" s="22" t="s">
        <v>3391</v>
      </c>
      <c r="C554" s="44" t="s">
        <v>3392</v>
      </c>
      <c r="D554" s="23"/>
      <c r="E554" s="24" t="s">
        <v>1355</v>
      </c>
      <c r="F554" s="24" t="s">
        <v>3296</v>
      </c>
      <c r="G554" s="24" t="s">
        <v>3393</v>
      </c>
      <c r="H554" s="24" t="s">
        <v>2983</v>
      </c>
      <c r="I554" s="45">
        <v>8</v>
      </c>
      <c r="J554" s="46">
        <v>9780.7000000000007</v>
      </c>
      <c r="K554" s="47">
        <f t="shared" si="14"/>
        <v>78245.600000000006</v>
      </c>
    </row>
    <row r="555" spans="2:11" x14ac:dyDescent="0.25">
      <c r="B555" s="22" t="s">
        <v>3394</v>
      </c>
      <c r="C555" s="44" t="s">
        <v>3395</v>
      </c>
      <c r="D555" s="23"/>
      <c r="E555" s="24" t="s">
        <v>1355</v>
      </c>
      <c r="F555" s="24" t="s">
        <v>3296</v>
      </c>
      <c r="G555" s="24" t="s">
        <v>3396</v>
      </c>
      <c r="H555" s="24" t="s">
        <v>2983</v>
      </c>
      <c r="I555" s="45">
        <v>10</v>
      </c>
      <c r="J555" s="46">
        <v>9780.7000000000007</v>
      </c>
      <c r="K555" s="47">
        <f t="shared" si="14"/>
        <v>97807</v>
      </c>
    </row>
    <row r="556" spans="2:11" x14ac:dyDescent="0.25">
      <c r="B556" s="22" t="s">
        <v>3397</v>
      </c>
      <c r="C556" s="44" t="s">
        <v>3398</v>
      </c>
      <c r="D556" s="23"/>
      <c r="E556" s="24" t="s">
        <v>1355</v>
      </c>
      <c r="F556" s="24" t="s">
        <v>3296</v>
      </c>
      <c r="G556" s="24" t="s">
        <v>3399</v>
      </c>
      <c r="H556" s="24" t="s">
        <v>2983</v>
      </c>
      <c r="I556" s="45">
        <v>8</v>
      </c>
      <c r="J556" s="46">
        <v>9780.7000000000007</v>
      </c>
      <c r="K556" s="47">
        <f t="shared" si="14"/>
        <v>78245.600000000006</v>
      </c>
    </row>
    <row r="557" spans="2:11" x14ac:dyDescent="0.25">
      <c r="B557" s="22" t="s">
        <v>3400</v>
      </c>
      <c r="C557" s="44" t="s">
        <v>3401</v>
      </c>
      <c r="D557" s="23"/>
      <c r="E557" s="24" t="s">
        <v>1355</v>
      </c>
      <c r="F557" s="24" t="s">
        <v>3296</v>
      </c>
      <c r="G557" s="24" t="s">
        <v>3402</v>
      </c>
      <c r="H557" s="24" t="s">
        <v>2983</v>
      </c>
      <c r="I557" s="45">
        <v>33</v>
      </c>
      <c r="J557" s="46">
        <v>9202.7999999999993</v>
      </c>
      <c r="K557" s="47">
        <f t="shared" si="14"/>
        <v>303692.39999999997</v>
      </c>
    </row>
    <row r="558" spans="2:11" x14ac:dyDescent="0.25">
      <c r="B558" s="22" t="s">
        <v>3403</v>
      </c>
      <c r="C558" s="44" t="s">
        <v>3404</v>
      </c>
      <c r="D558" s="23"/>
      <c r="E558" s="24" t="s">
        <v>1355</v>
      </c>
      <c r="F558" s="24" t="s">
        <v>3296</v>
      </c>
      <c r="G558" s="24" t="s">
        <v>3405</v>
      </c>
      <c r="H558" s="24" t="s">
        <v>2983</v>
      </c>
      <c r="I558" s="45">
        <v>10</v>
      </c>
      <c r="J558" s="46">
        <v>9202.7999999999993</v>
      </c>
      <c r="K558" s="47">
        <f t="shared" si="14"/>
        <v>92028</v>
      </c>
    </row>
    <row r="559" spans="2:11" x14ac:dyDescent="0.25">
      <c r="B559" s="22" t="s">
        <v>3406</v>
      </c>
      <c r="C559" s="44" t="s">
        <v>3407</v>
      </c>
      <c r="D559" s="23"/>
      <c r="E559" s="24" t="s">
        <v>1355</v>
      </c>
      <c r="F559" s="24" t="s">
        <v>3296</v>
      </c>
      <c r="G559" s="24" t="s">
        <v>3408</v>
      </c>
      <c r="H559" s="24" t="s">
        <v>2983</v>
      </c>
      <c r="I559" s="45">
        <v>15</v>
      </c>
      <c r="J559" s="46">
        <v>9202.7999999999993</v>
      </c>
      <c r="K559" s="47">
        <f t="shared" si="14"/>
        <v>138042</v>
      </c>
    </row>
    <row r="560" spans="2:11" x14ac:dyDescent="0.25">
      <c r="B560" s="22" t="s">
        <v>3409</v>
      </c>
      <c r="C560" s="44" t="s">
        <v>3410</v>
      </c>
      <c r="D560" s="23"/>
      <c r="E560" s="24" t="s">
        <v>1355</v>
      </c>
      <c r="F560" s="24" t="s">
        <v>3296</v>
      </c>
      <c r="G560" s="24" t="s">
        <v>3411</v>
      </c>
      <c r="H560" s="24" t="s">
        <v>2983</v>
      </c>
      <c r="I560" s="45">
        <v>18</v>
      </c>
      <c r="J560" s="46">
        <v>9202.7999999999993</v>
      </c>
      <c r="K560" s="47">
        <f t="shared" si="14"/>
        <v>165650.4</v>
      </c>
    </row>
    <row r="561" spans="2:11" x14ac:dyDescent="0.25">
      <c r="B561" s="22" t="s">
        <v>3412</v>
      </c>
      <c r="C561" s="44" t="s">
        <v>3413</v>
      </c>
      <c r="D561" s="23"/>
      <c r="E561" s="24" t="s">
        <v>1355</v>
      </c>
      <c r="F561" s="24" t="s">
        <v>3296</v>
      </c>
      <c r="G561" s="24" t="s">
        <v>3414</v>
      </c>
      <c r="H561" s="24" t="s">
        <v>2983</v>
      </c>
      <c r="I561" s="45">
        <v>12</v>
      </c>
      <c r="J561" s="46">
        <v>58684.18</v>
      </c>
      <c r="K561" s="47">
        <f t="shared" si="14"/>
        <v>704210.16</v>
      </c>
    </row>
    <row r="562" spans="2:11" x14ac:dyDescent="0.25">
      <c r="B562" s="22" t="s">
        <v>3415</v>
      </c>
      <c r="C562" s="44" t="s">
        <v>3416</v>
      </c>
      <c r="D562" s="23"/>
      <c r="E562" s="24" t="s">
        <v>1355</v>
      </c>
      <c r="F562" s="24" t="s">
        <v>3296</v>
      </c>
      <c r="G562" s="24" t="s">
        <v>3417</v>
      </c>
      <c r="H562" s="24" t="s">
        <v>2983</v>
      </c>
      <c r="I562" s="45">
        <v>4</v>
      </c>
      <c r="J562" s="46">
        <v>72449.61</v>
      </c>
      <c r="K562" s="47">
        <f t="shared" si="14"/>
        <v>289798.44</v>
      </c>
    </row>
    <row r="563" spans="2:11" x14ac:dyDescent="0.25">
      <c r="B563" s="22" t="s">
        <v>3418</v>
      </c>
      <c r="C563" s="44" t="s">
        <v>3419</v>
      </c>
      <c r="D563" s="23"/>
      <c r="E563" s="24" t="s">
        <v>1355</v>
      </c>
      <c r="F563" s="24" t="s">
        <v>3296</v>
      </c>
      <c r="G563" s="24" t="s">
        <v>3420</v>
      </c>
      <c r="H563" s="24" t="s">
        <v>2983</v>
      </c>
      <c r="I563" s="45">
        <v>12</v>
      </c>
      <c r="J563" s="46">
        <v>543372.06000000006</v>
      </c>
      <c r="K563" s="47">
        <f t="shared" si="14"/>
        <v>6520464.7200000007</v>
      </c>
    </row>
    <row r="564" spans="2:11" x14ac:dyDescent="0.25">
      <c r="B564" s="22" t="s">
        <v>3421</v>
      </c>
      <c r="C564" s="44" t="s">
        <v>3422</v>
      </c>
      <c r="D564" s="23"/>
      <c r="E564" s="24" t="s">
        <v>1355</v>
      </c>
      <c r="F564" s="24" t="s">
        <v>3296</v>
      </c>
      <c r="G564" s="24" t="s">
        <v>3423</v>
      </c>
      <c r="H564" s="24" t="s">
        <v>2983</v>
      </c>
      <c r="I564" s="45">
        <v>4</v>
      </c>
      <c r="J564" s="46">
        <v>37508.97</v>
      </c>
      <c r="K564" s="47">
        <f t="shared" si="14"/>
        <v>150035.88</v>
      </c>
    </row>
    <row r="565" spans="2:11" x14ac:dyDescent="0.25">
      <c r="B565" s="22" t="s">
        <v>3424</v>
      </c>
      <c r="C565" s="44" t="s">
        <v>3425</v>
      </c>
      <c r="D565" s="23"/>
      <c r="E565" s="24" t="s">
        <v>1355</v>
      </c>
      <c r="F565" s="24" t="s">
        <v>3296</v>
      </c>
      <c r="G565" s="24" t="s">
        <v>3426</v>
      </c>
      <c r="H565" s="24" t="s">
        <v>2983</v>
      </c>
      <c r="I565" s="45">
        <v>8</v>
      </c>
      <c r="J565" s="46">
        <v>366776.14</v>
      </c>
      <c r="K565" s="47">
        <f t="shared" si="14"/>
        <v>2934209.12</v>
      </c>
    </row>
    <row r="566" spans="2:11" x14ac:dyDescent="0.25">
      <c r="B566" s="22" t="s">
        <v>3427</v>
      </c>
      <c r="C566" s="44" t="s">
        <v>3428</v>
      </c>
      <c r="D566" s="23"/>
      <c r="E566" s="24" t="s">
        <v>1355</v>
      </c>
      <c r="F566" s="24" t="s">
        <v>3296</v>
      </c>
      <c r="G566" s="24" t="s">
        <v>3429</v>
      </c>
      <c r="H566" s="24" t="s">
        <v>2983</v>
      </c>
      <c r="I566" s="45">
        <v>117</v>
      </c>
      <c r="J566" s="46">
        <v>2934.21</v>
      </c>
      <c r="K566" s="47">
        <f t="shared" si="14"/>
        <v>343302.57</v>
      </c>
    </row>
    <row r="567" spans="2:11" x14ac:dyDescent="0.25">
      <c r="B567" s="22" t="s">
        <v>3430</v>
      </c>
      <c r="C567" s="44" t="s">
        <v>3431</v>
      </c>
      <c r="D567" s="23"/>
      <c r="E567" s="24" t="s">
        <v>1355</v>
      </c>
      <c r="F567" s="24" t="s">
        <v>3296</v>
      </c>
      <c r="G567" s="24" t="s">
        <v>3432</v>
      </c>
      <c r="H567" s="24" t="s">
        <v>2983</v>
      </c>
      <c r="I567" s="45">
        <v>6</v>
      </c>
      <c r="J567" s="46">
        <v>3100</v>
      </c>
      <c r="K567" s="47">
        <f t="shared" si="14"/>
        <v>18600</v>
      </c>
    </row>
    <row r="568" spans="2:11" x14ac:dyDescent="0.25">
      <c r="B568" s="22" t="s">
        <v>3433</v>
      </c>
      <c r="C568" s="44" t="s">
        <v>3434</v>
      </c>
      <c r="D568" s="23"/>
      <c r="E568" s="24" t="s">
        <v>1355</v>
      </c>
      <c r="F568" s="24" t="s">
        <v>3296</v>
      </c>
      <c r="G568" s="24" t="s">
        <v>3435</v>
      </c>
      <c r="H568" s="24" t="s">
        <v>1627</v>
      </c>
      <c r="I568" s="45">
        <v>8</v>
      </c>
      <c r="J568" s="46">
        <v>24451.74</v>
      </c>
      <c r="K568" s="47">
        <f t="shared" si="14"/>
        <v>195613.92</v>
      </c>
    </row>
    <row r="569" spans="2:11" x14ac:dyDescent="0.25">
      <c r="B569" s="22" t="s">
        <v>3436</v>
      </c>
      <c r="C569" s="44" t="s">
        <v>3437</v>
      </c>
      <c r="D569" s="23" t="s">
        <v>3438</v>
      </c>
      <c r="E569" s="24" t="s">
        <v>1355</v>
      </c>
      <c r="F569" s="24" t="s">
        <v>3296</v>
      </c>
      <c r="G569" s="24" t="s">
        <v>3439</v>
      </c>
      <c r="H569" s="18" t="s">
        <v>1361</v>
      </c>
      <c r="I569" s="45">
        <v>26800</v>
      </c>
      <c r="J569" s="46">
        <v>44.53</v>
      </c>
      <c r="K569" s="47">
        <f t="shared" si="14"/>
        <v>1193404</v>
      </c>
    </row>
    <row r="570" spans="2:11" x14ac:dyDescent="0.25">
      <c r="B570" s="22" t="s">
        <v>3440</v>
      </c>
      <c r="C570" s="44" t="s">
        <v>3441</v>
      </c>
      <c r="D570" s="23">
        <v>382137382268</v>
      </c>
      <c r="E570" s="24" t="s">
        <v>1355</v>
      </c>
      <c r="F570" s="24" t="s">
        <v>3296</v>
      </c>
      <c r="G570" s="24" t="s">
        <v>3442</v>
      </c>
      <c r="H570" s="18" t="s">
        <v>1361</v>
      </c>
      <c r="I570" s="45">
        <v>5200</v>
      </c>
      <c r="J570" s="46">
        <v>237.65</v>
      </c>
      <c r="K570" s="47">
        <f t="shared" si="14"/>
        <v>1235780</v>
      </c>
    </row>
    <row r="571" spans="2:11" x14ac:dyDescent="0.25">
      <c r="B571" s="22" t="s">
        <v>3443</v>
      </c>
      <c r="C571" s="44" t="s">
        <v>3444</v>
      </c>
      <c r="D571" s="23"/>
      <c r="E571" s="24" t="s">
        <v>1355</v>
      </c>
      <c r="F571" s="24" t="s">
        <v>3296</v>
      </c>
      <c r="G571" s="24" t="s">
        <v>3445</v>
      </c>
      <c r="H571" s="24" t="s">
        <v>2983</v>
      </c>
      <c r="I571" s="71">
        <v>3</v>
      </c>
      <c r="J571" s="46">
        <v>54337.21</v>
      </c>
      <c r="K571" s="47">
        <f t="shared" si="14"/>
        <v>163011.63</v>
      </c>
    </row>
    <row r="572" spans="2:11" x14ac:dyDescent="0.25">
      <c r="B572" s="22" t="s">
        <v>3446</v>
      </c>
      <c r="C572" s="44" t="s">
        <v>3447</v>
      </c>
      <c r="D572" s="23"/>
      <c r="E572" s="24" t="s">
        <v>1355</v>
      </c>
      <c r="F572" s="24" t="s">
        <v>3296</v>
      </c>
      <c r="G572" s="24" t="s">
        <v>3448</v>
      </c>
      <c r="H572" s="24" t="s">
        <v>1627</v>
      </c>
      <c r="I572" s="45">
        <v>25</v>
      </c>
      <c r="J572" s="46">
        <v>942.44</v>
      </c>
      <c r="K572" s="47">
        <f t="shared" si="14"/>
        <v>23561</v>
      </c>
    </row>
    <row r="573" spans="2:11" x14ac:dyDescent="0.25">
      <c r="B573" s="22" t="s">
        <v>3449</v>
      </c>
      <c r="C573" s="44" t="s">
        <v>3450</v>
      </c>
      <c r="D573" s="23"/>
      <c r="E573" s="24" t="s">
        <v>1355</v>
      </c>
      <c r="F573" s="24" t="s">
        <v>3296</v>
      </c>
      <c r="G573" s="24" t="s">
        <v>3451</v>
      </c>
      <c r="H573" s="24" t="s">
        <v>1627</v>
      </c>
      <c r="I573" s="45">
        <v>230</v>
      </c>
      <c r="J573" s="46">
        <v>501.67</v>
      </c>
      <c r="K573" s="47">
        <f t="shared" si="14"/>
        <v>115384.1</v>
      </c>
    </row>
    <row r="574" spans="2:11" x14ac:dyDescent="0.25">
      <c r="B574" s="22" t="s">
        <v>3452</v>
      </c>
      <c r="C574" s="44" t="s">
        <v>3453</v>
      </c>
      <c r="D574" s="23"/>
      <c r="E574" s="24" t="s">
        <v>1355</v>
      </c>
      <c r="F574" s="24" t="s">
        <v>3296</v>
      </c>
      <c r="G574" s="24" t="s">
        <v>3454</v>
      </c>
      <c r="H574" s="24" t="s">
        <v>1627</v>
      </c>
      <c r="I574" s="45">
        <v>40</v>
      </c>
      <c r="J574" s="46">
        <v>501.67</v>
      </c>
      <c r="K574" s="47">
        <f t="shared" si="14"/>
        <v>20066.8</v>
      </c>
    </row>
    <row r="575" spans="2:11" x14ac:dyDescent="0.25">
      <c r="B575" s="22" t="s">
        <v>3455</v>
      </c>
      <c r="C575" s="44" t="s">
        <v>3456</v>
      </c>
      <c r="D575" s="23"/>
      <c r="E575" s="24" t="s">
        <v>1355</v>
      </c>
      <c r="F575" s="24" t="s">
        <v>3296</v>
      </c>
      <c r="G575" s="24" t="s">
        <v>3457</v>
      </c>
      <c r="H575" s="24" t="s">
        <v>2983</v>
      </c>
      <c r="I575" s="45">
        <v>8</v>
      </c>
      <c r="J575" s="46">
        <v>4059.72</v>
      </c>
      <c r="K575" s="47">
        <f t="shared" si="14"/>
        <v>32477.759999999998</v>
      </c>
    </row>
    <row r="576" spans="2:11" x14ac:dyDescent="0.25">
      <c r="B576" s="22" t="s">
        <v>3458</v>
      </c>
      <c r="C576" s="44" t="s">
        <v>3459</v>
      </c>
      <c r="D576" s="23"/>
      <c r="E576" s="24" t="s">
        <v>1355</v>
      </c>
      <c r="F576" s="24" t="s">
        <v>3296</v>
      </c>
      <c r="G576" s="24" t="s">
        <v>3460</v>
      </c>
      <c r="H576" s="24" t="s">
        <v>2983</v>
      </c>
      <c r="I576" s="45">
        <v>33</v>
      </c>
      <c r="J576" s="46">
        <v>54337.21</v>
      </c>
      <c r="K576" s="47">
        <f t="shared" si="14"/>
        <v>1793127.93</v>
      </c>
    </row>
    <row r="577" spans="2:11" x14ac:dyDescent="0.25">
      <c r="B577" s="22" t="s">
        <v>3461</v>
      </c>
      <c r="C577" s="44" t="s">
        <v>3462</v>
      </c>
      <c r="D577" s="23"/>
      <c r="E577" s="24" t="s">
        <v>1355</v>
      </c>
      <c r="F577" s="24" t="s">
        <v>3296</v>
      </c>
      <c r="G577" s="24" t="s">
        <v>3463</v>
      </c>
      <c r="H577" s="18" t="s">
        <v>1361</v>
      </c>
      <c r="I577" s="45">
        <v>3800</v>
      </c>
      <c r="J577" s="46">
        <v>205.89</v>
      </c>
      <c r="K577" s="47">
        <f t="shared" si="14"/>
        <v>782382</v>
      </c>
    </row>
    <row r="578" spans="2:11" x14ac:dyDescent="0.25">
      <c r="B578" s="22" t="s">
        <v>3464</v>
      </c>
      <c r="C578" s="44" t="s">
        <v>3465</v>
      </c>
      <c r="D578" s="23"/>
      <c r="E578" s="24" t="s">
        <v>1355</v>
      </c>
      <c r="F578" s="24" t="s">
        <v>3296</v>
      </c>
      <c r="G578" s="24" t="s">
        <v>3466</v>
      </c>
      <c r="H578" s="24" t="s">
        <v>1627</v>
      </c>
      <c r="I578" s="45">
        <v>20</v>
      </c>
      <c r="J578" s="46">
        <v>4596.18</v>
      </c>
      <c r="K578" s="47">
        <f t="shared" si="14"/>
        <v>91923.6</v>
      </c>
    </row>
    <row r="579" spans="2:11" x14ac:dyDescent="0.25">
      <c r="B579" s="22" t="s">
        <v>3467</v>
      </c>
      <c r="C579" s="44" t="s">
        <v>3468</v>
      </c>
      <c r="D579" s="23"/>
      <c r="E579" s="24" t="s">
        <v>1355</v>
      </c>
      <c r="F579" s="24" t="s">
        <v>3296</v>
      </c>
      <c r="G579" s="24" t="s">
        <v>3469</v>
      </c>
      <c r="H579" s="24" t="s">
        <v>2983</v>
      </c>
      <c r="I579" s="45">
        <v>1</v>
      </c>
      <c r="J579" s="46">
        <v>113092.2</v>
      </c>
      <c r="K579" s="47">
        <f t="shared" si="14"/>
        <v>113092.2</v>
      </c>
    </row>
    <row r="580" spans="2:11" x14ac:dyDescent="0.25">
      <c r="B580" s="22" t="s">
        <v>3470</v>
      </c>
      <c r="C580" s="44" t="s">
        <v>3471</v>
      </c>
      <c r="D580" s="23"/>
      <c r="E580" s="24" t="s">
        <v>1355</v>
      </c>
      <c r="F580" s="24" t="s">
        <v>3296</v>
      </c>
      <c r="G580" s="24" t="s">
        <v>3472</v>
      </c>
      <c r="H580" s="24" t="s">
        <v>2983</v>
      </c>
      <c r="I580" s="45">
        <v>2</v>
      </c>
      <c r="J580" s="46">
        <v>113092.2</v>
      </c>
      <c r="K580" s="47">
        <f t="shared" si="14"/>
        <v>226184.4</v>
      </c>
    </row>
    <row r="581" spans="2:11" x14ac:dyDescent="0.25">
      <c r="B581" s="22" t="s">
        <v>3473</v>
      </c>
      <c r="C581" s="44" t="s">
        <v>3474</v>
      </c>
      <c r="D581" s="23"/>
      <c r="E581" s="24" t="s">
        <v>1355</v>
      </c>
      <c r="F581" s="24" t="s">
        <v>3296</v>
      </c>
      <c r="G581" s="24" t="s">
        <v>3475</v>
      </c>
      <c r="H581" s="24" t="s">
        <v>1627</v>
      </c>
      <c r="I581" s="45">
        <v>16</v>
      </c>
      <c r="J581" s="46">
        <v>318.98</v>
      </c>
      <c r="K581" s="47">
        <f t="shared" si="14"/>
        <v>5103.68</v>
      </c>
    </row>
    <row r="582" spans="2:11" x14ac:dyDescent="0.25">
      <c r="B582" s="22" t="s">
        <v>3476</v>
      </c>
      <c r="C582" s="44" t="s">
        <v>3477</v>
      </c>
      <c r="D582" s="23"/>
      <c r="E582" s="24" t="s">
        <v>1355</v>
      </c>
      <c r="F582" s="24" t="s">
        <v>3296</v>
      </c>
      <c r="G582" s="24" t="s">
        <v>3478</v>
      </c>
      <c r="H582" s="24" t="s">
        <v>1627</v>
      </c>
      <c r="I582" s="45">
        <v>16</v>
      </c>
      <c r="J582" s="46">
        <v>501.67</v>
      </c>
      <c r="K582" s="47">
        <f t="shared" si="14"/>
        <v>8026.72</v>
      </c>
    </row>
    <row r="583" spans="2:11" x14ac:dyDescent="0.25">
      <c r="B583" s="22" t="s">
        <v>3479</v>
      </c>
      <c r="C583" s="44" t="s">
        <v>3480</v>
      </c>
      <c r="D583" s="23"/>
      <c r="E583" s="24" t="s">
        <v>1355</v>
      </c>
      <c r="F583" s="24" t="s">
        <v>3296</v>
      </c>
      <c r="G583" s="24" t="s">
        <v>3481</v>
      </c>
      <c r="H583" s="24" t="s">
        <v>1627</v>
      </c>
      <c r="I583" s="45">
        <v>1</v>
      </c>
      <c r="J583" s="46">
        <v>48903.48</v>
      </c>
      <c r="K583" s="47">
        <f t="shared" si="14"/>
        <v>48903.48</v>
      </c>
    </row>
    <row r="584" spans="2:11" x14ac:dyDescent="0.25">
      <c r="B584" s="22" t="s">
        <v>3482</v>
      </c>
      <c r="C584" s="44" t="s">
        <v>3483</v>
      </c>
      <c r="D584" s="23"/>
      <c r="E584" s="24" t="s">
        <v>1355</v>
      </c>
      <c r="F584" s="24" t="s">
        <v>3296</v>
      </c>
      <c r="G584" s="24" t="s">
        <v>3484</v>
      </c>
      <c r="H584" s="24" t="s">
        <v>1627</v>
      </c>
      <c r="I584" s="45">
        <v>1</v>
      </c>
      <c r="J584" s="46">
        <v>4890.3500000000004</v>
      </c>
      <c r="K584" s="47">
        <f t="shared" si="14"/>
        <v>4890.3500000000004</v>
      </c>
    </row>
    <row r="585" spans="2:11" x14ac:dyDescent="0.25">
      <c r="B585" s="22" t="s">
        <v>3485</v>
      </c>
      <c r="C585" s="44" t="s">
        <v>3486</v>
      </c>
      <c r="D585" s="23"/>
      <c r="E585" s="24" t="s">
        <v>1355</v>
      </c>
      <c r="F585" s="24" t="s">
        <v>3296</v>
      </c>
      <c r="G585" s="24" t="s">
        <v>3487</v>
      </c>
      <c r="H585" s="24" t="s">
        <v>1627</v>
      </c>
      <c r="I585" s="45">
        <v>1</v>
      </c>
      <c r="J585" s="46">
        <v>7335.52</v>
      </c>
      <c r="K585" s="47">
        <f t="shared" si="14"/>
        <v>7335.52</v>
      </c>
    </row>
    <row r="586" spans="2:11" x14ac:dyDescent="0.25">
      <c r="B586" s="22" t="s">
        <v>3488</v>
      </c>
      <c r="C586" s="44" t="s">
        <v>3489</v>
      </c>
      <c r="D586" s="23"/>
      <c r="E586" s="24" t="s">
        <v>1355</v>
      </c>
      <c r="F586" s="24" t="s">
        <v>3296</v>
      </c>
      <c r="G586" s="24" t="s">
        <v>3490</v>
      </c>
      <c r="H586" s="24" t="s">
        <v>1627</v>
      </c>
      <c r="I586" s="45">
        <v>88</v>
      </c>
      <c r="J586" s="46">
        <v>4890.3500000000004</v>
      </c>
      <c r="K586" s="47">
        <f t="shared" si="14"/>
        <v>430350.80000000005</v>
      </c>
    </row>
    <row r="587" spans="2:11" x14ac:dyDescent="0.25">
      <c r="B587" s="22" t="s">
        <v>3491</v>
      </c>
      <c r="C587" s="44" t="s">
        <v>3492</v>
      </c>
      <c r="D587" s="23"/>
      <c r="E587" s="24" t="s">
        <v>1355</v>
      </c>
      <c r="F587" s="24" t="s">
        <v>3296</v>
      </c>
      <c r="G587" s="24" t="s">
        <v>3493</v>
      </c>
      <c r="H587" s="24" t="s">
        <v>1627</v>
      </c>
      <c r="I587" s="45">
        <v>88</v>
      </c>
      <c r="J587" s="46">
        <v>4890.3500000000004</v>
      </c>
      <c r="K587" s="47">
        <f t="shared" si="14"/>
        <v>430350.80000000005</v>
      </c>
    </row>
    <row r="588" spans="2:11" x14ac:dyDescent="0.25">
      <c r="B588" s="22" t="s">
        <v>3494</v>
      </c>
      <c r="C588" s="44" t="s">
        <v>3495</v>
      </c>
      <c r="D588" s="23"/>
      <c r="E588" s="24" t="s">
        <v>1355</v>
      </c>
      <c r="F588" s="24" t="s">
        <v>3296</v>
      </c>
      <c r="G588" s="24" t="s">
        <v>3496</v>
      </c>
      <c r="H588" s="24" t="s">
        <v>1627</v>
      </c>
      <c r="I588" s="45">
        <v>432</v>
      </c>
      <c r="J588" s="46">
        <v>4890.3500000000004</v>
      </c>
      <c r="K588" s="47">
        <f t="shared" si="14"/>
        <v>2112631.2000000002</v>
      </c>
    </row>
    <row r="589" spans="2:11" x14ac:dyDescent="0.25">
      <c r="B589" s="22" t="s">
        <v>3497</v>
      </c>
      <c r="C589" s="44" t="s">
        <v>3498</v>
      </c>
      <c r="D589" s="23"/>
      <c r="E589" s="24" t="s">
        <v>1355</v>
      </c>
      <c r="F589" s="24" t="s">
        <v>3296</v>
      </c>
      <c r="G589" s="24" t="s">
        <v>3499</v>
      </c>
      <c r="H589" s="24" t="s">
        <v>2983</v>
      </c>
      <c r="I589" s="45">
        <v>8</v>
      </c>
      <c r="J589" s="46">
        <v>9780.7000000000007</v>
      </c>
      <c r="K589" s="47">
        <f t="shared" ref="K589:K614" si="15">I589*J589</f>
        <v>78245.600000000006</v>
      </c>
    </row>
    <row r="590" spans="2:11" x14ac:dyDescent="0.25">
      <c r="B590" s="22" t="s">
        <v>3500</v>
      </c>
      <c r="C590" s="44" t="s">
        <v>3501</v>
      </c>
      <c r="D590" s="23"/>
      <c r="E590" s="24" t="s">
        <v>1355</v>
      </c>
      <c r="F590" s="24" t="s">
        <v>3296</v>
      </c>
      <c r="G590" s="24" t="s">
        <v>3502</v>
      </c>
      <c r="H590" s="24" t="s">
        <v>1627</v>
      </c>
      <c r="I590" s="45">
        <v>54</v>
      </c>
      <c r="J590" s="46">
        <v>39122.78</v>
      </c>
      <c r="K590" s="47">
        <f t="shared" si="15"/>
        <v>2112630.12</v>
      </c>
    </row>
    <row r="591" spans="2:11" x14ac:dyDescent="0.25">
      <c r="B591" s="22" t="s">
        <v>3503</v>
      </c>
      <c r="C591" s="44" t="s">
        <v>3504</v>
      </c>
      <c r="D591" s="23"/>
      <c r="E591" s="24" t="s">
        <v>1355</v>
      </c>
      <c r="F591" s="24" t="s">
        <v>3296</v>
      </c>
      <c r="G591" s="24" t="s">
        <v>3505</v>
      </c>
      <c r="H591" s="24" t="s">
        <v>1627</v>
      </c>
      <c r="I591" s="45">
        <v>6</v>
      </c>
      <c r="J591" s="46">
        <v>537938.32999999996</v>
      </c>
      <c r="K591" s="47">
        <f t="shared" si="15"/>
        <v>3227629.9799999995</v>
      </c>
    </row>
    <row r="592" spans="2:11" x14ac:dyDescent="0.25">
      <c r="B592" s="22" t="s">
        <v>3506</v>
      </c>
      <c r="C592" s="44" t="s">
        <v>3507</v>
      </c>
      <c r="D592" s="23"/>
      <c r="E592" s="24" t="s">
        <v>1355</v>
      </c>
      <c r="F592" s="24" t="s">
        <v>3296</v>
      </c>
      <c r="G592" s="24" t="s">
        <v>3508</v>
      </c>
      <c r="H592" s="24" t="s">
        <v>1627</v>
      </c>
      <c r="I592" s="45">
        <v>2</v>
      </c>
      <c r="J592" s="46">
        <v>244517.43</v>
      </c>
      <c r="K592" s="47">
        <f t="shared" si="15"/>
        <v>489034.86</v>
      </c>
    </row>
    <row r="593" spans="2:11" x14ac:dyDescent="0.25">
      <c r="B593" s="22" t="s">
        <v>3509</v>
      </c>
      <c r="C593" s="44" t="s">
        <v>3510</v>
      </c>
      <c r="D593" s="23"/>
      <c r="E593" s="24" t="s">
        <v>1355</v>
      </c>
      <c r="F593" s="24" t="s">
        <v>3296</v>
      </c>
      <c r="G593" s="24" t="s">
        <v>3511</v>
      </c>
      <c r="H593" s="24" t="s">
        <v>2983</v>
      </c>
      <c r="I593" s="45">
        <v>6</v>
      </c>
      <c r="J593" s="46">
        <v>254298.12</v>
      </c>
      <c r="K593" s="47">
        <f t="shared" si="15"/>
        <v>1525788.72</v>
      </c>
    </row>
    <row r="594" spans="2:11" x14ac:dyDescent="0.25">
      <c r="B594" s="22" t="s">
        <v>3512</v>
      </c>
      <c r="C594" s="44" t="s">
        <v>3513</v>
      </c>
      <c r="D594" s="23"/>
      <c r="E594" s="24" t="s">
        <v>1355</v>
      </c>
      <c r="F594" s="24" t="s">
        <v>3296</v>
      </c>
      <c r="G594" s="24" t="s">
        <v>3514</v>
      </c>
      <c r="H594" s="24" t="s">
        <v>2983</v>
      </c>
      <c r="I594" s="45">
        <v>8</v>
      </c>
      <c r="J594" s="46">
        <v>932.84</v>
      </c>
      <c r="K594" s="47">
        <f t="shared" si="15"/>
        <v>7462.72</v>
      </c>
    </row>
    <row r="595" spans="2:11" x14ac:dyDescent="0.25">
      <c r="B595" s="22" t="s">
        <v>3515</v>
      </c>
      <c r="C595" s="44" t="s">
        <v>3516</v>
      </c>
      <c r="D595" s="23"/>
      <c r="E595" s="24" t="s">
        <v>1355</v>
      </c>
      <c r="F595" s="24" t="s">
        <v>3296</v>
      </c>
      <c r="G595" s="24" t="s">
        <v>3517</v>
      </c>
      <c r="H595" s="24" t="s">
        <v>2983</v>
      </c>
      <c r="I595" s="45">
        <v>10</v>
      </c>
      <c r="J595" s="46">
        <v>932.84</v>
      </c>
      <c r="K595" s="47">
        <f t="shared" si="15"/>
        <v>9328.4</v>
      </c>
    </row>
    <row r="596" spans="2:11" x14ac:dyDescent="0.25">
      <c r="B596" s="22" t="s">
        <v>3518</v>
      </c>
      <c r="C596" s="44" t="s">
        <v>3519</v>
      </c>
      <c r="D596" s="23"/>
      <c r="E596" s="24" t="s">
        <v>1355</v>
      </c>
      <c r="F596" s="24" t="s">
        <v>3296</v>
      </c>
      <c r="G596" s="24" t="s">
        <v>3520</v>
      </c>
      <c r="H596" s="24" t="s">
        <v>2983</v>
      </c>
      <c r="I596" s="45">
        <v>8</v>
      </c>
      <c r="J596" s="46">
        <v>24451.74</v>
      </c>
      <c r="K596" s="47">
        <f t="shared" si="15"/>
        <v>195613.92</v>
      </c>
    </row>
    <row r="597" spans="2:11" x14ac:dyDescent="0.25">
      <c r="B597" s="22" t="s">
        <v>3521</v>
      </c>
      <c r="C597" s="44" t="s">
        <v>3522</v>
      </c>
      <c r="D597" s="23"/>
      <c r="E597" s="24" t="s">
        <v>1355</v>
      </c>
      <c r="F597" s="24" t="s">
        <v>3296</v>
      </c>
      <c r="G597" s="24" t="s">
        <v>3523</v>
      </c>
      <c r="H597" s="24" t="s">
        <v>1627</v>
      </c>
      <c r="I597" s="45">
        <v>1</v>
      </c>
      <c r="J597" s="46">
        <v>244517.43</v>
      </c>
      <c r="K597" s="47">
        <f t="shared" si="15"/>
        <v>244517.43</v>
      </c>
    </row>
    <row r="598" spans="2:11" x14ac:dyDescent="0.25">
      <c r="B598" s="22" t="s">
        <v>3524</v>
      </c>
      <c r="C598" s="44" t="s">
        <v>3525</v>
      </c>
      <c r="D598" s="23"/>
      <c r="E598" s="24" t="s">
        <v>1355</v>
      </c>
      <c r="F598" s="24" t="s">
        <v>3296</v>
      </c>
      <c r="G598" s="24" t="s">
        <v>3526</v>
      </c>
      <c r="H598" s="24" t="s">
        <v>1627</v>
      </c>
      <c r="I598" s="45">
        <v>1</v>
      </c>
      <c r="J598" s="46">
        <v>12225.87</v>
      </c>
      <c r="K598" s="47">
        <f t="shared" si="15"/>
        <v>12225.87</v>
      </c>
    </row>
    <row r="599" spans="2:11" x14ac:dyDescent="0.25">
      <c r="B599" s="22" t="s">
        <v>3527</v>
      </c>
      <c r="C599" s="44" t="s">
        <v>3528</v>
      </c>
      <c r="D599" s="23"/>
      <c r="E599" s="24" t="s">
        <v>1355</v>
      </c>
      <c r="F599" s="24" t="s">
        <v>3296</v>
      </c>
      <c r="G599" s="24" t="s">
        <v>3529</v>
      </c>
      <c r="H599" s="24" t="s">
        <v>1627</v>
      </c>
      <c r="I599" s="45">
        <v>1</v>
      </c>
      <c r="J599" s="46">
        <v>73355.23</v>
      </c>
      <c r="K599" s="47">
        <f t="shared" si="15"/>
        <v>73355.23</v>
      </c>
    </row>
    <row r="600" spans="2:11" x14ac:dyDescent="0.25">
      <c r="B600" s="22" t="s">
        <v>3530</v>
      </c>
      <c r="C600" s="44" t="s">
        <v>3531</v>
      </c>
      <c r="D600" s="23"/>
      <c r="E600" s="24" t="s">
        <v>1355</v>
      </c>
      <c r="F600" s="24" t="s">
        <v>3296</v>
      </c>
      <c r="G600" s="24" t="s">
        <v>3532</v>
      </c>
      <c r="H600" s="24" t="s">
        <v>1627</v>
      </c>
      <c r="I600" s="45">
        <v>1</v>
      </c>
      <c r="J600" s="46">
        <v>73355.23</v>
      </c>
      <c r="K600" s="47">
        <f t="shared" si="15"/>
        <v>73355.23</v>
      </c>
    </row>
    <row r="601" spans="2:11" x14ac:dyDescent="0.25">
      <c r="B601" s="22" t="s">
        <v>3533</v>
      </c>
      <c r="C601" s="44" t="s">
        <v>3534</v>
      </c>
      <c r="D601" s="23"/>
      <c r="E601" s="24" t="s">
        <v>1355</v>
      </c>
      <c r="F601" s="24" t="s">
        <v>3296</v>
      </c>
      <c r="G601" s="24" t="s">
        <v>3535</v>
      </c>
      <c r="H601" s="24" t="s">
        <v>1627</v>
      </c>
      <c r="I601" s="45">
        <v>3</v>
      </c>
      <c r="J601" s="46">
        <v>24451.74</v>
      </c>
      <c r="K601" s="47">
        <f t="shared" si="15"/>
        <v>73355.22</v>
      </c>
    </row>
    <row r="602" spans="2:11" x14ac:dyDescent="0.25">
      <c r="B602" s="22" t="s">
        <v>3536</v>
      </c>
      <c r="C602" s="44" t="s">
        <v>3537</v>
      </c>
      <c r="D602" s="23"/>
      <c r="E602" s="24" t="s">
        <v>1355</v>
      </c>
      <c r="F602" s="24" t="s">
        <v>3296</v>
      </c>
      <c r="G602" s="24" t="s">
        <v>3538</v>
      </c>
      <c r="H602" s="24" t="s">
        <v>1627</v>
      </c>
      <c r="I602" s="45">
        <v>4</v>
      </c>
      <c r="J602" s="46">
        <v>48903.48</v>
      </c>
      <c r="K602" s="47">
        <f t="shared" si="15"/>
        <v>195613.92</v>
      </c>
    </row>
    <row r="603" spans="2:11" x14ac:dyDescent="0.25">
      <c r="B603" s="22" t="s">
        <v>3539</v>
      </c>
      <c r="C603" s="44" t="s">
        <v>3540</v>
      </c>
      <c r="D603" s="23"/>
      <c r="E603" s="24" t="s">
        <v>1355</v>
      </c>
      <c r="F603" s="24" t="s">
        <v>3296</v>
      </c>
      <c r="G603" s="24" t="s">
        <v>3541</v>
      </c>
      <c r="H603" s="24" t="s">
        <v>2983</v>
      </c>
      <c r="I603" s="45">
        <v>1</v>
      </c>
      <c r="J603" s="46">
        <v>7244960.7599999998</v>
      </c>
      <c r="K603" s="47">
        <f t="shared" si="15"/>
        <v>7244960.7599999998</v>
      </c>
    </row>
    <row r="604" spans="2:11" x14ac:dyDescent="0.25">
      <c r="B604" s="22" t="s">
        <v>3542</v>
      </c>
      <c r="C604" s="44" t="s">
        <v>3543</v>
      </c>
      <c r="D604" s="23"/>
      <c r="E604" s="24" t="s">
        <v>1355</v>
      </c>
      <c r="F604" s="24" t="s">
        <v>3296</v>
      </c>
      <c r="G604" s="24" t="s">
        <v>3544</v>
      </c>
      <c r="H604" s="24" t="s">
        <v>2983</v>
      </c>
      <c r="I604" s="45">
        <v>1</v>
      </c>
      <c r="J604" s="46">
        <v>73355.23</v>
      </c>
      <c r="K604" s="47">
        <f t="shared" si="15"/>
        <v>73355.23</v>
      </c>
    </row>
    <row r="605" spans="2:11" x14ac:dyDescent="0.25">
      <c r="B605" s="22" t="s">
        <v>3545</v>
      </c>
      <c r="C605" s="44" t="s">
        <v>3546</v>
      </c>
      <c r="D605" s="23"/>
      <c r="E605" s="24" t="s">
        <v>1355</v>
      </c>
      <c r="F605" s="24" t="s">
        <v>3296</v>
      </c>
      <c r="G605" s="24" t="s">
        <v>3547</v>
      </c>
      <c r="H605" s="24" t="s">
        <v>2983</v>
      </c>
      <c r="I605" s="45">
        <v>7</v>
      </c>
      <c r="J605" s="46">
        <v>3500</v>
      </c>
      <c r="K605" s="47">
        <f t="shared" si="15"/>
        <v>24500</v>
      </c>
    </row>
    <row r="606" spans="2:11" x14ac:dyDescent="0.25">
      <c r="B606" s="22" t="s">
        <v>3548</v>
      </c>
      <c r="C606" s="44" t="s">
        <v>3549</v>
      </c>
      <c r="D606" s="23"/>
      <c r="E606" s="24" t="s">
        <v>1355</v>
      </c>
      <c r="F606" s="24" t="s">
        <v>3296</v>
      </c>
      <c r="G606" s="24" t="s">
        <v>3550</v>
      </c>
      <c r="H606" s="24" t="s">
        <v>1627</v>
      </c>
      <c r="I606" s="45">
        <v>8</v>
      </c>
      <c r="J606" s="46">
        <v>19561.39</v>
      </c>
      <c r="K606" s="47">
        <f t="shared" si="15"/>
        <v>156491.12</v>
      </c>
    </row>
    <row r="607" spans="2:11" x14ac:dyDescent="0.25">
      <c r="B607" s="22" t="s">
        <v>3551</v>
      </c>
      <c r="C607" s="44" t="s">
        <v>3552</v>
      </c>
      <c r="D607" s="23"/>
      <c r="E607" s="24" t="s">
        <v>1355</v>
      </c>
      <c r="F607" s="24" t="s">
        <v>3296</v>
      </c>
      <c r="G607" s="24" t="s">
        <v>3553</v>
      </c>
      <c r="H607" s="24" t="s">
        <v>2983</v>
      </c>
      <c r="I607" s="45">
        <v>2</v>
      </c>
      <c r="J607" s="46">
        <v>48903.48</v>
      </c>
      <c r="K607" s="47">
        <f t="shared" si="15"/>
        <v>97806.96</v>
      </c>
    </row>
    <row r="608" spans="2:11" x14ac:dyDescent="0.25">
      <c r="B608" s="22" t="s">
        <v>3554</v>
      </c>
      <c r="C608" s="44" t="s">
        <v>3555</v>
      </c>
      <c r="D608" s="23"/>
      <c r="E608" s="24" t="s">
        <v>1355</v>
      </c>
      <c r="F608" s="24" t="s">
        <v>3296</v>
      </c>
      <c r="G608" s="24" t="s">
        <v>3556</v>
      </c>
      <c r="H608" s="24" t="s">
        <v>1627</v>
      </c>
      <c r="I608" s="45">
        <v>22</v>
      </c>
      <c r="J608" s="46">
        <v>146710.45000000001</v>
      </c>
      <c r="K608" s="47">
        <f t="shared" si="15"/>
        <v>3227629.9000000004</v>
      </c>
    </row>
    <row r="609" spans="2:11" x14ac:dyDescent="0.25">
      <c r="B609" s="22" t="s">
        <v>3557</v>
      </c>
      <c r="C609" s="44" t="s">
        <v>3558</v>
      </c>
      <c r="D609" s="23"/>
      <c r="E609" s="24" t="s">
        <v>1355</v>
      </c>
      <c r="F609" s="24" t="s">
        <v>3296</v>
      </c>
      <c r="G609" s="24" t="s">
        <v>3559</v>
      </c>
      <c r="H609" s="24" t="s">
        <v>1627</v>
      </c>
      <c r="I609" s="45">
        <v>2</v>
      </c>
      <c r="J609" s="46">
        <v>244517.43</v>
      </c>
      <c r="K609" s="47">
        <f t="shared" si="15"/>
        <v>489034.86</v>
      </c>
    </row>
    <row r="610" spans="2:11" x14ac:dyDescent="0.25">
      <c r="B610" s="22" t="s">
        <v>3560</v>
      </c>
      <c r="C610" s="44" t="s">
        <v>3561</v>
      </c>
      <c r="D610" s="23"/>
      <c r="E610" s="24" t="s">
        <v>1355</v>
      </c>
      <c r="F610" s="24" t="s">
        <v>3296</v>
      </c>
      <c r="G610" s="24" t="s">
        <v>3562</v>
      </c>
      <c r="H610" s="24" t="s">
        <v>1627</v>
      </c>
      <c r="I610" s="45">
        <v>2</v>
      </c>
      <c r="J610" s="46">
        <v>20539.47</v>
      </c>
      <c r="K610" s="47">
        <f t="shared" si="15"/>
        <v>41078.94</v>
      </c>
    </row>
    <row r="611" spans="2:11" x14ac:dyDescent="0.25">
      <c r="B611" s="22" t="s">
        <v>3563</v>
      </c>
      <c r="C611" s="44" t="s">
        <v>3564</v>
      </c>
      <c r="D611" s="23"/>
      <c r="E611" s="24" t="s">
        <v>1355</v>
      </c>
      <c r="F611" s="24" t="s">
        <v>3296</v>
      </c>
      <c r="G611" s="24" t="s">
        <v>3565</v>
      </c>
      <c r="H611" s="24" t="s">
        <v>2983</v>
      </c>
      <c r="I611" s="45">
        <v>1</v>
      </c>
      <c r="J611" s="46">
        <v>3667.76</v>
      </c>
      <c r="K611" s="47">
        <f t="shared" si="15"/>
        <v>3667.76</v>
      </c>
    </row>
    <row r="612" spans="2:11" x14ac:dyDescent="0.25">
      <c r="B612" s="22" t="s">
        <v>3566</v>
      </c>
      <c r="C612" s="44" t="s">
        <v>3567</v>
      </c>
      <c r="D612" s="23"/>
      <c r="E612" s="24" t="s">
        <v>1355</v>
      </c>
      <c r="F612" s="24" t="s">
        <v>3296</v>
      </c>
      <c r="G612" s="24" t="s">
        <v>3568</v>
      </c>
      <c r="H612" s="24" t="s">
        <v>1627</v>
      </c>
      <c r="I612" s="45">
        <v>2</v>
      </c>
      <c r="J612" s="46">
        <v>97806.97</v>
      </c>
      <c r="K612" s="47">
        <f t="shared" si="15"/>
        <v>195613.94</v>
      </c>
    </row>
    <row r="613" spans="2:11" x14ac:dyDescent="0.25">
      <c r="B613" s="22" t="s">
        <v>3569</v>
      </c>
      <c r="C613" s="44" t="s">
        <v>3570</v>
      </c>
      <c r="D613" s="23"/>
      <c r="E613" s="24" t="s">
        <v>1355</v>
      </c>
      <c r="F613" s="24" t="s">
        <v>3296</v>
      </c>
      <c r="G613" s="24" t="s">
        <v>3571</v>
      </c>
      <c r="H613" s="24" t="s">
        <v>1627</v>
      </c>
      <c r="I613" s="45">
        <v>20</v>
      </c>
      <c r="J613" s="46">
        <v>24451.74</v>
      </c>
      <c r="K613" s="47">
        <f t="shared" si="15"/>
        <v>489034.80000000005</v>
      </c>
    </row>
    <row r="614" spans="2:11" ht="13.5" thickBot="1" x14ac:dyDescent="0.3">
      <c r="B614" s="22" t="s">
        <v>3572</v>
      </c>
      <c r="C614" s="48" t="s">
        <v>3573</v>
      </c>
      <c r="D614" s="29"/>
      <c r="E614" s="30" t="s">
        <v>1355</v>
      </c>
      <c r="F614" s="30" t="s">
        <v>3296</v>
      </c>
      <c r="G614" s="30" t="s">
        <v>3574</v>
      </c>
      <c r="H614" s="30" t="s">
        <v>2983</v>
      </c>
      <c r="I614" s="49">
        <v>1</v>
      </c>
      <c r="J614" s="50">
        <v>366776.14</v>
      </c>
      <c r="K614" s="51">
        <f t="shared" si="15"/>
        <v>366776.14</v>
      </c>
    </row>
    <row r="615" spans="2:11" ht="13.5" thickBot="1" x14ac:dyDescent="0.3">
      <c r="B615" s="22" t="s">
        <v>3575</v>
      </c>
      <c r="C615" s="34">
        <v>14</v>
      </c>
      <c r="D615" s="52"/>
      <c r="E615" s="36" t="s">
        <v>1355</v>
      </c>
      <c r="F615" s="36" t="s">
        <v>3576</v>
      </c>
      <c r="G615" s="36"/>
      <c r="H615" s="36" t="s">
        <v>1528</v>
      </c>
      <c r="I615" s="37"/>
      <c r="J615" s="38"/>
      <c r="K615" s="39"/>
    </row>
    <row r="616" spans="2:11" x14ac:dyDescent="0.25">
      <c r="B616" s="22" t="s">
        <v>3577</v>
      </c>
      <c r="C616" s="72" t="s">
        <v>3578</v>
      </c>
      <c r="D616" s="73"/>
      <c r="E616" s="74" t="s">
        <v>1355</v>
      </c>
      <c r="F616" s="74" t="s">
        <v>3579</v>
      </c>
      <c r="G616" s="74" t="s">
        <v>3580</v>
      </c>
      <c r="H616" s="18" t="s">
        <v>1528</v>
      </c>
      <c r="I616" s="41"/>
      <c r="J616" s="42"/>
      <c r="K616" s="43"/>
    </row>
    <row r="617" spans="2:11" x14ac:dyDescent="0.25">
      <c r="B617" s="22" t="s">
        <v>3581</v>
      </c>
      <c r="C617" s="44" t="s">
        <v>3582</v>
      </c>
      <c r="D617" s="23" t="s">
        <v>3583</v>
      </c>
      <c r="E617" s="24" t="s">
        <v>1355</v>
      </c>
      <c r="F617" s="24" t="s">
        <v>3579</v>
      </c>
      <c r="G617" s="24" t="s">
        <v>3584</v>
      </c>
      <c r="H617" s="24" t="s">
        <v>1627</v>
      </c>
      <c r="I617" s="45">
        <v>7</v>
      </c>
      <c r="J617" s="46">
        <v>1741.5</v>
      </c>
      <c r="K617" s="47">
        <f>I617*J617</f>
        <v>12190.5</v>
      </c>
    </row>
    <row r="618" spans="2:11" x14ac:dyDescent="0.25">
      <c r="B618" s="22" t="s">
        <v>3585</v>
      </c>
      <c r="C618" s="44" t="s">
        <v>3586</v>
      </c>
      <c r="D618" s="23" t="s">
        <v>3587</v>
      </c>
      <c r="E618" s="24" t="s">
        <v>1355</v>
      </c>
      <c r="F618" s="24" t="s">
        <v>3579</v>
      </c>
      <c r="G618" s="24" t="s">
        <v>3588</v>
      </c>
      <c r="H618" s="24" t="s">
        <v>1627</v>
      </c>
      <c r="I618" s="45">
        <v>51</v>
      </c>
      <c r="J618" s="46">
        <v>1822.5</v>
      </c>
      <c r="K618" s="47">
        <f t="shared" ref="K618:K671" si="16">I618*J618</f>
        <v>92947.5</v>
      </c>
    </row>
    <row r="619" spans="2:11" x14ac:dyDescent="0.25">
      <c r="B619" s="22" t="s">
        <v>3589</v>
      </c>
      <c r="C619" s="44" t="s">
        <v>3590</v>
      </c>
      <c r="D619" s="23" t="s">
        <v>3591</v>
      </c>
      <c r="E619" s="24" t="s">
        <v>1355</v>
      </c>
      <c r="F619" s="24" t="s">
        <v>3579</v>
      </c>
      <c r="G619" s="24" t="s">
        <v>3592</v>
      </c>
      <c r="H619" s="24" t="s">
        <v>1627</v>
      </c>
      <c r="I619" s="45">
        <v>525</v>
      </c>
      <c r="J619" s="46">
        <v>1876.5</v>
      </c>
      <c r="K619" s="47">
        <f t="shared" si="16"/>
        <v>985162.5</v>
      </c>
    </row>
    <row r="620" spans="2:11" x14ac:dyDescent="0.25">
      <c r="B620" s="22" t="s">
        <v>3593</v>
      </c>
      <c r="C620" s="44" t="s">
        <v>3594</v>
      </c>
      <c r="D620" s="23" t="s">
        <v>3595</v>
      </c>
      <c r="E620" s="24" t="s">
        <v>1355</v>
      </c>
      <c r="F620" s="24" t="s">
        <v>3579</v>
      </c>
      <c r="G620" s="24" t="s">
        <v>3596</v>
      </c>
      <c r="H620" s="24" t="s">
        <v>1627</v>
      </c>
      <c r="I620" s="45">
        <v>5835</v>
      </c>
      <c r="J620" s="46">
        <v>444.97</v>
      </c>
      <c r="K620" s="47">
        <f t="shared" si="16"/>
        <v>2596399.9500000002</v>
      </c>
    </row>
    <row r="621" spans="2:11" x14ac:dyDescent="0.25">
      <c r="B621" s="22" t="s">
        <v>3597</v>
      </c>
      <c r="C621" s="44" t="s">
        <v>3598</v>
      </c>
      <c r="D621" s="23"/>
      <c r="E621" s="24" t="s">
        <v>1355</v>
      </c>
      <c r="F621" s="24" t="s">
        <v>3579</v>
      </c>
      <c r="G621" s="24" t="s">
        <v>3599</v>
      </c>
      <c r="H621" s="24" t="s">
        <v>1374</v>
      </c>
      <c r="I621" s="45">
        <v>7500</v>
      </c>
      <c r="J621" s="46">
        <v>930</v>
      </c>
      <c r="K621" s="47">
        <f t="shared" si="16"/>
        <v>6975000</v>
      </c>
    </row>
    <row r="622" spans="2:11" x14ac:dyDescent="0.25">
      <c r="B622" s="22" t="s">
        <v>3600</v>
      </c>
      <c r="C622" s="44" t="s">
        <v>3601</v>
      </c>
      <c r="D622" s="23" t="s">
        <v>3602</v>
      </c>
      <c r="E622" s="24" t="s">
        <v>1355</v>
      </c>
      <c r="F622" s="24" t="s">
        <v>3579</v>
      </c>
      <c r="G622" s="24" t="s">
        <v>3414</v>
      </c>
      <c r="H622" s="24" t="s">
        <v>2983</v>
      </c>
      <c r="I622" s="45">
        <v>11700</v>
      </c>
      <c r="J622" s="46">
        <v>9.6</v>
      </c>
      <c r="K622" s="47">
        <f t="shared" si="16"/>
        <v>112320</v>
      </c>
    </row>
    <row r="623" spans="2:11" x14ac:dyDescent="0.25">
      <c r="B623" s="22" t="s">
        <v>3603</v>
      </c>
      <c r="C623" s="44" t="s">
        <v>3604</v>
      </c>
      <c r="D623" s="23" t="s">
        <v>3605</v>
      </c>
      <c r="E623" s="24" t="s">
        <v>1355</v>
      </c>
      <c r="F623" s="24" t="s">
        <v>3579</v>
      </c>
      <c r="G623" s="24" t="s">
        <v>3387</v>
      </c>
      <c r="H623" s="24" t="s">
        <v>2983</v>
      </c>
      <c r="I623" s="45">
        <v>14340</v>
      </c>
      <c r="J623" s="46">
        <v>9.19</v>
      </c>
      <c r="K623" s="47">
        <f t="shared" si="16"/>
        <v>131784.6</v>
      </c>
    </row>
    <row r="624" spans="2:11" x14ac:dyDescent="0.25">
      <c r="B624" s="22" t="s">
        <v>3606</v>
      </c>
      <c r="C624" s="44" t="s">
        <v>3607</v>
      </c>
      <c r="D624" s="23" t="s">
        <v>3608</v>
      </c>
      <c r="E624" s="24" t="s">
        <v>1355</v>
      </c>
      <c r="F624" s="24" t="s">
        <v>3579</v>
      </c>
      <c r="G624" s="24" t="s">
        <v>3517</v>
      </c>
      <c r="H624" s="24" t="s">
        <v>2983</v>
      </c>
      <c r="I624" s="45">
        <v>23340</v>
      </c>
      <c r="J624" s="46">
        <v>14.32</v>
      </c>
      <c r="K624" s="47">
        <f t="shared" si="16"/>
        <v>334228.8</v>
      </c>
    </row>
    <row r="625" spans="2:11" x14ac:dyDescent="0.25">
      <c r="B625" s="22" t="s">
        <v>3609</v>
      </c>
      <c r="C625" s="75" t="s">
        <v>3610</v>
      </c>
      <c r="D625" s="76"/>
      <c r="E625" s="77" t="s">
        <v>1355</v>
      </c>
      <c r="F625" s="77" t="s">
        <v>3611</v>
      </c>
      <c r="G625" s="77" t="s">
        <v>3612</v>
      </c>
      <c r="H625" s="24" t="s">
        <v>3613</v>
      </c>
      <c r="I625" s="45" t="s">
        <v>3613</v>
      </c>
      <c r="J625" s="46" t="s">
        <v>3613</v>
      </c>
      <c r="K625" s="47"/>
    </row>
    <row r="626" spans="2:11" x14ac:dyDescent="0.25">
      <c r="B626" s="22" t="s">
        <v>3614</v>
      </c>
      <c r="C626" s="44" t="s">
        <v>3615</v>
      </c>
      <c r="D626" s="23" t="s">
        <v>3616</v>
      </c>
      <c r="E626" s="24" t="s">
        <v>1355</v>
      </c>
      <c r="F626" s="24" t="s">
        <v>3611</v>
      </c>
      <c r="G626" s="24" t="s">
        <v>1552</v>
      </c>
      <c r="H626" s="24" t="s">
        <v>1383</v>
      </c>
      <c r="I626" s="45">
        <v>1000</v>
      </c>
      <c r="J626" s="46">
        <v>80.069999999999993</v>
      </c>
      <c r="K626" s="47">
        <f t="shared" si="16"/>
        <v>80070</v>
      </c>
    </row>
    <row r="627" spans="2:11" x14ac:dyDescent="0.25">
      <c r="B627" s="22" t="s">
        <v>3617</v>
      </c>
      <c r="C627" s="44" t="s">
        <v>3618</v>
      </c>
      <c r="D627" s="23" t="s">
        <v>3619</v>
      </c>
      <c r="E627" s="24" t="s">
        <v>1355</v>
      </c>
      <c r="F627" s="24" t="s">
        <v>3611</v>
      </c>
      <c r="G627" s="24" t="s">
        <v>1556</v>
      </c>
      <c r="H627" s="24" t="s">
        <v>1557</v>
      </c>
      <c r="I627" s="45">
        <v>25000</v>
      </c>
      <c r="J627" s="46">
        <v>8.52</v>
      </c>
      <c r="K627" s="47">
        <f t="shared" si="16"/>
        <v>213000</v>
      </c>
    </row>
    <row r="628" spans="2:11" x14ac:dyDescent="0.25">
      <c r="B628" s="22" t="s">
        <v>3620</v>
      </c>
      <c r="C628" s="44" t="s">
        <v>3621</v>
      </c>
      <c r="D628" s="23" t="s">
        <v>3622</v>
      </c>
      <c r="E628" s="24" t="s">
        <v>1355</v>
      </c>
      <c r="F628" s="24" t="s">
        <v>3611</v>
      </c>
      <c r="G628" s="24" t="s">
        <v>1881</v>
      </c>
      <c r="H628" s="24" t="s">
        <v>1374</v>
      </c>
      <c r="I628" s="45">
        <v>250</v>
      </c>
      <c r="J628" s="46">
        <v>483.41</v>
      </c>
      <c r="K628" s="47">
        <f t="shared" si="16"/>
        <v>120852.5</v>
      </c>
    </row>
    <row r="629" spans="2:11" x14ac:dyDescent="0.25">
      <c r="B629" s="22" t="s">
        <v>3623</v>
      </c>
      <c r="C629" s="44" t="s">
        <v>3624</v>
      </c>
      <c r="D629" s="23"/>
      <c r="E629" s="24" t="s">
        <v>1355</v>
      </c>
      <c r="F629" s="24" t="s">
        <v>3611</v>
      </c>
      <c r="G629" s="24" t="s">
        <v>3625</v>
      </c>
      <c r="H629" s="24" t="s">
        <v>1557</v>
      </c>
      <c r="I629" s="45">
        <v>7610</v>
      </c>
      <c r="J629" s="46">
        <v>5.64</v>
      </c>
      <c r="K629" s="47">
        <f t="shared" si="16"/>
        <v>42920.399999999994</v>
      </c>
    </row>
    <row r="630" spans="2:11" x14ac:dyDescent="0.25">
      <c r="B630" s="22" t="s">
        <v>3626</v>
      </c>
      <c r="C630" s="44" t="s">
        <v>3627</v>
      </c>
      <c r="D630" s="23"/>
      <c r="E630" s="24" t="s">
        <v>1355</v>
      </c>
      <c r="F630" s="24" t="s">
        <v>3611</v>
      </c>
      <c r="G630" s="24" t="s">
        <v>3628</v>
      </c>
      <c r="H630" s="24" t="s">
        <v>1557</v>
      </c>
      <c r="I630" s="45">
        <v>10112</v>
      </c>
      <c r="J630" s="46">
        <v>5.64</v>
      </c>
      <c r="K630" s="47">
        <f t="shared" si="16"/>
        <v>57031.68</v>
      </c>
    </row>
    <row r="631" spans="2:11" x14ac:dyDescent="0.25">
      <c r="B631" s="22" t="s">
        <v>3629</v>
      </c>
      <c r="C631" s="44" t="s">
        <v>3630</v>
      </c>
      <c r="D631" s="23"/>
      <c r="E631" s="24" t="s">
        <v>1355</v>
      </c>
      <c r="F631" s="24" t="s">
        <v>3611</v>
      </c>
      <c r="G631" s="24" t="s">
        <v>3631</v>
      </c>
      <c r="H631" s="24" t="s">
        <v>1557</v>
      </c>
      <c r="I631" s="45">
        <v>37288</v>
      </c>
      <c r="J631" s="46">
        <v>5.64</v>
      </c>
      <c r="K631" s="47">
        <f t="shared" si="16"/>
        <v>210304.31999999998</v>
      </c>
    </row>
    <row r="632" spans="2:11" x14ac:dyDescent="0.25">
      <c r="B632" s="22" t="s">
        <v>3632</v>
      </c>
      <c r="C632" s="44" t="s">
        <v>3633</v>
      </c>
      <c r="D632" s="23"/>
      <c r="E632" s="24" t="s">
        <v>1355</v>
      </c>
      <c r="F632" s="24" t="s">
        <v>3611</v>
      </c>
      <c r="G632" s="24" t="s">
        <v>3634</v>
      </c>
      <c r="H632" s="24" t="s">
        <v>1557</v>
      </c>
      <c r="I632" s="45">
        <v>49960</v>
      </c>
      <c r="J632" s="46">
        <v>5.64</v>
      </c>
      <c r="K632" s="47">
        <f t="shared" si="16"/>
        <v>281774.39999999997</v>
      </c>
    </row>
    <row r="633" spans="2:11" x14ac:dyDescent="0.25">
      <c r="B633" s="22" t="s">
        <v>3635</v>
      </c>
      <c r="C633" s="44" t="s">
        <v>3636</v>
      </c>
      <c r="D633" s="23"/>
      <c r="E633" s="24" t="s">
        <v>1355</v>
      </c>
      <c r="F633" s="24" t="s">
        <v>3611</v>
      </c>
      <c r="G633" s="24" t="s">
        <v>3637</v>
      </c>
      <c r="H633" s="24" t="s">
        <v>1557</v>
      </c>
      <c r="I633" s="45">
        <v>85140</v>
      </c>
      <c r="J633" s="46">
        <v>5.64</v>
      </c>
      <c r="K633" s="47">
        <f t="shared" si="16"/>
        <v>480189.6</v>
      </c>
    </row>
    <row r="634" spans="2:11" x14ac:dyDescent="0.25">
      <c r="B634" s="22" t="s">
        <v>3638</v>
      </c>
      <c r="C634" s="44" t="s">
        <v>3639</v>
      </c>
      <c r="D634" s="23"/>
      <c r="E634" s="24" t="s">
        <v>1355</v>
      </c>
      <c r="F634" s="24" t="s">
        <v>3611</v>
      </c>
      <c r="G634" s="24" t="s">
        <v>3640</v>
      </c>
      <c r="H634" s="24" t="s">
        <v>1557</v>
      </c>
      <c r="I634" s="45">
        <v>118836</v>
      </c>
      <c r="J634" s="46">
        <v>5.64</v>
      </c>
      <c r="K634" s="47">
        <f t="shared" si="16"/>
        <v>670235.03999999992</v>
      </c>
    </row>
    <row r="635" spans="2:11" x14ac:dyDescent="0.25">
      <c r="B635" s="22" t="s">
        <v>3641</v>
      </c>
      <c r="C635" s="44" t="s">
        <v>3642</v>
      </c>
      <c r="D635" s="23"/>
      <c r="E635" s="24" t="s">
        <v>1355</v>
      </c>
      <c r="F635" s="24" t="s">
        <v>3611</v>
      </c>
      <c r="G635" s="24" t="s">
        <v>3643</v>
      </c>
      <c r="H635" s="24" t="s">
        <v>1557</v>
      </c>
      <c r="I635" s="45">
        <v>239000</v>
      </c>
      <c r="J635" s="46">
        <v>5.49</v>
      </c>
      <c r="K635" s="47">
        <f t="shared" si="16"/>
        <v>1312110</v>
      </c>
    </row>
    <row r="636" spans="2:11" x14ac:dyDescent="0.25">
      <c r="B636" s="22" t="s">
        <v>3644</v>
      </c>
      <c r="C636" s="44" t="s">
        <v>3645</v>
      </c>
      <c r="D636" s="23"/>
      <c r="E636" s="24" t="s">
        <v>1355</v>
      </c>
      <c r="F636" s="24" t="s">
        <v>3611</v>
      </c>
      <c r="G636" s="24" t="s">
        <v>3646</v>
      </c>
      <c r="H636" s="24" t="s">
        <v>1557</v>
      </c>
      <c r="I636" s="45">
        <v>239000</v>
      </c>
      <c r="J636" s="46">
        <v>5.49</v>
      </c>
      <c r="K636" s="47">
        <f t="shared" si="16"/>
        <v>1312110</v>
      </c>
    </row>
    <row r="637" spans="2:11" x14ac:dyDescent="0.25">
      <c r="B637" s="22" t="s">
        <v>3647</v>
      </c>
      <c r="C637" s="44" t="s">
        <v>3648</v>
      </c>
      <c r="D637" s="23"/>
      <c r="E637" s="24" t="s">
        <v>1355</v>
      </c>
      <c r="F637" s="24" t="s">
        <v>3611</v>
      </c>
      <c r="G637" s="24" t="s">
        <v>3649</v>
      </c>
      <c r="H637" s="24" t="s">
        <v>1557</v>
      </c>
      <c r="I637" s="45">
        <v>45750</v>
      </c>
      <c r="J637" s="46">
        <v>11.69</v>
      </c>
      <c r="K637" s="47">
        <f t="shared" si="16"/>
        <v>534817.5</v>
      </c>
    </row>
    <row r="638" spans="2:11" x14ac:dyDescent="0.25">
      <c r="B638" s="22" t="s">
        <v>3650</v>
      </c>
      <c r="C638" s="44" t="s">
        <v>3651</v>
      </c>
      <c r="D638" s="23"/>
      <c r="E638" s="24" t="s">
        <v>1355</v>
      </c>
      <c r="F638" s="24" t="s">
        <v>3611</v>
      </c>
      <c r="G638" s="24" t="s">
        <v>3652</v>
      </c>
      <c r="H638" s="24" t="s">
        <v>1557</v>
      </c>
      <c r="I638" s="45">
        <v>71600</v>
      </c>
      <c r="J638" s="46">
        <v>11.69</v>
      </c>
      <c r="K638" s="47">
        <f t="shared" si="16"/>
        <v>837004</v>
      </c>
    </row>
    <row r="639" spans="2:11" x14ac:dyDescent="0.25">
      <c r="B639" s="22" t="s">
        <v>3653</v>
      </c>
      <c r="C639" s="44" t="s">
        <v>3654</v>
      </c>
      <c r="D639" s="23" t="s">
        <v>3655</v>
      </c>
      <c r="E639" s="24" t="s">
        <v>1355</v>
      </c>
      <c r="F639" s="24" t="s">
        <v>3611</v>
      </c>
      <c r="G639" s="24" t="s">
        <v>3656</v>
      </c>
      <c r="H639" s="24" t="s">
        <v>1557</v>
      </c>
      <c r="I639" s="45">
        <v>904296</v>
      </c>
      <c r="J639" s="46">
        <v>3.9</v>
      </c>
      <c r="K639" s="47">
        <f t="shared" si="16"/>
        <v>3526754.4</v>
      </c>
    </row>
    <row r="640" spans="2:11" x14ac:dyDescent="0.25">
      <c r="B640" s="22" t="s">
        <v>3657</v>
      </c>
      <c r="C640" s="75" t="s">
        <v>3658</v>
      </c>
      <c r="D640" s="76"/>
      <c r="E640" s="77" t="s">
        <v>1355</v>
      </c>
      <c r="F640" s="77" t="s">
        <v>3659</v>
      </c>
      <c r="G640" s="77" t="s">
        <v>3660</v>
      </c>
      <c r="H640" s="24" t="s">
        <v>3613</v>
      </c>
      <c r="I640" s="45" t="s">
        <v>3613</v>
      </c>
      <c r="J640" s="46" t="s">
        <v>3613</v>
      </c>
      <c r="K640" s="47"/>
    </row>
    <row r="641" spans="2:11" x14ac:dyDescent="0.25">
      <c r="B641" s="22" t="s">
        <v>3661</v>
      </c>
      <c r="C641" s="44" t="s">
        <v>3662</v>
      </c>
      <c r="D641" s="23" t="s">
        <v>3663</v>
      </c>
      <c r="E641" s="24" t="s">
        <v>1355</v>
      </c>
      <c r="F641" s="24" t="s">
        <v>3659</v>
      </c>
      <c r="G641" s="24" t="s">
        <v>3664</v>
      </c>
      <c r="H641" s="24" t="s">
        <v>1627</v>
      </c>
      <c r="I641" s="45">
        <v>12</v>
      </c>
      <c r="J641" s="46">
        <v>3349.36</v>
      </c>
      <c r="K641" s="47">
        <f t="shared" si="16"/>
        <v>40192.32</v>
      </c>
    </row>
    <row r="642" spans="2:11" x14ac:dyDescent="0.25">
      <c r="B642" s="22" t="s">
        <v>3665</v>
      </c>
      <c r="C642" s="44" t="s">
        <v>3666</v>
      </c>
      <c r="D642" s="23" t="s">
        <v>3667</v>
      </c>
      <c r="E642" s="24" t="s">
        <v>1355</v>
      </c>
      <c r="F642" s="24" t="s">
        <v>3659</v>
      </c>
      <c r="G642" s="24" t="s">
        <v>3668</v>
      </c>
      <c r="H642" s="24" t="s">
        <v>1627</v>
      </c>
      <c r="I642" s="45">
        <v>14</v>
      </c>
      <c r="J642" s="46">
        <v>2356.29</v>
      </c>
      <c r="K642" s="47">
        <f t="shared" si="16"/>
        <v>32988.06</v>
      </c>
    </row>
    <row r="643" spans="2:11" x14ac:dyDescent="0.25">
      <c r="B643" s="22" t="s">
        <v>3669</v>
      </c>
      <c r="C643" s="44" t="s">
        <v>3670</v>
      </c>
      <c r="D643" s="23" t="s">
        <v>3671</v>
      </c>
      <c r="E643" s="24" t="s">
        <v>1355</v>
      </c>
      <c r="F643" s="24" t="s">
        <v>3659</v>
      </c>
      <c r="G643" s="24" t="s">
        <v>3672</v>
      </c>
      <c r="H643" s="24" t="s">
        <v>1374</v>
      </c>
      <c r="I643" s="45">
        <v>1080</v>
      </c>
      <c r="J643" s="46">
        <v>455.28</v>
      </c>
      <c r="K643" s="47">
        <f t="shared" si="16"/>
        <v>491702.39999999997</v>
      </c>
    </row>
    <row r="644" spans="2:11" x14ac:dyDescent="0.25">
      <c r="B644" s="22" t="s">
        <v>3673</v>
      </c>
      <c r="C644" s="44" t="s">
        <v>3674</v>
      </c>
      <c r="D644" s="23" t="s">
        <v>3675</v>
      </c>
      <c r="E644" s="24" t="s">
        <v>1355</v>
      </c>
      <c r="F644" s="24" t="s">
        <v>3659</v>
      </c>
      <c r="G644" s="24" t="s">
        <v>3676</v>
      </c>
      <c r="H644" s="24" t="s">
        <v>1374</v>
      </c>
      <c r="I644" s="45">
        <v>3110</v>
      </c>
      <c r="J644" s="46">
        <v>455.28</v>
      </c>
      <c r="K644" s="47">
        <f t="shared" si="16"/>
        <v>1415920.7999999998</v>
      </c>
    </row>
    <row r="645" spans="2:11" x14ac:dyDescent="0.25">
      <c r="B645" s="22" t="s">
        <v>3677</v>
      </c>
      <c r="C645" s="44" t="s">
        <v>3678</v>
      </c>
      <c r="D645" s="23" t="s">
        <v>3679</v>
      </c>
      <c r="E645" s="24" t="s">
        <v>1355</v>
      </c>
      <c r="F645" s="24" t="s">
        <v>3659</v>
      </c>
      <c r="G645" s="24" t="s">
        <v>3680</v>
      </c>
      <c r="H645" s="24" t="s">
        <v>1374</v>
      </c>
      <c r="I645" s="45">
        <v>13500</v>
      </c>
      <c r="J645" s="46">
        <v>62.83</v>
      </c>
      <c r="K645" s="47">
        <f t="shared" si="16"/>
        <v>848205</v>
      </c>
    </row>
    <row r="646" spans="2:11" x14ac:dyDescent="0.25">
      <c r="B646" s="22" t="s">
        <v>3681</v>
      </c>
      <c r="C646" s="44" t="s">
        <v>3682</v>
      </c>
      <c r="D646" s="23" t="s">
        <v>3683</v>
      </c>
      <c r="E646" s="24" t="s">
        <v>1355</v>
      </c>
      <c r="F646" s="24" t="s">
        <v>3659</v>
      </c>
      <c r="G646" s="24" t="s">
        <v>3684</v>
      </c>
      <c r="H646" s="24" t="s">
        <v>1627</v>
      </c>
      <c r="I646" s="45">
        <v>43200</v>
      </c>
      <c r="J646" s="46">
        <v>70.34</v>
      </c>
      <c r="K646" s="47">
        <f t="shared" si="16"/>
        <v>3038688</v>
      </c>
    </row>
    <row r="647" spans="2:11" x14ac:dyDescent="0.25">
      <c r="B647" s="22" t="s">
        <v>3685</v>
      </c>
      <c r="C647" s="75" t="s">
        <v>3686</v>
      </c>
      <c r="D647" s="76"/>
      <c r="E647" s="77" t="s">
        <v>1355</v>
      </c>
      <c r="F647" s="77" t="s">
        <v>3687</v>
      </c>
      <c r="G647" s="77" t="s">
        <v>3688</v>
      </c>
      <c r="H647" s="24" t="s">
        <v>3613</v>
      </c>
      <c r="I647" s="45" t="s">
        <v>3613</v>
      </c>
      <c r="J647" s="46" t="s">
        <v>3613</v>
      </c>
      <c r="K647" s="47"/>
    </row>
    <row r="648" spans="2:11" x14ac:dyDescent="0.25">
      <c r="B648" s="22" t="s">
        <v>3689</v>
      </c>
      <c r="C648" s="44" t="s">
        <v>3690</v>
      </c>
      <c r="D648" s="23"/>
      <c r="E648" s="24" t="s">
        <v>1355</v>
      </c>
      <c r="F648" s="24" t="s">
        <v>3687</v>
      </c>
      <c r="G648" s="24" t="s">
        <v>3191</v>
      </c>
      <c r="H648" s="24" t="s">
        <v>2983</v>
      </c>
      <c r="I648" s="45">
        <v>900</v>
      </c>
      <c r="J648" s="46">
        <v>10397.879999999999</v>
      </c>
      <c r="K648" s="47">
        <f t="shared" si="16"/>
        <v>9358092</v>
      </c>
    </row>
    <row r="649" spans="2:11" x14ac:dyDescent="0.25">
      <c r="B649" s="22" t="s">
        <v>3691</v>
      </c>
      <c r="C649" s="44" t="s">
        <v>3692</v>
      </c>
      <c r="D649" s="23" t="s">
        <v>3153</v>
      </c>
      <c r="E649" s="24" t="s">
        <v>1355</v>
      </c>
      <c r="F649" s="24" t="s">
        <v>3687</v>
      </c>
      <c r="G649" s="24" t="s">
        <v>3154</v>
      </c>
      <c r="H649" s="24" t="s">
        <v>2983</v>
      </c>
      <c r="I649" s="45">
        <v>160</v>
      </c>
      <c r="J649" s="46">
        <v>209.6</v>
      </c>
      <c r="K649" s="47">
        <f t="shared" si="16"/>
        <v>33536</v>
      </c>
    </row>
    <row r="650" spans="2:11" x14ac:dyDescent="0.25">
      <c r="B650" s="22" t="s">
        <v>3693</v>
      </c>
      <c r="C650" s="44" t="s">
        <v>3694</v>
      </c>
      <c r="D650" s="23" t="s">
        <v>3060</v>
      </c>
      <c r="E650" s="24" t="s">
        <v>1355</v>
      </c>
      <c r="F650" s="24" t="s">
        <v>3687</v>
      </c>
      <c r="G650" s="24" t="s">
        <v>3695</v>
      </c>
      <c r="H650" s="24" t="s">
        <v>1361</v>
      </c>
      <c r="I650" s="45">
        <v>1600</v>
      </c>
      <c r="J650" s="46">
        <v>200.08</v>
      </c>
      <c r="K650" s="47">
        <f t="shared" si="16"/>
        <v>320128</v>
      </c>
    </row>
    <row r="651" spans="2:11" x14ac:dyDescent="0.25">
      <c r="B651" s="22" t="s">
        <v>3696</v>
      </c>
      <c r="C651" s="44" t="s">
        <v>3697</v>
      </c>
      <c r="D651" s="23" t="s">
        <v>3064</v>
      </c>
      <c r="E651" s="24" t="s">
        <v>1355</v>
      </c>
      <c r="F651" s="24" t="s">
        <v>3687</v>
      </c>
      <c r="G651" s="24" t="s">
        <v>3698</v>
      </c>
      <c r="H651" s="24" t="s">
        <v>1361</v>
      </c>
      <c r="I651" s="45">
        <v>1600</v>
      </c>
      <c r="J651" s="46">
        <v>200.08</v>
      </c>
      <c r="K651" s="47">
        <f t="shared" si="16"/>
        <v>320128</v>
      </c>
    </row>
    <row r="652" spans="2:11" x14ac:dyDescent="0.25">
      <c r="B652" s="22" t="s">
        <v>3699</v>
      </c>
      <c r="C652" s="44" t="s">
        <v>3700</v>
      </c>
      <c r="D652" s="23">
        <v>380606</v>
      </c>
      <c r="E652" s="24" t="s">
        <v>1355</v>
      </c>
      <c r="F652" s="24" t="s">
        <v>3687</v>
      </c>
      <c r="G652" s="24" t="s">
        <v>3701</v>
      </c>
      <c r="H652" s="24" t="s">
        <v>1361</v>
      </c>
      <c r="I652" s="45">
        <v>1700</v>
      </c>
      <c r="J652" s="46">
        <v>39.68</v>
      </c>
      <c r="K652" s="47">
        <f t="shared" si="16"/>
        <v>67456</v>
      </c>
    </row>
    <row r="653" spans="2:11" x14ac:dyDescent="0.25">
      <c r="B653" s="22" t="s">
        <v>3702</v>
      </c>
      <c r="C653" s="44" t="s">
        <v>3703</v>
      </c>
      <c r="D653" s="23">
        <v>392605</v>
      </c>
      <c r="E653" s="24" t="s">
        <v>1355</v>
      </c>
      <c r="F653" s="24" t="s">
        <v>3687</v>
      </c>
      <c r="G653" s="24" t="s">
        <v>3704</v>
      </c>
      <c r="H653" s="24" t="s">
        <v>1361</v>
      </c>
      <c r="I653" s="45">
        <v>6500</v>
      </c>
      <c r="J653" s="46">
        <v>9.11</v>
      </c>
      <c r="K653" s="47">
        <f t="shared" si="16"/>
        <v>59214.999999999993</v>
      </c>
    </row>
    <row r="654" spans="2:11" x14ac:dyDescent="0.25">
      <c r="B654" s="22" t="s">
        <v>3705</v>
      </c>
      <c r="C654" s="44" t="s">
        <v>3706</v>
      </c>
      <c r="D654" s="23">
        <v>39882606</v>
      </c>
      <c r="E654" s="24" t="s">
        <v>1355</v>
      </c>
      <c r="F654" s="24" t="s">
        <v>3687</v>
      </c>
      <c r="G654" s="24" t="s">
        <v>3707</v>
      </c>
      <c r="H654" s="24" t="s">
        <v>1361</v>
      </c>
      <c r="I654" s="45">
        <v>2000</v>
      </c>
      <c r="J654" s="46">
        <v>12.69</v>
      </c>
      <c r="K654" s="47">
        <f t="shared" si="16"/>
        <v>25380</v>
      </c>
    </row>
    <row r="655" spans="2:11" x14ac:dyDescent="0.25">
      <c r="B655" s="22" t="s">
        <v>3708</v>
      </c>
      <c r="C655" s="44" t="s">
        <v>3709</v>
      </c>
      <c r="D655" s="23">
        <v>392608</v>
      </c>
      <c r="E655" s="24" t="s">
        <v>1355</v>
      </c>
      <c r="F655" s="24" t="s">
        <v>3687</v>
      </c>
      <c r="G655" s="24" t="s">
        <v>3710</v>
      </c>
      <c r="H655" s="24" t="s">
        <v>1361</v>
      </c>
      <c r="I655" s="45">
        <v>15000</v>
      </c>
      <c r="J655" s="46">
        <v>23.95</v>
      </c>
      <c r="K655" s="47">
        <f t="shared" si="16"/>
        <v>359250</v>
      </c>
    </row>
    <row r="656" spans="2:11" x14ac:dyDescent="0.25">
      <c r="B656" s="22" t="s">
        <v>3711</v>
      </c>
      <c r="C656" s="44" t="s">
        <v>3712</v>
      </c>
      <c r="D656" s="23"/>
      <c r="E656" s="24" t="s">
        <v>1355</v>
      </c>
      <c r="F656" s="24" t="s">
        <v>3687</v>
      </c>
      <c r="G656" s="24" t="s">
        <v>3174</v>
      </c>
      <c r="H656" s="24" t="s">
        <v>1361</v>
      </c>
      <c r="I656" s="45">
        <v>1600</v>
      </c>
      <c r="J656" s="46">
        <v>612.54</v>
      </c>
      <c r="K656" s="47">
        <f t="shared" si="16"/>
        <v>980064</v>
      </c>
    </row>
    <row r="657" spans="2:11" x14ac:dyDescent="0.25">
      <c r="B657" s="22" t="s">
        <v>3713</v>
      </c>
      <c r="C657" s="44" t="s">
        <v>3714</v>
      </c>
      <c r="D657" s="23" t="s">
        <v>3715</v>
      </c>
      <c r="E657" s="24" t="s">
        <v>1355</v>
      </c>
      <c r="F657" s="24" t="s">
        <v>3687</v>
      </c>
      <c r="G657" s="24" t="s">
        <v>3716</v>
      </c>
      <c r="H657" s="24" t="s">
        <v>2983</v>
      </c>
      <c r="I657" s="45">
        <v>2</v>
      </c>
      <c r="J657" s="46">
        <v>17892.95</v>
      </c>
      <c r="K657" s="47">
        <f t="shared" si="16"/>
        <v>35785.9</v>
      </c>
    </row>
    <row r="658" spans="2:11" x14ac:dyDescent="0.25">
      <c r="B658" s="22" t="s">
        <v>3717</v>
      </c>
      <c r="C658" s="75" t="s">
        <v>3718</v>
      </c>
      <c r="D658" s="76"/>
      <c r="E658" s="77" t="s">
        <v>1355</v>
      </c>
      <c r="F658" s="77" t="s">
        <v>3719</v>
      </c>
      <c r="G658" s="77" t="s">
        <v>3720</v>
      </c>
      <c r="H658" s="24" t="s">
        <v>3613</v>
      </c>
      <c r="I658" s="45" t="s">
        <v>3613</v>
      </c>
      <c r="J658" s="46" t="s">
        <v>3613</v>
      </c>
      <c r="K658" s="47"/>
    </row>
    <row r="659" spans="2:11" x14ac:dyDescent="0.25">
      <c r="B659" s="22" t="s">
        <v>3721</v>
      </c>
      <c r="C659" s="44" t="s">
        <v>3722</v>
      </c>
      <c r="D659" s="23">
        <v>50114</v>
      </c>
      <c r="E659" s="24" t="s">
        <v>1355</v>
      </c>
      <c r="F659" s="24" t="s">
        <v>3719</v>
      </c>
      <c r="G659" s="24" t="s">
        <v>3723</v>
      </c>
      <c r="H659" s="24" t="s">
        <v>1361</v>
      </c>
      <c r="I659" s="45">
        <v>32000</v>
      </c>
      <c r="J659" s="46">
        <v>70.709999999999994</v>
      </c>
      <c r="K659" s="47">
        <f t="shared" si="16"/>
        <v>2262720</v>
      </c>
    </row>
    <row r="660" spans="2:11" x14ac:dyDescent="0.25">
      <c r="B660" s="22" t="s">
        <v>3724</v>
      </c>
      <c r="C660" s="44" t="s">
        <v>3725</v>
      </c>
      <c r="D660" s="23">
        <v>58013</v>
      </c>
      <c r="E660" s="24" t="s">
        <v>1355</v>
      </c>
      <c r="F660" s="24" t="s">
        <v>3719</v>
      </c>
      <c r="G660" s="24" t="s">
        <v>3726</v>
      </c>
      <c r="H660" s="24" t="s">
        <v>2764</v>
      </c>
      <c r="I660" s="45">
        <v>32</v>
      </c>
      <c r="J660" s="46">
        <v>12.11</v>
      </c>
      <c r="K660" s="47">
        <f t="shared" si="16"/>
        <v>387.52</v>
      </c>
    </row>
    <row r="661" spans="2:11" x14ac:dyDescent="0.25">
      <c r="B661" s="22" t="s">
        <v>3727</v>
      </c>
      <c r="C661" s="44" t="s">
        <v>3728</v>
      </c>
      <c r="D661" s="23"/>
      <c r="E661" s="24" t="s">
        <v>1355</v>
      </c>
      <c r="F661" s="24" t="s">
        <v>3719</v>
      </c>
      <c r="G661" s="24" t="s">
        <v>3729</v>
      </c>
      <c r="H661" s="24" t="s">
        <v>2764</v>
      </c>
      <c r="I661" s="45">
        <v>48</v>
      </c>
      <c r="J661" s="46">
        <v>70</v>
      </c>
      <c r="K661" s="47">
        <f t="shared" si="16"/>
        <v>3360</v>
      </c>
    </row>
    <row r="662" spans="2:11" x14ac:dyDescent="0.25">
      <c r="B662" s="22" t="s">
        <v>3730</v>
      </c>
      <c r="C662" s="44" t="s">
        <v>3731</v>
      </c>
      <c r="D662" s="23">
        <v>58036</v>
      </c>
      <c r="E662" s="24" t="s">
        <v>1355</v>
      </c>
      <c r="F662" s="24" t="s">
        <v>3719</v>
      </c>
      <c r="G662" s="24" t="s">
        <v>3732</v>
      </c>
      <c r="H662" s="24" t="s">
        <v>2764</v>
      </c>
      <c r="I662" s="45">
        <v>48</v>
      </c>
      <c r="J662" s="46">
        <v>21.99</v>
      </c>
      <c r="K662" s="47">
        <f t="shared" si="16"/>
        <v>1055.52</v>
      </c>
    </row>
    <row r="663" spans="2:11" x14ac:dyDescent="0.25">
      <c r="B663" s="22" t="s">
        <v>3733</v>
      </c>
      <c r="C663" s="44" t="s">
        <v>3734</v>
      </c>
      <c r="D663" s="23"/>
      <c r="E663" s="24" t="s">
        <v>1355</v>
      </c>
      <c r="F663" s="24" t="s">
        <v>3719</v>
      </c>
      <c r="G663" s="24" t="s">
        <v>3735</v>
      </c>
      <c r="H663" s="24" t="s">
        <v>2764</v>
      </c>
      <c r="I663" s="45">
        <v>30</v>
      </c>
      <c r="J663" s="46">
        <v>300</v>
      </c>
      <c r="K663" s="47">
        <f t="shared" si="16"/>
        <v>9000</v>
      </c>
    </row>
    <row r="664" spans="2:11" x14ac:dyDescent="0.25">
      <c r="B664" s="22" t="s">
        <v>3736</v>
      </c>
      <c r="C664" s="44" t="s">
        <v>3737</v>
      </c>
      <c r="D664" s="23"/>
      <c r="E664" s="24" t="s">
        <v>1355</v>
      </c>
      <c r="F664" s="24" t="s">
        <v>3719</v>
      </c>
      <c r="G664" s="24" t="s">
        <v>3738</v>
      </c>
      <c r="H664" s="24" t="s">
        <v>2764</v>
      </c>
      <c r="I664" s="45">
        <v>30</v>
      </c>
      <c r="J664" s="46">
        <v>1200</v>
      </c>
      <c r="K664" s="47">
        <f t="shared" si="16"/>
        <v>36000</v>
      </c>
    </row>
    <row r="665" spans="2:11" x14ac:dyDescent="0.25">
      <c r="B665" s="22" t="s">
        <v>3739</v>
      </c>
      <c r="C665" s="44" t="s">
        <v>3740</v>
      </c>
      <c r="D665" s="23">
        <v>52851</v>
      </c>
      <c r="E665" s="24" t="s">
        <v>1355</v>
      </c>
      <c r="F665" s="24" t="s">
        <v>3719</v>
      </c>
      <c r="G665" s="24" t="s">
        <v>3741</v>
      </c>
      <c r="H665" s="24" t="s">
        <v>1361</v>
      </c>
      <c r="I665" s="45">
        <v>200</v>
      </c>
      <c r="J665" s="46">
        <v>45.7</v>
      </c>
      <c r="K665" s="47">
        <f t="shared" si="16"/>
        <v>9140</v>
      </c>
    </row>
    <row r="666" spans="2:11" x14ac:dyDescent="0.25">
      <c r="B666" s="22" t="s">
        <v>3742</v>
      </c>
      <c r="C666" s="44" t="s">
        <v>3743</v>
      </c>
      <c r="D666" s="23">
        <v>57610</v>
      </c>
      <c r="E666" s="24" t="s">
        <v>1355</v>
      </c>
      <c r="F666" s="24" t="s">
        <v>3719</v>
      </c>
      <c r="G666" s="24" t="s">
        <v>3744</v>
      </c>
      <c r="H666" s="24" t="s">
        <v>2764</v>
      </c>
      <c r="I666" s="45">
        <v>12</v>
      </c>
      <c r="J666" s="46">
        <v>79.19</v>
      </c>
      <c r="K666" s="47">
        <f t="shared" si="16"/>
        <v>950.28</v>
      </c>
    </row>
    <row r="667" spans="2:11" x14ac:dyDescent="0.25">
      <c r="B667" s="22" t="s">
        <v>3745</v>
      </c>
      <c r="C667" s="44" t="s">
        <v>3746</v>
      </c>
      <c r="D667" s="23"/>
      <c r="E667" s="24" t="s">
        <v>1355</v>
      </c>
      <c r="F667" s="24" t="s">
        <v>3719</v>
      </c>
      <c r="G667" s="24" t="s">
        <v>3747</v>
      </c>
      <c r="H667" s="24" t="s">
        <v>2764</v>
      </c>
      <c r="I667" s="45">
        <v>6</v>
      </c>
      <c r="J667" s="46">
        <v>753.6</v>
      </c>
      <c r="K667" s="47">
        <f t="shared" si="16"/>
        <v>4521.6000000000004</v>
      </c>
    </row>
    <row r="668" spans="2:11" x14ac:dyDescent="0.25">
      <c r="B668" s="22" t="s">
        <v>3748</v>
      </c>
      <c r="C668" s="44" t="s">
        <v>3749</v>
      </c>
      <c r="D668" s="23"/>
      <c r="E668" s="24" t="s">
        <v>1355</v>
      </c>
      <c r="F668" s="24" t="s">
        <v>3719</v>
      </c>
      <c r="G668" s="24" t="s">
        <v>3750</v>
      </c>
      <c r="H668" s="24" t="s">
        <v>2764</v>
      </c>
      <c r="I668" s="45">
        <v>4</v>
      </c>
      <c r="J668" s="46">
        <v>895.2</v>
      </c>
      <c r="K668" s="47">
        <f t="shared" si="16"/>
        <v>3580.8</v>
      </c>
    </row>
    <row r="669" spans="2:11" x14ac:dyDescent="0.25">
      <c r="B669" s="22" t="s">
        <v>3751</v>
      </c>
      <c r="C669" s="44" t="s">
        <v>3752</v>
      </c>
      <c r="D669" s="23"/>
      <c r="E669" s="24" t="s">
        <v>1355</v>
      </c>
      <c r="F669" s="24" t="s">
        <v>3719</v>
      </c>
      <c r="G669" s="24" t="s">
        <v>3753</v>
      </c>
      <c r="H669" s="24" t="s">
        <v>2764</v>
      </c>
      <c r="I669" s="45">
        <v>8</v>
      </c>
      <c r="J669" s="46">
        <v>468.25</v>
      </c>
      <c r="K669" s="47">
        <f t="shared" si="16"/>
        <v>3746</v>
      </c>
    </row>
    <row r="670" spans="2:11" x14ac:dyDescent="0.25">
      <c r="B670" s="22" t="s">
        <v>3754</v>
      </c>
      <c r="C670" s="44" t="s">
        <v>3755</v>
      </c>
      <c r="D670" s="23"/>
      <c r="E670" s="24" t="s">
        <v>1355</v>
      </c>
      <c r="F670" s="24" t="s">
        <v>3719</v>
      </c>
      <c r="G670" s="24" t="s">
        <v>3756</v>
      </c>
      <c r="H670" s="24" t="s">
        <v>2764</v>
      </c>
      <c r="I670" s="45">
        <v>18</v>
      </c>
      <c r="J670" s="46">
        <v>239.55</v>
      </c>
      <c r="K670" s="47">
        <f t="shared" si="16"/>
        <v>4311.9000000000005</v>
      </c>
    </row>
    <row r="671" spans="2:11" ht="13.5" thickBot="1" x14ac:dyDescent="0.3">
      <c r="B671" s="22" t="s">
        <v>3757</v>
      </c>
      <c r="C671" s="78" t="s">
        <v>3758</v>
      </c>
      <c r="D671" s="79"/>
      <c r="E671" s="80" t="s">
        <v>1355</v>
      </c>
      <c r="F671" s="80" t="s">
        <v>3719</v>
      </c>
      <c r="G671" s="80" t="s">
        <v>3759</v>
      </c>
      <c r="H671" s="80" t="s">
        <v>2764</v>
      </c>
      <c r="I671" s="81">
        <v>15</v>
      </c>
      <c r="J671" s="82">
        <v>95.94</v>
      </c>
      <c r="K671" s="83">
        <f t="shared" si="16"/>
        <v>1439.1</v>
      </c>
    </row>
    <row r="672" spans="2:11" ht="13.5" thickBot="1" x14ac:dyDescent="0.3">
      <c r="B672" s="22" t="s">
        <v>3760</v>
      </c>
      <c r="G672" s="9" t="s">
        <v>1528</v>
      </c>
      <c r="H672" s="9"/>
    </row>
    <row r="673" spans="2:11" ht="13.5" thickBot="1" x14ac:dyDescent="0.3">
      <c r="B673" s="22" t="s">
        <v>3761</v>
      </c>
      <c r="C673" s="88">
        <v>15</v>
      </c>
      <c r="D673" s="52">
        <v>21</v>
      </c>
      <c r="E673" s="89" t="s">
        <v>3762</v>
      </c>
      <c r="F673" s="89" t="s">
        <v>3763</v>
      </c>
      <c r="G673" s="89"/>
      <c r="H673" s="89" t="s">
        <v>1528</v>
      </c>
      <c r="I673" s="90"/>
      <c r="J673" s="91"/>
      <c r="K673" s="92"/>
    </row>
    <row r="674" spans="2:11" ht="13.5" thickBot="1" x14ac:dyDescent="0.3">
      <c r="B674" s="22" t="s">
        <v>3764</v>
      </c>
      <c r="C674" s="93" t="s">
        <v>3765</v>
      </c>
      <c r="D674" s="94" t="s">
        <v>3766</v>
      </c>
      <c r="E674" s="95" t="s">
        <v>3762</v>
      </c>
      <c r="F674" s="95" t="s">
        <v>3763</v>
      </c>
      <c r="G674" s="95" t="s">
        <v>3767</v>
      </c>
      <c r="H674" s="95" t="s">
        <v>1383</v>
      </c>
      <c r="I674" s="96">
        <v>35024</v>
      </c>
      <c r="J674" s="97">
        <v>5.44</v>
      </c>
      <c r="K674" s="98">
        <f>J674*I674</f>
        <v>190530.56000000003</v>
      </c>
    </row>
    <row r="675" spans="2:11" ht="13.5" thickBot="1" x14ac:dyDescent="0.3">
      <c r="B675" s="22" t="s">
        <v>3768</v>
      </c>
      <c r="C675" s="88">
        <v>16</v>
      </c>
      <c r="D675" s="52">
        <v>23</v>
      </c>
      <c r="E675" s="89" t="s">
        <v>3762</v>
      </c>
      <c r="F675" s="89" t="s">
        <v>1478</v>
      </c>
      <c r="G675" s="89"/>
      <c r="H675" s="89" t="s">
        <v>1528</v>
      </c>
      <c r="I675" s="90"/>
      <c r="J675" s="91"/>
      <c r="K675" s="92"/>
    </row>
    <row r="676" spans="2:11" ht="13.5" thickBot="1" x14ac:dyDescent="0.3">
      <c r="B676" s="22" t="s">
        <v>3769</v>
      </c>
      <c r="C676" s="93" t="s">
        <v>3770</v>
      </c>
      <c r="D676" s="94" t="s">
        <v>3771</v>
      </c>
      <c r="E676" s="95" t="s">
        <v>3762</v>
      </c>
      <c r="F676" s="95" t="s">
        <v>1478</v>
      </c>
      <c r="G676" s="95" t="s">
        <v>3772</v>
      </c>
      <c r="H676" s="95" t="s">
        <v>1374</v>
      </c>
      <c r="I676" s="96">
        <v>2259.9</v>
      </c>
      <c r="J676" s="97">
        <v>749.33</v>
      </c>
      <c r="K676" s="98">
        <f>I676*J676</f>
        <v>1693410.8670000001</v>
      </c>
    </row>
    <row r="677" spans="2:11" ht="13.5" thickBot="1" x14ac:dyDescent="0.3">
      <c r="B677" s="22" t="s">
        <v>3773</v>
      </c>
      <c r="C677" s="88">
        <v>17</v>
      </c>
      <c r="D677" s="52"/>
      <c r="E677" s="89" t="s">
        <v>3762</v>
      </c>
      <c r="F677" s="89" t="s">
        <v>3774</v>
      </c>
      <c r="G677" s="89"/>
      <c r="H677" s="89" t="s">
        <v>1528</v>
      </c>
      <c r="I677" s="90"/>
      <c r="J677" s="91"/>
      <c r="K677" s="92"/>
    </row>
    <row r="678" spans="2:11" x14ac:dyDescent="0.25">
      <c r="B678" s="22" t="s">
        <v>3775</v>
      </c>
      <c r="C678" s="40" t="s">
        <v>3776</v>
      </c>
      <c r="D678" s="17" t="s">
        <v>2778</v>
      </c>
      <c r="E678" s="18" t="s">
        <v>3762</v>
      </c>
      <c r="F678" s="18" t="s">
        <v>3774</v>
      </c>
      <c r="G678" s="18" t="s">
        <v>1552</v>
      </c>
      <c r="H678" s="18" t="s">
        <v>1383</v>
      </c>
      <c r="I678" s="41">
        <v>2208</v>
      </c>
      <c r="J678" s="42">
        <v>80.069999999999993</v>
      </c>
      <c r="K678" s="43">
        <f>I678*J678</f>
        <v>176794.56</v>
      </c>
    </row>
    <row r="679" spans="2:11" x14ac:dyDescent="0.25">
      <c r="B679" s="22" t="s">
        <v>3777</v>
      </c>
      <c r="C679" s="44" t="s">
        <v>3778</v>
      </c>
      <c r="D679" s="23" t="s">
        <v>2781</v>
      </c>
      <c r="E679" s="24" t="s">
        <v>3762</v>
      </c>
      <c r="F679" s="24" t="s">
        <v>3774</v>
      </c>
      <c r="G679" s="24" t="s">
        <v>1556</v>
      </c>
      <c r="H679" s="24" t="s">
        <v>1557</v>
      </c>
      <c r="I679" s="45">
        <v>28882.560000000001</v>
      </c>
      <c r="J679" s="46">
        <v>8.52</v>
      </c>
      <c r="K679" s="47">
        <f t="shared" ref="K679:K742" si="17">I679*J679</f>
        <v>246079.4112</v>
      </c>
    </row>
    <row r="680" spans="2:11" x14ac:dyDescent="0.25">
      <c r="B680" s="22" t="s">
        <v>3779</v>
      </c>
      <c r="C680" s="44" t="s">
        <v>3780</v>
      </c>
      <c r="D680" s="23" t="s">
        <v>3781</v>
      </c>
      <c r="E680" s="24" t="s">
        <v>3762</v>
      </c>
      <c r="F680" s="24" t="s">
        <v>3774</v>
      </c>
      <c r="G680" s="24" t="s">
        <v>1569</v>
      </c>
      <c r="H680" s="24" t="s">
        <v>1374</v>
      </c>
      <c r="I680" s="45">
        <v>288.83</v>
      </c>
      <c r="J680" s="46">
        <v>455.28</v>
      </c>
      <c r="K680" s="47">
        <f t="shared" si="17"/>
        <v>131498.52239999999</v>
      </c>
    </row>
    <row r="681" spans="2:11" x14ac:dyDescent="0.25">
      <c r="B681" s="22" t="s">
        <v>3782</v>
      </c>
      <c r="C681" s="44" t="s">
        <v>3783</v>
      </c>
      <c r="D681" s="23" t="s">
        <v>3784</v>
      </c>
      <c r="E681" s="24" t="s">
        <v>3762</v>
      </c>
      <c r="F681" s="24" t="s">
        <v>3774</v>
      </c>
      <c r="G681" s="24" t="s">
        <v>1655</v>
      </c>
      <c r="H681" s="24" t="s">
        <v>1361</v>
      </c>
      <c r="I681" s="45">
        <v>480</v>
      </c>
      <c r="J681" s="46">
        <v>343.28</v>
      </c>
      <c r="K681" s="47">
        <f t="shared" si="17"/>
        <v>164774.39999999999</v>
      </c>
    </row>
    <row r="682" spans="2:11" x14ac:dyDescent="0.25">
      <c r="B682" s="22" t="s">
        <v>3785</v>
      </c>
      <c r="C682" s="44" t="s">
        <v>3786</v>
      </c>
      <c r="D682" s="23" t="s">
        <v>3787</v>
      </c>
      <c r="E682" s="24" t="s">
        <v>3762</v>
      </c>
      <c r="F682" s="24" t="s">
        <v>3774</v>
      </c>
      <c r="G682" s="24" t="s">
        <v>1659</v>
      </c>
      <c r="H682" s="24" t="s">
        <v>1627</v>
      </c>
      <c r="I682" s="45">
        <v>15</v>
      </c>
      <c r="J682" s="46">
        <v>133.96</v>
      </c>
      <c r="K682" s="47">
        <f t="shared" si="17"/>
        <v>2009.4</v>
      </c>
    </row>
    <row r="683" spans="2:11" x14ac:dyDescent="0.25">
      <c r="B683" s="22" t="s">
        <v>3788</v>
      </c>
      <c r="C683" s="44" t="s">
        <v>3789</v>
      </c>
      <c r="D683" s="23" t="s">
        <v>3790</v>
      </c>
      <c r="E683" s="24" t="s">
        <v>3762</v>
      </c>
      <c r="F683" s="24" t="s">
        <v>3774</v>
      </c>
      <c r="G683" s="24" t="s">
        <v>1631</v>
      </c>
      <c r="H683" s="24" t="s">
        <v>1627</v>
      </c>
      <c r="I683" s="45">
        <v>2</v>
      </c>
      <c r="J683" s="46">
        <v>6466.5</v>
      </c>
      <c r="K683" s="47">
        <f t="shared" si="17"/>
        <v>12933</v>
      </c>
    </row>
    <row r="684" spans="2:11" x14ac:dyDescent="0.25">
      <c r="B684" s="22" t="s">
        <v>3791</v>
      </c>
      <c r="C684" s="44" t="s">
        <v>3792</v>
      </c>
      <c r="D684" s="23" t="s">
        <v>3793</v>
      </c>
      <c r="E684" s="24" t="s">
        <v>3762</v>
      </c>
      <c r="F684" s="24" t="s">
        <v>3774</v>
      </c>
      <c r="G684" s="24" t="s">
        <v>1635</v>
      </c>
      <c r="H684" s="24" t="s">
        <v>1627</v>
      </c>
      <c r="I684" s="45">
        <v>2</v>
      </c>
      <c r="J684" s="46">
        <v>3510</v>
      </c>
      <c r="K684" s="47">
        <f t="shared" si="17"/>
        <v>7020</v>
      </c>
    </row>
    <row r="685" spans="2:11" x14ac:dyDescent="0.25">
      <c r="B685" s="22" t="s">
        <v>3794</v>
      </c>
      <c r="C685" s="44" t="s">
        <v>3795</v>
      </c>
      <c r="D685" s="23" t="s">
        <v>3796</v>
      </c>
      <c r="E685" s="24" t="s">
        <v>3762</v>
      </c>
      <c r="F685" s="24" t="s">
        <v>3774</v>
      </c>
      <c r="G685" s="24" t="s">
        <v>1639</v>
      </c>
      <c r="H685" s="24" t="s">
        <v>1627</v>
      </c>
      <c r="I685" s="45">
        <v>552</v>
      </c>
      <c r="J685" s="46">
        <v>83.05</v>
      </c>
      <c r="K685" s="47">
        <f t="shared" si="17"/>
        <v>45843.6</v>
      </c>
    </row>
    <row r="686" spans="2:11" x14ac:dyDescent="0.25">
      <c r="B686" s="22" t="s">
        <v>3797</v>
      </c>
      <c r="C686" s="44" t="s">
        <v>3798</v>
      </c>
      <c r="D686" s="23" t="s">
        <v>3799</v>
      </c>
      <c r="E686" s="24" t="s">
        <v>3762</v>
      </c>
      <c r="F686" s="24" t="s">
        <v>3774</v>
      </c>
      <c r="G686" s="24" t="s">
        <v>1643</v>
      </c>
      <c r="H686" s="24" t="s">
        <v>1627</v>
      </c>
      <c r="I686" s="45">
        <v>552</v>
      </c>
      <c r="J686" s="46">
        <v>83.05</v>
      </c>
      <c r="K686" s="47">
        <f t="shared" si="17"/>
        <v>45843.6</v>
      </c>
    </row>
    <row r="687" spans="2:11" ht="13.5" thickBot="1" x14ac:dyDescent="0.3">
      <c r="B687" s="22" t="s">
        <v>3800</v>
      </c>
      <c r="C687" s="48" t="s">
        <v>3801</v>
      </c>
      <c r="D687" s="29" t="s">
        <v>3802</v>
      </c>
      <c r="E687" s="30" t="s">
        <v>3762</v>
      </c>
      <c r="F687" s="30" t="s">
        <v>3774</v>
      </c>
      <c r="G687" s="30" t="s">
        <v>1647</v>
      </c>
      <c r="H687" s="30" t="s">
        <v>1627</v>
      </c>
      <c r="I687" s="49">
        <v>2208</v>
      </c>
      <c r="J687" s="50">
        <v>83.05</v>
      </c>
      <c r="K687" s="51">
        <f t="shared" si="17"/>
        <v>183374.4</v>
      </c>
    </row>
    <row r="688" spans="2:11" ht="13.5" thickBot="1" x14ac:dyDescent="0.3">
      <c r="B688" s="22" t="s">
        <v>3803</v>
      </c>
      <c r="C688" s="88">
        <v>18</v>
      </c>
      <c r="D688" s="52"/>
      <c r="E688" s="89" t="s">
        <v>3762</v>
      </c>
      <c r="F688" s="89" t="s">
        <v>3296</v>
      </c>
      <c r="G688" s="89"/>
      <c r="H688" s="89" t="s">
        <v>1528</v>
      </c>
      <c r="I688" s="90"/>
      <c r="J688" s="91"/>
      <c r="K688" s="92"/>
    </row>
    <row r="689" spans="2:11" x14ac:dyDescent="0.25">
      <c r="B689" s="22" t="s">
        <v>3804</v>
      </c>
      <c r="C689" s="40" t="s">
        <v>3805</v>
      </c>
      <c r="D689" s="17"/>
      <c r="E689" s="18" t="s">
        <v>3762</v>
      </c>
      <c r="F689" s="18" t="s">
        <v>3296</v>
      </c>
      <c r="G689" s="18" t="s">
        <v>3308</v>
      </c>
      <c r="H689" s="18" t="s">
        <v>2983</v>
      </c>
      <c r="I689" s="41">
        <v>32</v>
      </c>
      <c r="J689" s="42">
        <v>1907.09</v>
      </c>
      <c r="K689" s="43">
        <f t="shared" si="17"/>
        <v>61026.879999999997</v>
      </c>
    </row>
    <row r="690" spans="2:11" x14ac:dyDescent="0.25">
      <c r="B690" s="22" t="s">
        <v>3806</v>
      </c>
      <c r="C690" s="44" t="s">
        <v>3807</v>
      </c>
      <c r="D690" s="23"/>
      <c r="E690" s="24" t="s">
        <v>3762</v>
      </c>
      <c r="F690" s="24" t="s">
        <v>3296</v>
      </c>
      <c r="G690" s="24" t="s">
        <v>3317</v>
      </c>
      <c r="H690" s="24" t="s">
        <v>2983</v>
      </c>
      <c r="I690" s="45">
        <v>10</v>
      </c>
      <c r="J690" s="46">
        <v>1907.09</v>
      </c>
      <c r="K690" s="47">
        <f t="shared" si="17"/>
        <v>19070.899999999998</v>
      </c>
    </row>
    <row r="691" spans="2:11" x14ac:dyDescent="0.25">
      <c r="B691" s="22" t="s">
        <v>3808</v>
      </c>
      <c r="C691" s="44" t="s">
        <v>3809</v>
      </c>
      <c r="D691" s="23"/>
      <c r="E691" s="24" t="s">
        <v>3762</v>
      </c>
      <c r="F691" s="24" t="s">
        <v>3296</v>
      </c>
      <c r="G691" s="24" t="s">
        <v>3320</v>
      </c>
      <c r="H691" s="24" t="s">
        <v>2983</v>
      </c>
      <c r="I691" s="45">
        <v>1</v>
      </c>
      <c r="J691" s="46">
        <v>34232.44</v>
      </c>
      <c r="K691" s="47">
        <f t="shared" si="17"/>
        <v>34232.44</v>
      </c>
    </row>
    <row r="692" spans="2:11" x14ac:dyDescent="0.25">
      <c r="B692" s="22" t="s">
        <v>3810</v>
      </c>
      <c r="C692" s="44" t="s">
        <v>3811</v>
      </c>
      <c r="D692" s="23"/>
      <c r="E692" s="24" t="s">
        <v>3762</v>
      </c>
      <c r="F692" s="24" t="s">
        <v>3296</v>
      </c>
      <c r="G692" s="24" t="s">
        <v>3323</v>
      </c>
      <c r="H692" s="24" t="s">
        <v>2983</v>
      </c>
      <c r="I692" s="45">
        <v>1</v>
      </c>
      <c r="J692" s="46">
        <v>19561.39</v>
      </c>
      <c r="K692" s="47">
        <f t="shared" si="17"/>
        <v>19561.39</v>
      </c>
    </row>
    <row r="693" spans="2:11" x14ac:dyDescent="0.25">
      <c r="B693" s="22" t="s">
        <v>3812</v>
      </c>
      <c r="C693" s="44" t="s">
        <v>3813</v>
      </c>
      <c r="D693" s="23"/>
      <c r="E693" s="24" t="s">
        <v>3762</v>
      </c>
      <c r="F693" s="24" t="s">
        <v>3296</v>
      </c>
      <c r="G693" s="24" t="s">
        <v>3814</v>
      </c>
      <c r="H693" s="24" t="s">
        <v>1614</v>
      </c>
      <c r="I693" s="45">
        <v>3700</v>
      </c>
      <c r="J693" s="46">
        <v>48.9</v>
      </c>
      <c r="K693" s="47">
        <f t="shared" si="17"/>
        <v>180930</v>
      </c>
    </row>
    <row r="694" spans="2:11" x14ac:dyDescent="0.25">
      <c r="B694" s="22" t="s">
        <v>3815</v>
      </c>
      <c r="C694" s="44" t="s">
        <v>3816</v>
      </c>
      <c r="D694" s="23"/>
      <c r="E694" s="24" t="s">
        <v>3762</v>
      </c>
      <c r="F694" s="24" t="s">
        <v>3296</v>
      </c>
      <c r="G694" s="24" t="s">
        <v>3329</v>
      </c>
      <c r="H694" s="24" t="s">
        <v>1361</v>
      </c>
      <c r="I694" s="45">
        <v>2200</v>
      </c>
      <c r="J694" s="46">
        <v>44.01</v>
      </c>
      <c r="K694" s="47">
        <f t="shared" si="17"/>
        <v>96822</v>
      </c>
    </row>
    <row r="695" spans="2:11" x14ac:dyDescent="0.25">
      <c r="B695" s="22" t="s">
        <v>3817</v>
      </c>
      <c r="C695" s="44" t="s">
        <v>3818</v>
      </c>
      <c r="D695" s="23" t="s">
        <v>3335</v>
      </c>
      <c r="E695" s="24" t="s">
        <v>3762</v>
      </c>
      <c r="F695" s="24" t="s">
        <v>3296</v>
      </c>
      <c r="G695" s="24" t="s">
        <v>3336</v>
      </c>
      <c r="H695" s="24" t="s">
        <v>1361</v>
      </c>
      <c r="I695" s="45">
        <v>37000</v>
      </c>
      <c r="J695" s="46">
        <v>22.01</v>
      </c>
      <c r="K695" s="47">
        <f t="shared" si="17"/>
        <v>814370</v>
      </c>
    </row>
    <row r="696" spans="2:11" x14ac:dyDescent="0.25">
      <c r="B696" s="22" t="s">
        <v>3819</v>
      </c>
      <c r="C696" s="44" t="s">
        <v>3820</v>
      </c>
      <c r="D696" s="23" t="s">
        <v>3339</v>
      </c>
      <c r="E696" s="24" t="s">
        <v>3762</v>
      </c>
      <c r="F696" s="24" t="s">
        <v>3296</v>
      </c>
      <c r="G696" s="24" t="s">
        <v>3340</v>
      </c>
      <c r="H696" s="24" t="s">
        <v>1361</v>
      </c>
      <c r="I696" s="45">
        <v>1600</v>
      </c>
      <c r="J696" s="46">
        <v>10.69</v>
      </c>
      <c r="K696" s="47">
        <f t="shared" si="17"/>
        <v>17104</v>
      </c>
    </row>
    <row r="697" spans="2:11" x14ac:dyDescent="0.25">
      <c r="B697" s="22" t="s">
        <v>3821</v>
      </c>
      <c r="C697" s="44" t="s">
        <v>3822</v>
      </c>
      <c r="D697" s="23" t="s">
        <v>3343</v>
      </c>
      <c r="E697" s="24" t="s">
        <v>3762</v>
      </c>
      <c r="F697" s="24" t="s">
        <v>3296</v>
      </c>
      <c r="G697" s="24" t="s">
        <v>3344</v>
      </c>
      <c r="H697" s="24" t="s">
        <v>1361</v>
      </c>
      <c r="I697" s="45">
        <v>13600</v>
      </c>
      <c r="J697" s="46">
        <v>18.100000000000001</v>
      </c>
      <c r="K697" s="47">
        <f t="shared" si="17"/>
        <v>246160.00000000003</v>
      </c>
    </row>
    <row r="698" spans="2:11" x14ac:dyDescent="0.25">
      <c r="B698" s="22" t="s">
        <v>3823</v>
      </c>
      <c r="C698" s="44" t="s">
        <v>3824</v>
      </c>
      <c r="D698" s="23"/>
      <c r="E698" s="24" t="s">
        <v>3762</v>
      </c>
      <c r="F698" s="24" t="s">
        <v>3296</v>
      </c>
      <c r="G698" s="24" t="s">
        <v>3347</v>
      </c>
      <c r="H698" s="24" t="s">
        <v>1361</v>
      </c>
      <c r="I698" s="45">
        <v>19000</v>
      </c>
      <c r="J698" s="46">
        <v>9.77</v>
      </c>
      <c r="K698" s="47">
        <f t="shared" si="17"/>
        <v>185630</v>
      </c>
    </row>
    <row r="699" spans="2:11" x14ac:dyDescent="0.25">
      <c r="B699" s="22" t="s">
        <v>3825</v>
      </c>
      <c r="C699" s="44" t="s">
        <v>3826</v>
      </c>
      <c r="D699" s="23"/>
      <c r="E699" s="24" t="s">
        <v>3762</v>
      </c>
      <c r="F699" s="24" t="s">
        <v>3296</v>
      </c>
      <c r="G699" s="24" t="s">
        <v>3350</v>
      </c>
      <c r="H699" s="24" t="s">
        <v>1361</v>
      </c>
      <c r="I699" s="45">
        <v>63100</v>
      </c>
      <c r="J699" s="46">
        <v>11</v>
      </c>
      <c r="K699" s="47">
        <f t="shared" si="17"/>
        <v>694100</v>
      </c>
    </row>
    <row r="700" spans="2:11" x14ac:dyDescent="0.25">
      <c r="B700" s="22" t="s">
        <v>3827</v>
      </c>
      <c r="C700" s="44" t="s">
        <v>3828</v>
      </c>
      <c r="D700" s="23"/>
      <c r="E700" s="24" t="s">
        <v>3762</v>
      </c>
      <c r="F700" s="24" t="s">
        <v>3296</v>
      </c>
      <c r="G700" s="24" t="s">
        <v>3356</v>
      </c>
      <c r="H700" s="24" t="s">
        <v>1361</v>
      </c>
      <c r="I700" s="45">
        <v>700</v>
      </c>
      <c r="J700" s="46">
        <v>14.67</v>
      </c>
      <c r="K700" s="47">
        <f t="shared" si="17"/>
        <v>10269</v>
      </c>
    </row>
    <row r="701" spans="2:11" x14ac:dyDescent="0.25">
      <c r="B701" s="22" t="s">
        <v>3829</v>
      </c>
      <c r="C701" s="44" t="s">
        <v>3830</v>
      </c>
      <c r="D701" s="23"/>
      <c r="E701" s="24" t="s">
        <v>3762</v>
      </c>
      <c r="F701" s="24" t="s">
        <v>3296</v>
      </c>
      <c r="G701" s="24" t="s">
        <v>3375</v>
      </c>
      <c r="H701" s="24" t="s">
        <v>2983</v>
      </c>
      <c r="I701" s="45">
        <v>10</v>
      </c>
      <c r="J701" s="46">
        <v>48903.48</v>
      </c>
      <c r="K701" s="47">
        <f t="shared" si="17"/>
        <v>489034.80000000005</v>
      </c>
    </row>
    <row r="702" spans="2:11" x14ac:dyDescent="0.25">
      <c r="B702" s="22" t="s">
        <v>3831</v>
      </c>
      <c r="C702" s="44" t="s">
        <v>3832</v>
      </c>
      <c r="D702" s="23"/>
      <c r="E702" s="24" t="s">
        <v>3762</v>
      </c>
      <c r="F702" s="24" t="s">
        <v>3296</v>
      </c>
      <c r="G702" s="24" t="s">
        <v>3378</v>
      </c>
      <c r="H702" s="24" t="s">
        <v>2983</v>
      </c>
      <c r="I702" s="45">
        <v>181</v>
      </c>
      <c r="J702" s="46">
        <v>1711.62</v>
      </c>
      <c r="K702" s="47">
        <f t="shared" si="17"/>
        <v>309803.21999999997</v>
      </c>
    </row>
    <row r="703" spans="2:11" x14ac:dyDescent="0.25">
      <c r="B703" s="22" t="s">
        <v>3833</v>
      </c>
      <c r="C703" s="44" t="s">
        <v>3834</v>
      </c>
      <c r="D703" s="23"/>
      <c r="E703" s="24" t="s">
        <v>3762</v>
      </c>
      <c r="F703" s="24" t="s">
        <v>3296</v>
      </c>
      <c r="G703" s="24" t="s">
        <v>3381</v>
      </c>
      <c r="H703" s="24" t="s">
        <v>2983</v>
      </c>
      <c r="I703" s="45">
        <v>54</v>
      </c>
      <c r="J703" s="46">
        <v>24451.74</v>
      </c>
      <c r="K703" s="47">
        <f t="shared" si="17"/>
        <v>1320393.9600000002</v>
      </c>
    </row>
    <row r="704" spans="2:11" x14ac:dyDescent="0.25">
      <c r="B704" s="22" t="s">
        <v>3835</v>
      </c>
      <c r="C704" s="44" t="s">
        <v>3836</v>
      </c>
      <c r="D704" s="23"/>
      <c r="E704" s="24" t="s">
        <v>3762</v>
      </c>
      <c r="F704" s="24" t="s">
        <v>3296</v>
      </c>
      <c r="G704" s="24" t="s">
        <v>3837</v>
      </c>
      <c r="H704" s="24" t="s">
        <v>2983</v>
      </c>
      <c r="I704" s="45">
        <v>32</v>
      </c>
      <c r="J704" s="46">
        <v>7824.56</v>
      </c>
      <c r="K704" s="47">
        <f t="shared" si="17"/>
        <v>250385.92000000001</v>
      </c>
    </row>
    <row r="705" spans="2:11" x14ac:dyDescent="0.25">
      <c r="B705" s="22" t="s">
        <v>3838</v>
      </c>
      <c r="C705" s="44" t="s">
        <v>3839</v>
      </c>
      <c r="D705" s="23"/>
      <c r="E705" s="24" t="s">
        <v>3762</v>
      </c>
      <c r="F705" s="24" t="s">
        <v>3296</v>
      </c>
      <c r="G705" s="24" t="s">
        <v>3387</v>
      </c>
      <c r="H705" s="24" t="s">
        <v>2983</v>
      </c>
      <c r="I705" s="45">
        <v>10</v>
      </c>
      <c r="J705" s="46">
        <v>7824.56</v>
      </c>
      <c r="K705" s="47">
        <f t="shared" si="17"/>
        <v>78245.600000000006</v>
      </c>
    </row>
    <row r="706" spans="2:11" x14ac:dyDescent="0.25">
      <c r="B706" s="22" t="s">
        <v>3840</v>
      </c>
      <c r="C706" s="44" t="s">
        <v>3841</v>
      </c>
      <c r="D706" s="23"/>
      <c r="E706" s="24" t="s">
        <v>3762</v>
      </c>
      <c r="F706" s="24" t="s">
        <v>3296</v>
      </c>
      <c r="G706" s="24" t="s">
        <v>3393</v>
      </c>
      <c r="H706" s="24" t="s">
        <v>2983</v>
      </c>
      <c r="I706" s="45">
        <v>8</v>
      </c>
      <c r="J706" s="46">
        <v>9780.7000000000007</v>
      </c>
      <c r="K706" s="47">
        <f t="shared" si="17"/>
        <v>78245.600000000006</v>
      </c>
    </row>
    <row r="707" spans="2:11" x14ac:dyDescent="0.25">
      <c r="B707" s="22" t="s">
        <v>3842</v>
      </c>
      <c r="C707" s="44" t="s">
        <v>3843</v>
      </c>
      <c r="D707" s="23"/>
      <c r="E707" s="24" t="s">
        <v>3762</v>
      </c>
      <c r="F707" s="24" t="s">
        <v>3296</v>
      </c>
      <c r="G707" s="24" t="s">
        <v>3396</v>
      </c>
      <c r="H707" s="24" t="s">
        <v>2983</v>
      </c>
      <c r="I707" s="45">
        <v>10</v>
      </c>
      <c r="J707" s="46">
        <v>9780.7000000000007</v>
      </c>
      <c r="K707" s="47">
        <f t="shared" si="17"/>
        <v>97807</v>
      </c>
    </row>
    <row r="708" spans="2:11" x14ac:dyDescent="0.25">
      <c r="B708" s="22" t="s">
        <v>3844</v>
      </c>
      <c r="C708" s="44" t="s">
        <v>3845</v>
      </c>
      <c r="D708" s="23"/>
      <c r="E708" s="24" t="s">
        <v>3762</v>
      </c>
      <c r="F708" s="24" t="s">
        <v>3296</v>
      </c>
      <c r="G708" s="24" t="s">
        <v>3399</v>
      </c>
      <c r="H708" s="24" t="s">
        <v>2983</v>
      </c>
      <c r="I708" s="45">
        <v>4</v>
      </c>
      <c r="J708" s="46">
        <v>9780.7000000000007</v>
      </c>
      <c r="K708" s="47">
        <f t="shared" si="17"/>
        <v>39122.800000000003</v>
      </c>
    </row>
    <row r="709" spans="2:11" x14ac:dyDescent="0.25">
      <c r="B709" s="22" t="s">
        <v>3846</v>
      </c>
      <c r="C709" s="44" t="s">
        <v>3847</v>
      </c>
      <c r="D709" s="23"/>
      <c r="E709" s="24" t="s">
        <v>3762</v>
      </c>
      <c r="F709" s="24" t="s">
        <v>3296</v>
      </c>
      <c r="G709" s="24" t="s">
        <v>3408</v>
      </c>
      <c r="H709" s="24" t="s">
        <v>2983</v>
      </c>
      <c r="I709" s="45">
        <v>20</v>
      </c>
      <c r="J709" s="46">
        <v>9202.7999999999993</v>
      </c>
      <c r="K709" s="47">
        <f t="shared" si="17"/>
        <v>184056</v>
      </c>
    </row>
    <row r="710" spans="2:11" x14ac:dyDescent="0.25">
      <c r="B710" s="22" t="s">
        <v>3848</v>
      </c>
      <c r="C710" s="44" t="s">
        <v>3849</v>
      </c>
      <c r="D710" s="23"/>
      <c r="E710" s="24" t="s">
        <v>3762</v>
      </c>
      <c r="F710" s="24" t="s">
        <v>3296</v>
      </c>
      <c r="G710" s="24" t="s">
        <v>3411</v>
      </c>
      <c r="H710" s="24" t="s">
        <v>2983</v>
      </c>
      <c r="I710" s="45">
        <v>12</v>
      </c>
      <c r="J710" s="46">
        <v>9202.7999999999993</v>
      </c>
      <c r="K710" s="47">
        <f t="shared" si="17"/>
        <v>110433.59999999999</v>
      </c>
    </row>
    <row r="711" spans="2:11" x14ac:dyDescent="0.25">
      <c r="B711" s="22" t="s">
        <v>3850</v>
      </c>
      <c r="C711" s="44" t="s">
        <v>3851</v>
      </c>
      <c r="D711" s="23"/>
      <c r="E711" s="24" t="s">
        <v>3762</v>
      </c>
      <c r="F711" s="24" t="s">
        <v>3296</v>
      </c>
      <c r="G711" s="24" t="s">
        <v>3414</v>
      </c>
      <c r="H711" s="24" t="s">
        <v>2983</v>
      </c>
      <c r="I711" s="45">
        <v>10</v>
      </c>
      <c r="J711" s="46">
        <v>58684.18</v>
      </c>
      <c r="K711" s="47">
        <f t="shared" si="17"/>
        <v>586841.80000000005</v>
      </c>
    </row>
    <row r="712" spans="2:11" x14ac:dyDescent="0.25">
      <c r="B712" s="22" t="s">
        <v>3852</v>
      </c>
      <c r="C712" s="44" t="s">
        <v>3853</v>
      </c>
      <c r="D712" s="23"/>
      <c r="E712" s="24" t="s">
        <v>3762</v>
      </c>
      <c r="F712" s="24" t="s">
        <v>3296</v>
      </c>
      <c r="G712" s="24" t="s">
        <v>3426</v>
      </c>
      <c r="H712" s="24" t="s">
        <v>2983</v>
      </c>
      <c r="I712" s="45">
        <v>4</v>
      </c>
      <c r="J712" s="46">
        <v>366776.14</v>
      </c>
      <c r="K712" s="47">
        <f t="shared" si="17"/>
        <v>1467104.56</v>
      </c>
    </row>
    <row r="713" spans="2:11" x14ac:dyDescent="0.25">
      <c r="B713" s="22" t="s">
        <v>3854</v>
      </c>
      <c r="C713" s="44" t="s">
        <v>3855</v>
      </c>
      <c r="D713" s="23"/>
      <c r="E713" s="24" t="s">
        <v>3762</v>
      </c>
      <c r="F713" s="24" t="s">
        <v>3296</v>
      </c>
      <c r="G713" s="24" t="s">
        <v>3429</v>
      </c>
      <c r="H713" s="24" t="s">
        <v>2983</v>
      </c>
      <c r="I713" s="45">
        <v>180</v>
      </c>
      <c r="J713" s="46">
        <v>2934.21</v>
      </c>
      <c r="K713" s="47">
        <f t="shared" si="17"/>
        <v>528157.80000000005</v>
      </c>
    </row>
    <row r="714" spans="2:11" x14ac:dyDescent="0.25">
      <c r="B714" s="22" t="s">
        <v>3856</v>
      </c>
      <c r="C714" s="44" t="s">
        <v>3857</v>
      </c>
      <c r="D714" s="23">
        <v>382137382268</v>
      </c>
      <c r="E714" s="24" t="s">
        <v>3762</v>
      </c>
      <c r="F714" s="24" t="s">
        <v>3296</v>
      </c>
      <c r="G714" s="24" t="s">
        <v>3442</v>
      </c>
      <c r="H714" s="24" t="s">
        <v>1361</v>
      </c>
      <c r="I714" s="45">
        <v>4500</v>
      </c>
      <c r="J714" s="46">
        <v>237.65</v>
      </c>
      <c r="K714" s="47">
        <f t="shared" si="17"/>
        <v>1069425</v>
      </c>
    </row>
    <row r="715" spans="2:11" x14ac:dyDescent="0.25">
      <c r="B715" s="22" t="s">
        <v>3858</v>
      </c>
      <c r="C715" s="44" t="s">
        <v>3859</v>
      </c>
      <c r="D715" s="23"/>
      <c r="E715" s="24" t="s">
        <v>3762</v>
      </c>
      <c r="F715" s="24" t="s">
        <v>3296</v>
      </c>
      <c r="G715" s="24" t="s">
        <v>3448</v>
      </c>
      <c r="H715" s="24" t="s">
        <v>1627</v>
      </c>
      <c r="I715" s="45">
        <v>15</v>
      </c>
      <c r="J715" s="46">
        <v>942.44</v>
      </c>
      <c r="K715" s="47">
        <f t="shared" si="17"/>
        <v>14136.6</v>
      </c>
    </row>
    <row r="716" spans="2:11" x14ac:dyDescent="0.25">
      <c r="B716" s="22" t="s">
        <v>3860</v>
      </c>
      <c r="C716" s="44" t="s">
        <v>3861</v>
      </c>
      <c r="D716" s="23"/>
      <c r="E716" s="24" t="s">
        <v>3762</v>
      </c>
      <c r="F716" s="24" t="s">
        <v>3296</v>
      </c>
      <c r="G716" s="24" t="s">
        <v>3451</v>
      </c>
      <c r="H716" s="24" t="s">
        <v>1627</v>
      </c>
      <c r="I716" s="45">
        <v>150</v>
      </c>
      <c r="J716" s="46">
        <v>501.67</v>
      </c>
      <c r="K716" s="47">
        <f t="shared" si="17"/>
        <v>75250.5</v>
      </c>
    </row>
    <row r="717" spans="2:11" x14ac:dyDescent="0.25">
      <c r="B717" s="22" t="s">
        <v>3862</v>
      </c>
      <c r="C717" s="44" t="s">
        <v>3863</v>
      </c>
      <c r="D717" s="23"/>
      <c r="E717" s="24" t="s">
        <v>3762</v>
      </c>
      <c r="F717" s="24" t="s">
        <v>3296</v>
      </c>
      <c r="G717" s="24" t="s">
        <v>3457</v>
      </c>
      <c r="H717" s="24" t="s">
        <v>2983</v>
      </c>
      <c r="I717" s="45">
        <v>30</v>
      </c>
      <c r="J717" s="46">
        <v>4059.72</v>
      </c>
      <c r="K717" s="47">
        <f t="shared" si="17"/>
        <v>121791.59999999999</v>
      </c>
    </row>
    <row r="718" spans="2:11" x14ac:dyDescent="0.25">
      <c r="B718" s="22" t="s">
        <v>3864</v>
      </c>
      <c r="C718" s="44" t="s">
        <v>3865</v>
      </c>
      <c r="D718" s="23"/>
      <c r="E718" s="24" t="s">
        <v>3762</v>
      </c>
      <c r="F718" s="24" t="s">
        <v>3296</v>
      </c>
      <c r="G718" s="24" t="s">
        <v>3866</v>
      </c>
      <c r="H718" s="24" t="s">
        <v>2983</v>
      </c>
      <c r="I718" s="45">
        <v>54</v>
      </c>
      <c r="J718" s="46">
        <v>54337.21</v>
      </c>
      <c r="K718" s="47">
        <f t="shared" si="17"/>
        <v>2934209.34</v>
      </c>
    </row>
    <row r="719" spans="2:11" x14ac:dyDescent="0.25">
      <c r="B719" s="22" t="s">
        <v>3867</v>
      </c>
      <c r="C719" s="44" t="s">
        <v>3868</v>
      </c>
      <c r="D719" s="23"/>
      <c r="E719" s="24" t="s">
        <v>3762</v>
      </c>
      <c r="F719" s="24" t="s">
        <v>3296</v>
      </c>
      <c r="G719" s="24" t="s">
        <v>3463</v>
      </c>
      <c r="H719" s="24" t="s">
        <v>1361</v>
      </c>
      <c r="I719" s="45">
        <v>4100</v>
      </c>
      <c r="J719" s="46">
        <v>205.89</v>
      </c>
      <c r="K719" s="47">
        <f t="shared" si="17"/>
        <v>844149</v>
      </c>
    </row>
    <row r="720" spans="2:11" x14ac:dyDescent="0.25">
      <c r="B720" s="22" t="s">
        <v>3869</v>
      </c>
      <c r="C720" s="44" t="s">
        <v>3870</v>
      </c>
      <c r="D720" s="23"/>
      <c r="E720" s="24" t="s">
        <v>3762</v>
      </c>
      <c r="F720" s="24" t="s">
        <v>3296</v>
      </c>
      <c r="G720" s="24" t="s">
        <v>3871</v>
      </c>
      <c r="H720" s="24" t="s">
        <v>1627</v>
      </c>
      <c r="I720" s="45">
        <v>15</v>
      </c>
      <c r="J720" s="46">
        <v>4596.18</v>
      </c>
      <c r="K720" s="47">
        <f t="shared" si="17"/>
        <v>68942.700000000012</v>
      </c>
    </row>
    <row r="721" spans="2:11" x14ac:dyDescent="0.25">
      <c r="B721" s="22" t="s">
        <v>3872</v>
      </c>
      <c r="C721" s="44" t="s">
        <v>3873</v>
      </c>
      <c r="D721" s="23"/>
      <c r="E721" s="24" t="s">
        <v>3762</v>
      </c>
      <c r="F721" s="24" t="s">
        <v>3296</v>
      </c>
      <c r="G721" s="24" t="s">
        <v>3874</v>
      </c>
      <c r="H721" s="24" t="s">
        <v>1627</v>
      </c>
      <c r="I721" s="45">
        <v>8</v>
      </c>
      <c r="J721" s="46">
        <v>318.98</v>
      </c>
      <c r="K721" s="47">
        <f t="shared" si="17"/>
        <v>2551.84</v>
      </c>
    </row>
    <row r="722" spans="2:11" x14ac:dyDescent="0.25">
      <c r="B722" s="22" t="s">
        <v>3875</v>
      </c>
      <c r="C722" s="44" t="s">
        <v>3876</v>
      </c>
      <c r="D722" s="23"/>
      <c r="E722" s="24" t="s">
        <v>3762</v>
      </c>
      <c r="F722" s="24" t="s">
        <v>3296</v>
      </c>
      <c r="G722" s="24" t="s">
        <v>3877</v>
      </c>
      <c r="H722" s="24" t="s">
        <v>1627</v>
      </c>
      <c r="I722" s="45">
        <v>8</v>
      </c>
      <c r="J722" s="46">
        <v>501.67</v>
      </c>
      <c r="K722" s="47">
        <f t="shared" si="17"/>
        <v>4013.36</v>
      </c>
    </row>
    <row r="723" spans="2:11" x14ac:dyDescent="0.25">
      <c r="B723" s="22" t="s">
        <v>3878</v>
      </c>
      <c r="C723" s="44" t="s">
        <v>3879</v>
      </c>
      <c r="D723" s="23"/>
      <c r="E723" s="24" t="s">
        <v>3762</v>
      </c>
      <c r="F723" s="24" t="s">
        <v>3296</v>
      </c>
      <c r="G723" s="24" t="s">
        <v>3880</v>
      </c>
      <c r="H723" s="24" t="s">
        <v>2983</v>
      </c>
      <c r="I723" s="45">
        <v>4</v>
      </c>
      <c r="J723" s="46">
        <v>9780.7000000000007</v>
      </c>
      <c r="K723" s="47">
        <f t="shared" si="17"/>
        <v>39122.800000000003</v>
      </c>
    </row>
    <row r="724" spans="2:11" x14ac:dyDescent="0.25">
      <c r="B724" s="22" t="s">
        <v>3881</v>
      </c>
      <c r="C724" s="44" t="s">
        <v>3882</v>
      </c>
      <c r="D724" s="23"/>
      <c r="E724" s="24" t="s">
        <v>3762</v>
      </c>
      <c r="F724" s="24" t="s">
        <v>3296</v>
      </c>
      <c r="G724" s="24" t="s">
        <v>3883</v>
      </c>
      <c r="H724" s="24" t="s">
        <v>1627</v>
      </c>
      <c r="I724" s="45">
        <v>6</v>
      </c>
      <c r="J724" s="46">
        <v>244517.43</v>
      </c>
      <c r="K724" s="47">
        <f t="shared" si="17"/>
        <v>1467104.58</v>
      </c>
    </row>
    <row r="725" spans="2:11" x14ac:dyDescent="0.25">
      <c r="B725" s="22" t="s">
        <v>3884</v>
      </c>
      <c r="C725" s="44" t="s">
        <v>3885</v>
      </c>
      <c r="D725" s="23"/>
      <c r="E725" s="24" t="s">
        <v>3762</v>
      </c>
      <c r="F725" s="24" t="s">
        <v>3296</v>
      </c>
      <c r="G725" s="24" t="s">
        <v>3886</v>
      </c>
      <c r="H725" s="24" t="s">
        <v>1627</v>
      </c>
      <c r="I725" s="45">
        <v>2</v>
      </c>
      <c r="J725" s="46">
        <v>244517.43</v>
      </c>
      <c r="K725" s="47">
        <f t="shared" si="17"/>
        <v>489034.86</v>
      </c>
    </row>
    <row r="726" spans="2:11" ht="13.5" thickBot="1" x14ac:dyDescent="0.3">
      <c r="B726" s="22" t="s">
        <v>3887</v>
      </c>
      <c r="C726" s="48" t="s">
        <v>3888</v>
      </c>
      <c r="D726" s="29"/>
      <c r="E726" s="30" t="s">
        <v>3762</v>
      </c>
      <c r="F726" s="30" t="s">
        <v>3296</v>
      </c>
      <c r="G726" s="30" t="s">
        <v>3553</v>
      </c>
      <c r="H726" s="30" t="s">
        <v>2983</v>
      </c>
      <c r="I726" s="49">
        <v>8</v>
      </c>
      <c r="J726" s="50">
        <v>48903.48</v>
      </c>
      <c r="K726" s="51">
        <f t="shared" si="17"/>
        <v>391227.84</v>
      </c>
    </row>
    <row r="727" spans="2:11" ht="13.5" thickBot="1" x14ac:dyDescent="0.3">
      <c r="B727" s="22" t="s">
        <v>3889</v>
      </c>
      <c r="C727" s="88">
        <v>19</v>
      </c>
      <c r="D727" s="52"/>
      <c r="E727" s="89" t="s">
        <v>3762</v>
      </c>
      <c r="F727" s="89" t="s">
        <v>3890</v>
      </c>
      <c r="G727" s="89"/>
      <c r="H727" s="89" t="s">
        <v>1528</v>
      </c>
      <c r="I727" s="90"/>
      <c r="J727" s="91"/>
      <c r="K727" s="92"/>
    </row>
    <row r="728" spans="2:11" x14ac:dyDescent="0.25">
      <c r="B728" s="22" t="s">
        <v>3891</v>
      </c>
      <c r="C728" s="40" t="s">
        <v>3892</v>
      </c>
      <c r="D728" s="17" t="s">
        <v>3893</v>
      </c>
      <c r="E728" s="18" t="s">
        <v>3762</v>
      </c>
      <c r="F728" s="18" t="s">
        <v>3890</v>
      </c>
      <c r="G728" s="18" t="s">
        <v>3894</v>
      </c>
      <c r="H728" s="18" t="s">
        <v>2077</v>
      </c>
      <c r="I728" s="41">
        <v>6</v>
      </c>
      <c r="J728" s="42">
        <v>1888.92</v>
      </c>
      <c r="K728" s="43">
        <f t="shared" si="17"/>
        <v>11333.52</v>
      </c>
    </row>
    <row r="729" spans="2:11" x14ac:dyDescent="0.25">
      <c r="B729" s="22" t="s">
        <v>3895</v>
      </c>
      <c r="C729" s="44" t="s">
        <v>3896</v>
      </c>
      <c r="D729" s="23" t="s">
        <v>3897</v>
      </c>
      <c r="E729" s="24" t="s">
        <v>3762</v>
      </c>
      <c r="F729" s="24" t="s">
        <v>3890</v>
      </c>
      <c r="G729" s="24" t="s">
        <v>3898</v>
      </c>
      <c r="H729" s="24" t="s">
        <v>1627</v>
      </c>
      <c r="I729" s="45">
        <v>14</v>
      </c>
      <c r="J729" s="46">
        <v>14495.15</v>
      </c>
      <c r="K729" s="47">
        <f t="shared" si="17"/>
        <v>202932.1</v>
      </c>
    </row>
    <row r="730" spans="2:11" x14ac:dyDescent="0.25">
      <c r="B730" s="22" t="s">
        <v>3899</v>
      </c>
      <c r="C730" s="44" t="s">
        <v>3900</v>
      </c>
      <c r="D730" s="23" t="s">
        <v>3901</v>
      </c>
      <c r="E730" s="24" t="s">
        <v>3762</v>
      </c>
      <c r="F730" s="24" t="s">
        <v>3890</v>
      </c>
      <c r="G730" s="24" t="s">
        <v>3902</v>
      </c>
      <c r="H730" s="24" t="s">
        <v>1627</v>
      </c>
      <c r="I730" s="45">
        <v>48</v>
      </c>
      <c r="J730" s="46">
        <v>73.540000000000006</v>
      </c>
      <c r="K730" s="47">
        <f t="shared" si="17"/>
        <v>3529.92</v>
      </c>
    </row>
    <row r="731" spans="2:11" x14ac:dyDescent="0.25">
      <c r="B731" s="22" t="s">
        <v>3903</v>
      </c>
      <c r="C731" s="44" t="s">
        <v>3904</v>
      </c>
      <c r="D731" s="23" t="s">
        <v>3905</v>
      </c>
      <c r="E731" s="24" t="s">
        <v>3762</v>
      </c>
      <c r="F731" s="24" t="s">
        <v>3890</v>
      </c>
      <c r="G731" s="24" t="s">
        <v>3906</v>
      </c>
      <c r="H731" s="24" t="s">
        <v>1942</v>
      </c>
      <c r="I731" s="45">
        <v>57.6</v>
      </c>
      <c r="J731" s="46">
        <v>675</v>
      </c>
      <c r="K731" s="47">
        <f t="shared" si="17"/>
        <v>38880</v>
      </c>
    </row>
    <row r="732" spans="2:11" x14ac:dyDescent="0.25">
      <c r="B732" s="22" t="s">
        <v>3907</v>
      </c>
      <c r="C732" s="44" t="s">
        <v>3908</v>
      </c>
      <c r="D732" s="23" t="s">
        <v>3909</v>
      </c>
      <c r="E732" s="24" t="s">
        <v>3762</v>
      </c>
      <c r="F732" s="24" t="s">
        <v>3890</v>
      </c>
      <c r="G732" s="24" t="s">
        <v>3910</v>
      </c>
      <c r="H732" s="24" t="s">
        <v>1627</v>
      </c>
      <c r="I732" s="45">
        <v>108</v>
      </c>
      <c r="J732" s="46">
        <v>368.85</v>
      </c>
      <c r="K732" s="47">
        <f t="shared" si="17"/>
        <v>39835.800000000003</v>
      </c>
    </row>
    <row r="733" spans="2:11" x14ac:dyDescent="0.25">
      <c r="B733" s="22" t="s">
        <v>3911</v>
      </c>
      <c r="C733" s="44" t="s">
        <v>3912</v>
      </c>
      <c r="D733" s="23" t="s">
        <v>3913</v>
      </c>
      <c r="E733" s="24" t="s">
        <v>3762</v>
      </c>
      <c r="F733" s="24" t="s">
        <v>3890</v>
      </c>
      <c r="G733" s="24" t="s">
        <v>3914</v>
      </c>
      <c r="H733" s="24" t="s">
        <v>1627</v>
      </c>
      <c r="I733" s="45">
        <v>144</v>
      </c>
      <c r="J733" s="46">
        <v>12.16</v>
      </c>
      <c r="K733" s="47">
        <f t="shared" si="17"/>
        <v>1751.04</v>
      </c>
    </row>
    <row r="734" spans="2:11" x14ac:dyDescent="0.25">
      <c r="B734" s="22" t="s">
        <v>3915</v>
      </c>
      <c r="C734" s="44" t="s">
        <v>3916</v>
      </c>
      <c r="D734" s="23" t="s">
        <v>3917</v>
      </c>
      <c r="E734" s="24" t="s">
        <v>3762</v>
      </c>
      <c r="F734" s="24" t="s">
        <v>3890</v>
      </c>
      <c r="G734" s="24" t="s">
        <v>3918</v>
      </c>
      <c r="H734" s="24" t="s">
        <v>1383</v>
      </c>
      <c r="I734" s="45">
        <v>156</v>
      </c>
      <c r="J734" s="46">
        <v>60.61</v>
      </c>
      <c r="K734" s="47">
        <f t="shared" si="17"/>
        <v>9455.16</v>
      </c>
    </row>
    <row r="735" spans="2:11" x14ac:dyDescent="0.25">
      <c r="B735" s="22" t="s">
        <v>3919</v>
      </c>
      <c r="C735" s="44" t="s">
        <v>3920</v>
      </c>
      <c r="D735" s="23" t="s">
        <v>3921</v>
      </c>
      <c r="E735" s="24" t="s">
        <v>3762</v>
      </c>
      <c r="F735" s="24" t="s">
        <v>3890</v>
      </c>
      <c r="G735" s="24" t="s">
        <v>3922</v>
      </c>
      <c r="H735" s="24" t="s">
        <v>1557</v>
      </c>
      <c r="I735" s="45">
        <v>646.79999999999995</v>
      </c>
      <c r="J735" s="46">
        <v>17.13</v>
      </c>
      <c r="K735" s="47">
        <f t="shared" si="17"/>
        <v>11079.683999999999</v>
      </c>
    </row>
    <row r="736" spans="2:11" x14ac:dyDescent="0.25">
      <c r="B736" s="22" t="s">
        <v>3923</v>
      </c>
      <c r="C736" s="44" t="s">
        <v>3924</v>
      </c>
      <c r="D736" s="23" t="s">
        <v>3925</v>
      </c>
      <c r="E736" s="24" t="s">
        <v>3762</v>
      </c>
      <c r="F736" s="24" t="s">
        <v>3890</v>
      </c>
      <c r="G736" s="24" t="s">
        <v>3926</v>
      </c>
      <c r="H736" s="24" t="s">
        <v>1361</v>
      </c>
      <c r="I736" s="45">
        <v>900</v>
      </c>
      <c r="J736" s="46">
        <v>4.16</v>
      </c>
      <c r="K736" s="47">
        <f t="shared" si="17"/>
        <v>3744</v>
      </c>
    </row>
    <row r="737" spans="2:11" x14ac:dyDescent="0.25">
      <c r="B737" s="22" t="s">
        <v>3927</v>
      </c>
      <c r="C737" s="44" t="s">
        <v>3928</v>
      </c>
      <c r="D737" s="23" t="s">
        <v>3929</v>
      </c>
      <c r="E737" s="24" t="s">
        <v>3762</v>
      </c>
      <c r="F737" s="24" t="s">
        <v>3890</v>
      </c>
      <c r="G737" s="24" t="s">
        <v>3930</v>
      </c>
      <c r="H737" s="24" t="s">
        <v>1627</v>
      </c>
      <c r="I737" s="45">
        <v>900</v>
      </c>
      <c r="J737" s="46">
        <v>1045.1199999999999</v>
      </c>
      <c r="K737" s="47">
        <f t="shared" si="17"/>
        <v>940607.99999999988</v>
      </c>
    </row>
    <row r="738" spans="2:11" x14ac:dyDescent="0.25">
      <c r="B738" s="22" t="s">
        <v>3931</v>
      </c>
      <c r="C738" s="44" t="s">
        <v>3932</v>
      </c>
      <c r="D738" s="23" t="s">
        <v>3933</v>
      </c>
      <c r="E738" s="24" t="s">
        <v>3762</v>
      </c>
      <c r="F738" s="24" t="s">
        <v>3890</v>
      </c>
      <c r="G738" s="24" t="s">
        <v>3934</v>
      </c>
      <c r="H738" s="24" t="s">
        <v>1557</v>
      </c>
      <c r="I738" s="45">
        <v>945</v>
      </c>
      <c r="J738" s="46">
        <v>109.04</v>
      </c>
      <c r="K738" s="47">
        <f t="shared" si="17"/>
        <v>103042.8</v>
      </c>
    </row>
    <row r="739" spans="2:11" x14ac:dyDescent="0.25">
      <c r="B739" s="22" t="s">
        <v>3935</v>
      </c>
      <c r="C739" s="44" t="s">
        <v>3936</v>
      </c>
      <c r="D739" s="23" t="s">
        <v>3937</v>
      </c>
      <c r="E739" s="24" t="s">
        <v>3762</v>
      </c>
      <c r="F739" s="24" t="s">
        <v>3890</v>
      </c>
      <c r="G739" s="24" t="s">
        <v>3938</v>
      </c>
      <c r="H739" s="24" t="s">
        <v>1361</v>
      </c>
      <c r="I739" s="45">
        <v>1479</v>
      </c>
      <c r="J739" s="46">
        <v>709.74</v>
      </c>
      <c r="K739" s="47">
        <f t="shared" si="17"/>
        <v>1049705.46</v>
      </c>
    </row>
    <row r="740" spans="2:11" x14ac:dyDescent="0.25">
      <c r="B740" s="22" t="s">
        <v>3939</v>
      </c>
      <c r="C740" s="44" t="s">
        <v>3940</v>
      </c>
      <c r="D740" s="23" t="s">
        <v>3941</v>
      </c>
      <c r="E740" s="24" t="s">
        <v>3762</v>
      </c>
      <c r="F740" s="24" t="s">
        <v>3890</v>
      </c>
      <c r="G740" s="24" t="s">
        <v>3942</v>
      </c>
      <c r="H740" s="24" t="s">
        <v>1627</v>
      </c>
      <c r="I740" s="45">
        <v>1584</v>
      </c>
      <c r="J740" s="46">
        <v>12.19</v>
      </c>
      <c r="K740" s="47">
        <f t="shared" si="17"/>
        <v>19308.96</v>
      </c>
    </row>
    <row r="741" spans="2:11" x14ac:dyDescent="0.25">
      <c r="B741" s="22" t="s">
        <v>3943</v>
      </c>
      <c r="C741" s="44" t="s">
        <v>3944</v>
      </c>
      <c r="D741" s="23" t="s">
        <v>3945</v>
      </c>
      <c r="E741" s="24" t="s">
        <v>3762</v>
      </c>
      <c r="F741" s="24" t="s">
        <v>3890</v>
      </c>
      <c r="G741" s="24" t="s">
        <v>3946</v>
      </c>
      <c r="H741" s="24" t="s">
        <v>1361</v>
      </c>
      <c r="I741" s="45">
        <v>2890</v>
      </c>
      <c r="J741" s="46">
        <v>940.69</v>
      </c>
      <c r="K741" s="47">
        <f t="shared" si="17"/>
        <v>2718594.1</v>
      </c>
    </row>
    <row r="742" spans="2:11" x14ac:dyDescent="0.25">
      <c r="B742" s="22" t="s">
        <v>3947</v>
      </c>
      <c r="C742" s="44" t="s">
        <v>3948</v>
      </c>
      <c r="D742" s="23" t="s">
        <v>3949</v>
      </c>
      <c r="E742" s="24" t="s">
        <v>3762</v>
      </c>
      <c r="F742" s="24" t="s">
        <v>3890</v>
      </c>
      <c r="G742" s="24" t="s">
        <v>3950</v>
      </c>
      <c r="H742" s="24" t="s">
        <v>1942</v>
      </c>
      <c r="I742" s="45">
        <v>3024</v>
      </c>
      <c r="J742" s="46">
        <v>38.68</v>
      </c>
      <c r="K742" s="47">
        <f t="shared" si="17"/>
        <v>116968.31999999999</v>
      </c>
    </row>
    <row r="743" spans="2:11" x14ac:dyDescent="0.25">
      <c r="B743" s="22" t="s">
        <v>3951</v>
      </c>
      <c r="C743" s="44" t="s">
        <v>3952</v>
      </c>
      <c r="D743" s="23" t="s">
        <v>3953</v>
      </c>
      <c r="E743" s="24" t="s">
        <v>3762</v>
      </c>
      <c r="F743" s="24" t="s">
        <v>3890</v>
      </c>
      <c r="G743" s="24" t="s">
        <v>3954</v>
      </c>
      <c r="H743" s="24" t="s">
        <v>1361</v>
      </c>
      <c r="I743" s="45">
        <v>3032.8</v>
      </c>
      <c r="J743" s="46">
        <v>515.77</v>
      </c>
      <c r="K743" s="47">
        <f t="shared" ref="K743:K806" si="18">I743*J743</f>
        <v>1564227.2560000001</v>
      </c>
    </row>
    <row r="744" spans="2:11" x14ac:dyDescent="0.25">
      <c r="B744" s="22" t="s">
        <v>3955</v>
      </c>
      <c r="C744" s="44" t="s">
        <v>3956</v>
      </c>
      <c r="D744" s="23" t="s">
        <v>3957</v>
      </c>
      <c r="E744" s="24" t="s">
        <v>3762</v>
      </c>
      <c r="F744" s="24" t="s">
        <v>3890</v>
      </c>
      <c r="G744" s="24" t="s">
        <v>3958</v>
      </c>
      <c r="H744" s="24" t="s">
        <v>1361</v>
      </c>
      <c r="I744" s="45">
        <v>3048</v>
      </c>
      <c r="J744" s="46">
        <v>432</v>
      </c>
      <c r="K744" s="47">
        <f t="shared" si="18"/>
        <v>1316736</v>
      </c>
    </row>
    <row r="745" spans="2:11" x14ac:dyDescent="0.25">
      <c r="B745" s="22" t="s">
        <v>3959</v>
      </c>
      <c r="C745" s="44" t="s">
        <v>3960</v>
      </c>
      <c r="D745" s="23" t="s">
        <v>3961</v>
      </c>
      <c r="E745" s="24" t="s">
        <v>3762</v>
      </c>
      <c r="F745" s="24" t="s">
        <v>3890</v>
      </c>
      <c r="G745" s="24" t="s">
        <v>3962</v>
      </c>
      <c r="H745" s="24" t="s">
        <v>1557</v>
      </c>
      <c r="I745" s="45">
        <v>4705.4399999999996</v>
      </c>
      <c r="J745" s="46">
        <v>10.94</v>
      </c>
      <c r="K745" s="47">
        <f t="shared" si="18"/>
        <v>51477.513599999991</v>
      </c>
    </row>
    <row r="746" spans="2:11" x14ac:dyDescent="0.25">
      <c r="B746" s="22" t="s">
        <v>3963</v>
      </c>
      <c r="C746" s="44" t="s">
        <v>3964</v>
      </c>
      <c r="D746" s="23" t="s">
        <v>3965</v>
      </c>
      <c r="E746" s="24" t="s">
        <v>3762</v>
      </c>
      <c r="F746" s="24" t="s">
        <v>3890</v>
      </c>
      <c r="G746" s="24" t="s">
        <v>3966</v>
      </c>
      <c r="H746" s="24" t="s">
        <v>1557</v>
      </c>
      <c r="I746" s="45">
        <v>5280.6</v>
      </c>
      <c r="J746" s="46">
        <v>8.6300000000000008</v>
      </c>
      <c r="K746" s="47">
        <f t="shared" si="18"/>
        <v>45571.578000000009</v>
      </c>
    </row>
    <row r="747" spans="2:11" x14ac:dyDescent="0.25">
      <c r="B747" s="22" t="s">
        <v>3967</v>
      </c>
      <c r="C747" s="44" t="s">
        <v>3968</v>
      </c>
      <c r="D747" s="23" t="s">
        <v>3969</v>
      </c>
      <c r="E747" s="24" t="s">
        <v>3762</v>
      </c>
      <c r="F747" s="24" t="s">
        <v>3890</v>
      </c>
      <c r="G747" s="24" t="s">
        <v>3970</v>
      </c>
      <c r="H747" s="24" t="s">
        <v>1627</v>
      </c>
      <c r="I747" s="45">
        <v>6120</v>
      </c>
      <c r="J747" s="46">
        <v>23.4</v>
      </c>
      <c r="K747" s="47">
        <f t="shared" si="18"/>
        <v>143208</v>
      </c>
    </row>
    <row r="748" spans="2:11" x14ac:dyDescent="0.25">
      <c r="B748" s="22" t="s">
        <v>3971</v>
      </c>
      <c r="C748" s="44" t="s">
        <v>3972</v>
      </c>
      <c r="D748" s="23" t="s">
        <v>3973</v>
      </c>
      <c r="E748" s="24" t="s">
        <v>3762</v>
      </c>
      <c r="F748" s="24" t="s">
        <v>3890</v>
      </c>
      <c r="G748" s="24" t="s">
        <v>3974</v>
      </c>
      <c r="H748" s="24" t="s">
        <v>1383</v>
      </c>
      <c r="I748" s="45">
        <v>6306.3</v>
      </c>
      <c r="J748" s="46">
        <v>60.61</v>
      </c>
      <c r="K748" s="47">
        <f t="shared" si="18"/>
        <v>382224.84299999999</v>
      </c>
    </row>
    <row r="749" spans="2:11" x14ac:dyDescent="0.25">
      <c r="B749" s="22" t="s">
        <v>3975</v>
      </c>
      <c r="C749" s="44" t="s">
        <v>3976</v>
      </c>
      <c r="D749" s="23" t="s">
        <v>3977</v>
      </c>
      <c r="E749" s="24" t="s">
        <v>3762</v>
      </c>
      <c r="F749" s="24" t="s">
        <v>3890</v>
      </c>
      <c r="G749" s="24" t="s">
        <v>3978</v>
      </c>
      <c r="H749" s="24" t="s">
        <v>1383</v>
      </c>
      <c r="I749" s="45">
        <v>6549</v>
      </c>
      <c r="J749" s="46">
        <v>8.61</v>
      </c>
      <c r="K749" s="47">
        <f t="shared" si="18"/>
        <v>56386.89</v>
      </c>
    </row>
    <row r="750" spans="2:11" x14ac:dyDescent="0.25">
      <c r="B750" s="22" t="s">
        <v>3979</v>
      </c>
      <c r="C750" s="44" t="s">
        <v>3980</v>
      </c>
      <c r="D750" s="23" t="s">
        <v>3981</v>
      </c>
      <c r="E750" s="24" t="s">
        <v>3762</v>
      </c>
      <c r="F750" s="24" t="s">
        <v>3890</v>
      </c>
      <c r="G750" s="24" t="s">
        <v>3982</v>
      </c>
      <c r="H750" s="24" t="s">
        <v>1557</v>
      </c>
      <c r="I750" s="45">
        <v>10401.299999999999</v>
      </c>
      <c r="J750" s="46">
        <v>11.68</v>
      </c>
      <c r="K750" s="47">
        <f t="shared" si="18"/>
        <v>121487.18399999999</v>
      </c>
    </row>
    <row r="751" spans="2:11" x14ac:dyDescent="0.25">
      <c r="B751" s="22" t="s">
        <v>3983</v>
      </c>
      <c r="C751" s="44" t="s">
        <v>3984</v>
      </c>
      <c r="D751" s="23" t="s">
        <v>3985</v>
      </c>
      <c r="E751" s="24" t="s">
        <v>3762</v>
      </c>
      <c r="F751" s="24" t="s">
        <v>3890</v>
      </c>
      <c r="G751" s="24" t="s">
        <v>3986</v>
      </c>
      <c r="H751" s="24" t="s">
        <v>1361</v>
      </c>
      <c r="I751" s="45">
        <v>18230.400000000001</v>
      </c>
      <c r="J751" s="46">
        <v>17.25</v>
      </c>
      <c r="K751" s="47">
        <f t="shared" si="18"/>
        <v>314474.40000000002</v>
      </c>
    </row>
    <row r="752" spans="2:11" x14ac:dyDescent="0.25">
      <c r="B752" s="22" t="s">
        <v>3987</v>
      </c>
      <c r="C752" s="44" t="s">
        <v>3988</v>
      </c>
      <c r="D752" s="23" t="s">
        <v>3989</v>
      </c>
      <c r="E752" s="24" t="s">
        <v>3762</v>
      </c>
      <c r="F752" s="24" t="s">
        <v>3890</v>
      </c>
      <c r="G752" s="24" t="s">
        <v>3990</v>
      </c>
      <c r="H752" s="24" t="s">
        <v>1383</v>
      </c>
      <c r="I752" s="45">
        <v>19227</v>
      </c>
      <c r="J752" s="46">
        <v>92.18</v>
      </c>
      <c r="K752" s="47">
        <f t="shared" si="18"/>
        <v>1772344.86</v>
      </c>
    </row>
    <row r="753" spans="2:11" x14ac:dyDescent="0.25">
      <c r="B753" s="22" t="s">
        <v>3991</v>
      </c>
      <c r="C753" s="44" t="s">
        <v>3992</v>
      </c>
      <c r="D753" s="23" t="s">
        <v>3993</v>
      </c>
      <c r="E753" s="24" t="s">
        <v>3762</v>
      </c>
      <c r="F753" s="24" t="s">
        <v>3890</v>
      </c>
      <c r="G753" s="24" t="s">
        <v>1832</v>
      </c>
      <c r="H753" s="24" t="s">
        <v>1374</v>
      </c>
      <c r="I753" s="45">
        <v>24229.62</v>
      </c>
      <c r="J753" s="46">
        <v>18.12</v>
      </c>
      <c r="K753" s="47">
        <f t="shared" si="18"/>
        <v>439040.7144</v>
      </c>
    </row>
    <row r="754" spans="2:11" x14ac:dyDescent="0.25">
      <c r="B754" s="22" t="s">
        <v>3994</v>
      </c>
      <c r="C754" s="44" t="s">
        <v>3995</v>
      </c>
      <c r="D754" s="23" t="s">
        <v>3996</v>
      </c>
      <c r="E754" s="24" t="s">
        <v>3762</v>
      </c>
      <c r="F754" s="24" t="s">
        <v>3890</v>
      </c>
      <c r="G754" s="24" t="s">
        <v>3997</v>
      </c>
      <c r="H754" s="24" t="s">
        <v>1557</v>
      </c>
      <c r="I754" s="45">
        <v>70501.2</v>
      </c>
      <c r="J754" s="46">
        <v>17.59</v>
      </c>
      <c r="K754" s="47">
        <f t="shared" si="18"/>
        <v>1240116.108</v>
      </c>
    </row>
    <row r="755" spans="2:11" x14ac:dyDescent="0.25">
      <c r="B755" s="22" t="s">
        <v>3998</v>
      </c>
      <c r="C755" s="44" t="s">
        <v>3999</v>
      </c>
      <c r="D755" s="23" t="s">
        <v>4000</v>
      </c>
      <c r="E755" s="24" t="s">
        <v>3762</v>
      </c>
      <c r="F755" s="24" t="s">
        <v>3890</v>
      </c>
      <c r="G755" s="24" t="s">
        <v>4001</v>
      </c>
      <c r="H755" s="24" t="s">
        <v>1383</v>
      </c>
      <c r="I755" s="45">
        <v>70661.399999999994</v>
      </c>
      <c r="J755" s="46">
        <v>92.18</v>
      </c>
      <c r="K755" s="47">
        <f t="shared" si="18"/>
        <v>6513567.852</v>
      </c>
    </row>
    <row r="756" spans="2:11" x14ac:dyDescent="0.25">
      <c r="B756" s="22" t="s">
        <v>4002</v>
      </c>
      <c r="C756" s="44" t="s">
        <v>4003</v>
      </c>
      <c r="D756" s="23" t="s">
        <v>4004</v>
      </c>
      <c r="E756" s="24" t="s">
        <v>3762</v>
      </c>
      <c r="F756" s="24" t="s">
        <v>3890</v>
      </c>
      <c r="G756" s="24" t="s">
        <v>1885</v>
      </c>
      <c r="H756" s="24" t="s">
        <v>1374</v>
      </c>
      <c r="I756" s="45">
        <v>123665.03</v>
      </c>
      <c r="J756" s="46">
        <v>42.12</v>
      </c>
      <c r="K756" s="47">
        <f t="shared" si="18"/>
        <v>5208771.0636</v>
      </c>
    </row>
    <row r="757" spans="2:11" x14ac:dyDescent="0.25">
      <c r="B757" s="22" t="s">
        <v>4005</v>
      </c>
      <c r="C757" s="44" t="s">
        <v>4006</v>
      </c>
      <c r="D757" s="23" t="s">
        <v>4007</v>
      </c>
      <c r="E757" s="24" t="s">
        <v>3762</v>
      </c>
      <c r="F757" s="24" t="s">
        <v>3890</v>
      </c>
      <c r="G757" s="24" t="s">
        <v>4008</v>
      </c>
      <c r="H757" s="24" t="s">
        <v>1374</v>
      </c>
      <c r="I757" s="45">
        <v>114080.99</v>
      </c>
      <c r="J757" s="46">
        <v>695.59</v>
      </c>
      <c r="K757" s="47">
        <f t="shared" si="18"/>
        <v>79353595.834100008</v>
      </c>
    </row>
    <row r="758" spans="2:11" x14ac:dyDescent="0.25">
      <c r="B758" s="22" t="s">
        <v>4009</v>
      </c>
      <c r="C758" s="44" t="s">
        <v>4010</v>
      </c>
      <c r="D758" s="23" t="s">
        <v>4011</v>
      </c>
      <c r="E758" s="24" t="s">
        <v>3762</v>
      </c>
      <c r="F758" s="24" t="s">
        <v>3890</v>
      </c>
      <c r="G758" s="24" t="s">
        <v>4012</v>
      </c>
      <c r="H758" s="24" t="s">
        <v>1557</v>
      </c>
      <c r="I758" s="45">
        <v>118481.94</v>
      </c>
      <c r="J758" s="46">
        <v>2.64</v>
      </c>
      <c r="K758" s="47">
        <f t="shared" si="18"/>
        <v>312792.32160000002</v>
      </c>
    </row>
    <row r="759" spans="2:11" x14ac:dyDescent="0.25">
      <c r="B759" s="22" t="s">
        <v>4013</v>
      </c>
      <c r="C759" s="44" t="s">
        <v>4014</v>
      </c>
      <c r="D759" s="23" t="s">
        <v>4015</v>
      </c>
      <c r="E759" s="24" t="s">
        <v>3762</v>
      </c>
      <c r="F759" s="24" t="s">
        <v>3890</v>
      </c>
      <c r="G759" s="24" t="s">
        <v>1857</v>
      </c>
      <c r="H759" s="24" t="s">
        <v>1557</v>
      </c>
      <c r="I759" s="45">
        <v>3892746.87</v>
      </c>
      <c r="J759" s="46">
        <v>19.14</v>
      </c>
      <c r="K759" s="47">
        <f t="shared" si="18"/>
        <v>74507175.091800004</v>
      </c>
    </row>
    <row r="760" spans="2:11" x14ac:dyDescent="0.25">
      <c r="B760" s="22" t="s">
        <v>4016</v>
      </c>
      <c r="C760" s="44" t="s">
        <v>4017</v>
      </c>
      <c r="D760" s="23" t="s">
        <v>4018</v>
      </c>
      <c r="E760" s="24" t="s">
        <v>3762</v>
      </c>
      <c r="F760" s="24" t="s">
        <v>3890</v>
      </c>
      <c r="G760" s="24" t="s">
        <v>1742</v>
      </c>
      <c r="H760" s="24" t="s">
        <v>1557</v>
      </c>
      <c r="I760" s="45">
        <v>3957279.36</v>
      </c>
      <c r="J760" s="46">
        <v>9.1999999999999993</v>
      </c>
      <c r="K760" s="47">
        <f t="shared" si="18"/>
        <v>36406970.111999996</v>
      </c>
    </row>
    <row r="761" spans="2:11" ht="13.5" thickBot="1" x14ac:dyDescent="0.3">
      <c r="B761" s="22" t="s">
        <v>4019</v>
      </c>
      <c r="C761" s="48" t="s">
        <v>4020</v>
      </c>
      <c r="D761" s="29" t="s">
        <v>3619</v>
      </c>
      <c r="E761" s="30" t="s">
        <v>3762</v>
      </c>
      <c r="F761" s="30" t="s">
        <v>3890</v>
      </c>
      <c r="G761" s="30" t="s">
        <v>1556</v>
      </c>
      <c r="H761" s="30" t="s">
        <v>1557</v>
      </c>
      <c r="I761" s="49">
        <v>12467736.529999999</v>
      </c>
      <c r="J761" s="50">
        <v>8.52</v>
      </c>
      <c r="K761" s="51">
        <f t="shared" si="18"/>
        <v>106225115.23559999</v>
      </c>
    </row>
    <row r="762" spans="2:11" ht="13.5" thickBot="1" x14ac:dyDescent="0.3">
      <c r="B762" s="22" t="s">
        <v>4021</v>
      </c>
      <c r="C762" s="88">
        <v>20</v>
      </c>
      <c r="D762" s="52"/>
      <c r="E762" s="89" t="s">
        <v>3762</v>
      </c>
      <c r="F762" s="89" t="s">
        <v>4022</v>
      </c>
      <c r="G762" s="89"/>
      <c r="H762" s="89" t="s">
        <v>1528</v>
      </c>
      <c r="I762" s="90"/>
      <c r="J762" s="91"/>
      <c r="K762" s="92"/>
    </row>
    <row r="763" spans="2:11" x14ac:dyDescent="0.25">
      <c r="B763" s="22" t="s">
        <v>4023</v>
      </c>
      <c r="C763" s="72" t="s">
        <v>4024</v>
      </c>
      <c r="D763" s="73"/>
      <c r="E763" s="74" t="s">
        <v>3762</v>
      </c>
      <c r="F763" s="74" t="s">
        <v>4025</v>
      </c>
      <c r="G763" s="74"/>
      <c r="H763" s="18" t="s">
        <v>3613</v>
      </c>
      <c r="I763" s="41" t="s">
        <v>3613</v>
      </c>
      <c r="J763" s="42" t="s">
        <v>3613</v>
      </c>
      <c r="K763" s="43"/>
    </row>
    <row r="764" spans="2:11" x14ac:dyDescent="0.25">
      <c r="B764" s="22" t="s">
        <v>4026</v>
      </c>
      <c r="C764" s="44" t="s">
        <v>4027</v>
      </c>
      <c r="D764" s="23" t="s">
        <v>4028</v>
      </c>
      <c r="E764" s="24" t="s">
        <v>3762</v>
      </c>
      <c r="F764" s="24" t="s">
        <v>4025</v>
      </c>
      <c r="G764" s="24" t="s">
        <v>4029</v>
      </c>
      <c r="H764" s="24" t="s">
        <v>1374</v>
      </c>
      <c r="I764" s="45">
        <v>691565.83</v>
      </c>
      <c r="J764" s="46">
        <v>53.46</v>
      </c>
      <c r="K764" s="47">
        <f t="shared" si="18"/>
        <v>36971109.271799996</v>
      </c>
    </row>
    <row r="765" spans="2:11" x14ac:dyDescent="0.25">
      <c r="B765" s="22" t="s">
        <v>4030</v>
      </c>
      <c r="C765" s="75" t="s">
        <v>4031</v>
      </c>
      <c r="D765" s="76"/>
      <c r="E765" s="77" t="s">
        <v>3762</v>
      </c>
      <c r="F765" s="77" t="s">
        <v>4032</v>
      </c>
      <c r="G765" s="77"/>
      <c r="H765" s="24" t="s">
        <v>3613</v>
      </c>
      <c r="I765" s="45" t="s">
        <v>3613</v>
      </c>
      <c r="J765" s="46" t="s">
        <v>3613</v>
      </c>
      <c r="K765" s="47"/>
    </row>
    <row r="766" spans="2:11" x14ac:dyDescent="0.25">
      <c r="B766" s="22" t="s">
        <v>4033</v>
      </c>
      <c r="C766" s="44" t="s">
        <v>4034</v>
      </c>
      <c r="D766" s="23" t="s">
        <v>4035</v>
      </c>
      <c r="E766" s="24" t="s">
        <v>3762</v>
      </c>
      <c r="F766" s="24" t="s">
        <v>4032</v>
      </c>
      <c r="G766" s="24" t="s">
        <v>4036</v>
      </c>
      <c r="H766" s="24" t="s">
        <v>1374</v>
      </c>
      <c r="I766" s="45">
        <v>120960</v>
      </c>
      <c r="J766" s="46">
        <v>55.89</v>
      </c>
      <c r="K766" s="47">
        <f t="shared" si="18"/>
        <v>6760454.4000000004</v>
      </c>
    </row>
    <row r="767" spans="2:11" x14ac:dyDescent="0.25">
      <c r="B767" s="22" t="s">
        <v>4037</v>
      </c>
      <c r="C767" s="44" t="s">
        <v>4038</v>
      </c>
      <c r="D767" s="23" t="s">
        <v>4039</v>
      </c>
      <c r="E767" s="24" t="s">
        <v>3762</v>
      </c>
      <c r="F767" s="24" t="s">
        <v>4032</v>
      </c>
      <c r="G767" s="24" t="s">
        <v>4040</v>
      </c>
      <c r="H767" s="24" t="s">
        <v>1374</v>
      </c>
      <c r="I767" s="45">
        <v>120960</v>
      </c>
      <c r="J767" s="46">
        <v>26.89</v>
      </c>
      <c r="K767" s="47">
        <f t="shared" si="18"/>
        <v>3252614.4</v>
      </c>
    </row>
    <row r="768" spans="2:11" x14ac:dyDescent="0.25">
      <c r="B768" s="22" t="s">
        <v>4041</v>
      </c>
      <c r="C768" s="44" t="s">
        <v>4042</v>
      </c>
      <c r="D768" s="23" t="s">
        <v>4043</v>
      </c>
      <c r="E768" s="24" t="s">
        <v>3762</v>
      </c>
      <c r="F768" s="24" t="s">
        <v>4032</v>
      </c>
      <c r="G768" s="24" t="s">
        <v>4044</v>
      </c>
      <c r="H768" s="24" t="s">
        <v>1374</v>
      </c>
      <c r="I768" s="45">
        <v>164016</v>
      </c>
      <c r="J768" s="46">
        <v>109</v>
      </c>
      <c r="K768" s="47">
        <f t="shared" si="18"/>
        <v>17877744</v>
      </c>
    </row>
    <row r="769" spans="2:11" ht="13.5" thickBot="1" x14ac:dyDescent="0.3">
      <c r="B769" s="22" t="s">
        <v>4045</v>
      </c>
      <c r="C769" s="48" t="s">
        <v>4046</v>
      </c>
      <c r="D769" s="29" t="s">
        <v>4047</v>
      </c>
      <c r="E769" s="30" t="s">
        <v>3762</v>
      </c>
      <c r="F769" s="67" t="s">
        <v>4032</v>
      </c>
      <c r="G769" s="30" t="s">
        <v>4048</v>
      </c>
      <c r="H769" s="30" t="s">
        <v>1374</v>
      </c>
      <c r="I769" s="49">
        <v>164016</v>
      </c>
      <c r="J769" s="50">
        <v>20.16</v>
      </c>
      <c r="K769" s="51">
        <f t="shared" si="18"/>
        <v>3306562.56</v>
      </c>
    </row>
    <row r="770" spans="2:11" ht="13.5" thickBot="1" x14ac:dyDescent="0.3">
      <c r="B770" s="22" t="s">
        <v>4049</v>
      </c>
      <c r="C770" s="88">
        <v>21</v>
      </c>
      <c r="D770" s="52"/>
      <c r="E770" s="89" t="s">
        <v>3762</v>
      </c>
      <c r="F770" s="89" t="s">
        <v>4050</v>
      </c>
      <c r="G770" s="89"/>
      <c r="H770" s="89"/>
      <c r="I770" s="90"/>
      <c r="J770" s="91"/>
      <c r="K770" s="92"/>
    </row>
    <row r="771" spans="2:11" x14ac:dyDescent="0.25">
      <c r="B771" s="22" t="s">
        <v>4051</v>
      </c>
      <c r="C771" s="72" t="s">
        <v>4052</v>
      </c>
      <c r="D771" s="73"/>
      <c r="E771" s="74" t="s">
        <v>3762</v>
      </c>
      <c r="F771" s="74" t="s">
        <v>4053</v>
      </c>
      <c r="G771" s="74"/>
      <c r="H771" s="18" t="s">
        <v>1528</v>
      </c>
      <c r="I771" s="41"/>
      <c r="J771" s="42"/>
      <c r="K771" s="43"/>
    </row>
    <row r="772" spans="2:11" x14ac:dyDescent="0.25">
      <c r="B772" s="22" t="s">
        <v>4054</v>
      </c>
      <c r="C772" s="44" t="s">
        <v>4055</v>
      </c>
      <c r="D772" s="23" t="s">
        <v>4056</v>
      </c>
      <c r="E772" s="24" t="s">
        <v>3762</v>
      </c>
      <c r="F772" s="24" t="s">
        <v>4053</v>
      </c>
      <c r="G772" s="24" t="s">
        <v>4057</v>
      </c>
      <c r="H772" s="24" t="s">
        <v>3372</v>
      </c>
      <c r="I772" s="45">
        <v>1</v>
      </c>
      <c r="J772" s="46">
        <v>2753790</v>
      </c>
      <c r="K772" s="47">
        <f t="shared" si="18"/>
        <v>2753790</v>
      </c>
    </row>
    <row r="773" spans="2:11" x14ac:dyDescent="0.25">
      <c r="B773" s="22" t="s">
        <v>4058</v>
      </c>
      <c r="C773" s="75" t="s">
        <v>4059</v>
      </c>
      <c r="D773" s="76"/>
      <c r="E773" s="77" t="s">
        <v>3762</v>
      </c>
      <c r="F773" s="77" t="s">
        <v>4060</v>
      </c>
      <c r="G773" s="77"/>
      <c r="H773" s="24" t="s">
        <v>1528</v>
      </c>
      <c r="I773" s="45"/>
      <c r="J773" s="46"/>
      <c r="K773" s="47"/>
    </row>
    <row r="774" spans="2:11" x14ac:dyDescent="0.25">
      <c r="B774" s="22" t="s">
        <v>4061</v>
      </c>
      <c r="C774" s="44" t="s">
        <v>4062</v>
      </c>
      <c r="D774" s="23" t="s">
        <v>4063</v>
      </c>
      <c r="E774" s="24" t="s">
        <v>3762</v>
      </c>
      <c r="F774" s="24" t="s">
        <v>4060</v>
      </c>
      <c r="G774" s="24" t="s">
        <v>4064</v>
      </c>
      <c r="H774" s="24" t="s">
        <v>1627</v>
      </c>
      <c r="I774" s="45">
        <v>6</v>
      </c>
      <c r="J774" s="46">
        <v>640862.5</v>
      </c>
      <c r="K774" s="47">
        <f t="shared" si="18"/>
        <v>3845175</v>
      </c>
    </row>
    <row r="775" spans="2:11" x14ac:dyDescent="0.25">
      <c r="B775" s="22" t="s">
        <v>4065</v>
      </c>
      <c r="C775" s="75" t="s">
        <v>4066</v>
      </c>
      <c r="D775" s="76"/>
      <c r="E775" s="77" t="s">
        <v>3762</v>
      </c>
      <c r="F775" s="77" t="s">
        <v>4067</v>
      </c>
      <c r="G775" s="77"/>
      <c r="H775" s="24" t="s">
        <v>1528</v>
      </c>
      <c r="I775" s="45"/>
      <c r="J775" s="46"/>
      <c r="K775" s="47"/>
    </row>
    <row r="776" spans="2:11" x14ac:dyDescent="0.25">
      <c r="B776" s="22" t="s">
        <v>4068</v>
      </c>
      <c r="C776" s="44" t="s">
        <v>4069</v>
      </c>
      <c r="D776" s="23" t="s">
        <v>4070</v>
      </c>
      <c r="E776" s="24" t="s">
        <v>3762</v>
      </c>
      <c r="F776" s="24" t="s">
        <v>4067</v>
      </c>
      <c r="G776" s="24" t="s">
        <v>4071</v>
      </c>
      <c r="H776" s="24" t="s">
        <v>1627</v>
      </c>
      <c r="I776" s="45">
        <v>6</v>
      </c>
      <c r="J776" s="46">
        <v>1449040</v>
      </c>
      <c r="K776" s="47">
        <f t="shared" si="18"/>
        <v>8694240</v>
      </c>
    </row>
    <row r="777" spans="2:11" x14ac:dyDescent="0.25">
      <c r="B777" s="22" t="s">
        <v>4072</v>
      </c>
      <c r="C777" s="75" t="s">
        <v>4073</v>
      </c>
      <c r="D777" s="76"/>
      <c r="E777" s="77" t="s">
        <v>3762</v>
      </c>
      <c r="F777" s="77" t="s">
        <v>4074</v>
      </c>
      <c r="G777" s="77" t="s">
        <v>1528</v>
      </c>
      <c r="H777" s="24" t="s">
        <v>1528</v>
      </c>
      <c r="I777" s="45"/>
      <c r="J777" s="46"/>
      <c r="K777" s="47"/>
    </row>
    <row r="778" spans="2:11" x14ac:dyDescent="0.25">
      <c r="B778" s="22" t="s">
        <v>4075</v>
      </c>
      <c r="C778" s="44" t="s">
        <v>4076</v>
      </c>
      <c r="D778" s="23" t="s">
        <v>4077</v>
      </c>
      <c r="E778" s="24" t="s">
        <v>3762</v>
      </c>
      <c r="F778" s="24" t="s">
        <v>4074</v>
      </c>
      <c r="G778" s="24" t="s">
        <v>4078</v>
      </c>
      <c r="H778" s="24" t="s">
        <v>1627</v>
      </c>
      <c r="I778" s="45">
        <v>6</v>
      </c>
      <c r="J778" s="46">
        <v>2502050</v>
      </c>
      <c r="K778" s="47">
        <f t="shared" si="18"/>
        <v>15012300</v>
      </c>
    </row>
    <row r="779" spans="2:11" x14ac:dyDescent="0.25">
      <c r="B779" s="22" t="s">
        <v>4079</v>
      </c>
      <c r="C779" s="75" t="s">
        <v>4080</v>
      </c>
      <c r="D779" s="76"/>
      <c r="E779" s="77" t="s">
        <v>3762</v>
      </c>
      <c r="F779" s="77" t="s">
        <v>4081</v>
      </c>
      <c r="G779" s="77"/>
      <c r="H779" s="24" t="s">
        <v>1528</v>
      </c>
      <c r="I779" s="45"/>
      <c r="J779" s="46"/>
      <c r="K779" s="47"/>
    </row>
    <row r="780" spans="2:11" x14ac:dyDescent="0.25">
      <c r="B780" s="22" t="s">
        <v>4082</v>
      </c>
      <c r="C780" s="44" t="s">
        <v>4083</v>
      </c>
      <c r="D780" s="23" t="s">
        <v>4084</v>
      </c>
      <c r="E780" s="24" t="s">
        <v>3762</v>
      </c>
      <c r="F780" s="24" t="s">
        <v>4081</v>
      </c>
      <c r="G780" s="24" t="s">
        <v>4085</v>
      </c>
      <c r="H780" s="24" t="s">
        <v>1627</v>
      </c>
      <c r="I780" s="45">
        <v>6</v>
      </c>
      <c r="J780" s="46">
        <v>2091437.5</v>
      </c>
      <c r="K780" s="47">
        <f t="shared" si="18"/>
        <v>12548625</v>
      </c>
    </row>
    <row r="781" spans="2:11" x14ac:dyDescent="0.25">
      <c r="B781" s="22" t="s">
        <v>4086</v>
      </c>
      <c r="C781" s="75" t="s">
        <v>4087</v>
      </c>
      <c r="D781" s="76"/>
      <c r="E781" s="77" t="s">
        <v>3762</v>
      </c>
      <c r="F781" s="77" t="s">
        <v>4088</v>
      </c>
      <c r="G781" s="77"/>
      <c r="H781" s="24" t="s">
        <v>1528</v>
      </c>
      <c r="I781" s="45"/>
      <c r="J781" s="46"/>
      <c r="K781" s="47"/>
    </row>
    <row r="782" spans="2:11" ht="13.5" thickBot="1" x14ac:dyDescent="0.3">
      <c r="B782" s="22" t="s">
        <v>4089</v>
      </c>
      <c r="C782" s="48" t="s">
        <v>4090</v>
      </c>
      <c r="D782" s="29" t="s">
        <v>4091</v>
      </c>
      <c r="E782" s="30" t="s">
        <v>3762</v>
      </c>
      <c r="F782" s="30" t="s">
        <v>4088</v>
      </c>
      <c r="G782" s="30" t="s">
        <v>4092</v>
      </c>
      <c r="H782" s="30" t="s">
        <v>1627</v>
      </c>
      <c r="I782" s="49">
        <v>6</v>
      </c>
      <c r="J782" s="50">
        <v>532645</v>
      </c>
      <c r="K782" s="51">
        <f t="shared" si="18"/>
        <v>3195870</v>
      </c>
    </row>
    <row r="783" spans="2:11" ht="13.5" thickBot="1" x14ac:dyDescent="0.3">
      <c r="B783" s="22" t="s">
        <v>4093</v>
      </c>
      <c r="C783" s="88">
        <v>22</v>
      </c>
      <c r="D783" s="52">
        <v>28</v>
      </c>
      <c r="E783" s="89" t="s">
        <v>3762</v>
      </c>
      <c r="F783" s="89" t="s">
        <v>1944</v>
      </c>
      <c r="G783" s="89"/>
      <c r="H783" s="89" t="s">
        <v>1528</v>
      </c>
      <c r="I783" s="90"/>
      <c r="J783" s="91"/>
      <c r="K783" s="92"/>
    </row>
    <row r="784" spans="2:11" ht="13.5" thickBot="1" x14ac:dyDescent="0.3">
      <c r="B784" s="22" t="s">
        <v>4094</v>
      </c>
      <c r="C784" s="93" t="s">
        <v>4095</v>
      </c>
      <c r="D784" s="94" t="s">
        <v>4096</v>
      </c>
      <c r="E784" s="95" t="s">
        <v>3762</v>
      </c>
      <c r="F784" s="95" t="s">
        <v>1944</v>
      </c>
      <c r="G784" s="95" t="s">
        <v>4097</v>
      </c>
      <c r="H784" s="95" t="s">
        <v>1361</v>
      </c>
      <c r="I784" s="96">
        <v>3048</v>
      </c>
      <c r="J784" s="97">
        <v>904.11</v>
      </c>
      <c r="K784" s="98">
        <f t="shared" si="18"/>
        <v>2755727.2800000003</v>
      </c>
    </row>
    <row r="785" spans="2:11" ht="13.5" thickBot="1" x14ac:dyDescent="0.3">
      <c r="B785" s="22" t="s">
        <v>4098</v>
      </c>
      <c r="C785" s="88">
        <v>23</v>
      </c>
      <c r="D785" s="52"/>
      <c r="E785" s="89" t="s">
        <v>3762</v>
      </c>
      <c r="F785" s="89" t="s">
        <v>4099</v>
      </c>
      <c r="G785" s="89"/>
      <c r="H785" s="89" t="s">
        <v>1528</v>
      </c>
      <c r="I785" s="90"/>
      <c r="J785" s="91"/>
      <c r="K785" s="92"/>
    </row>
    <row r="786" spans="2:11" ht="13.5" thickBot="1" x14ac:dyDescent="0.3">
      <c r="B786" s="22" t="s">
        <v>4100</v>
      </c>
      <c r="C786" s="93" t="s">
        <v>4101</v>
      </c>
      <c r="D786" s="94" t="s">
        <v>4102</v>
      </c>
      <c r="E786" s="95" t="s">
        <v>3762</v>
      </c>
      <c r="F786" s="95" t="s">
        <v>4099</v>
      </c>
      <c r="G786" s="95" t="s">
        <v>1941</v>
      </c>
      <c r="H786" s="95" t="s">
        <v>1942</v>
      </c>
      <c r="I786" s="96">
        <v>2496</v>
      </c>
      <c r="J786" s="97">
        <v>675</v>
      </c>
      <c r="K786" s="98">
        <f t="shared" si="18"/>
        <v>1684800</v>
      </c>
    </row>
    <row r="787" spans="2:11" ht="13.5" thickBot="1" x14ac:dyDescent="0.3">
      <c r="B787" s="22" t="s">
        <v>4103</v>
      </c>
      <c r="C787" s="88">
        <v>24</v>
      </c>
      <c r="D787" s="52"/>
      <c r="E787" s="89" t="s">
        <v>3762</v>
      </c>
      <c r="F787" s="89" t="s">
        <v>2072</v>
      </c>
      <c r="G787" s="89"/>
      <c r="H787" s="89" t="s">
        <v>1528</v>
      </c>
      <c r="I787" s="90"/>
      <c r="J787" s="91"/>
      <c r="K787" s="92"/>
    </row>
    <row r="788" spans="2:11" x14ac:dyDescent="0.25">
      <c r="B788" s="22" t="s">
        <v>4104</v>
      </c>
      <c r="C788" s="40" t="s">
        <v>4105</v>
      </c>
      <c r="D788" s="17" t="s">
        <v>2080</v>
      </c>
      <c r="E788" s="18" t="s">
        <v>3762</v>
      </c>
      <c r="F788" s="18" t="s">
        <v>2072</v>
      </c>
      <c r="G788" s="18" t="s">
        <v>2081</v>
      </c>
      <c r="H788" s="18" t="s">
        <v>2077</v>
      </c>
      <c r="I788" s="41">
        <v>32</v>
      </c>
      <c r="J788" s="42">
        <v>176000</v>
      </c>
      <c r="K788" s="43">
        <f t="shared" si="18"/>
        <v>5632000</v>
      </c>
    </row>
    <row r="789" spans="2:11" x14ac:dyDescent="0.25">
      <c r="B789" s="22" t="s">
        <v>4106</v>
      </c>
      <c r="C789" s="44" t="s">
        <v>4107</v>
      </c>
      <c r="D789" s="23"/>
      <c r="E789" s="24" t="s">
        <v>3762</v>
      </c>
      <c r="F789" s="24" t="s">
        <v>2072</v>
      </c>
      <c r="G789" s="24" t="s">
        <v>4108</v>
      </c>
      <c r="H789" s="24" t="s">
        <v>2077</v>
      </c>
      <c r="I789" s="45">
        <v>32</v>
      </c>
      <c r="J789" s="46">
        <v>160000</v>
      </c>
      <c r="K789" s="47">
        <f t="shared" si="18"/>
        <v>5120000</v>
      </c>
    </row>
    <row r="790" spans="2:11" x14ac:dyDescent="0.25">
      <c r="B790" s="22" t="s">
        <v>4109</v>
      </c>
      <c r="C790" s="44" t="s">
        <v>4110</v>
      </c>
      <c r="D790" s="23"/>
      <c r="E790" s="24" t="s">
        <v>3762</v>
      </c>
      <c r="F790" s="24" t="s">
        <v>2072</v>
      </c>
      <c r="G790" s="24" t="s">
        <v>4111</v>
      </c>
      <c r="H790" s="24" t="s">
        <v>2077</v>
      </c>
      <c r="I790" s="45">
        <v>40</v>
      </c>
      <c r="J790" s="46">
        <v>80000</v>
      </c>
      <c r="K790" s="47">
        <f t="shared" si="18"/>
        <v>3200000</v>
      </c>
    </row>
    <row r="791" spans="2:11" x14ac:dyDescent="0.25">
      <c r="B791" s="22" t="s">
        <v>4112</v>
      </c>
      <c r="C791" s="44" t="s">
        <v>4113</v>
      </c>
      <c r="D791" s="23" t="s">
        <v>4114</v>
      </c>
      <c r="E791" s="24" t="s">
        <v>3762</v>
      </c>
      <c r="F791" s="24" t="s">
        <v>2072</v>
      </c>
      <c r="G791" s="24" t="s">
        <v>4115</v>
      </c>
      <c r="H791" s="24" t="s">
        <v>1942</v>
      </c>
      <c r="I791" s="45">
        <v>25920</v>
      </c>
      <c r="J791" s="46">
        <v>118.78</v>
      </c>
      <c r="K791" s="47">
        <f t="shared" si="18"/>
        <v>3078777.6</v>
      </c>
    </row>
    <row r="792" spans="2:11" ht="13.5" thickBot="1" x14ac:dyDescent="0.3">
      <c r="B792" s="22" t="s">
        <v>4116</v>
      </c>
      <c r="C792" s="48" t="s">
        <v>4117</v>
      </c>
      <c r="D792" s="29" t="s">
        <v>4118</v>
      </c>
      <c r="E792" s="30" t="s">
        <v>3762</v>
      </c>
      <c r="F792" s="30" t="s">
        <v>2072</v>
      </c>
      <c r="G792" s="30" t="s">
        <v>4119</v>
      </c>
      <c r="H792" s="30" t="s">
        <v>1942</v>
      </c>
      <c r="I792" s="49">
        <v>25920</v>
      </c>
      <c r="J792" s="50">
        <v>293.24</v>
      </c>
      <c r="K792" s="51">
        <f t="shared" si="18"/>
        <v>7600780.7999999998</v>
      </c>
    </row>
    <row r="793" spans="2:11" ht="13.5" thickBot="1" x14ac:dyDescent="0.3">
      <c r="B793" s="22" t="s">
        <v>4120</v>
      </c>
      <c r="C793" s="88">
        <v>25</v>
      </c>
      <c r="D793" s="52"/>
      <c r="E793" s="89" t="s">
        <v>3762</v>
      </c>
      <c r="F793" s="89" t="s">
        <v>4121</v>
      </c>
      <c r="G793" s="89"/>
      <c r="H793" s="89" t="s">
        <v>1528</v>
      </c>
      <c r="I793" s="90"/>
      <c r="J793" s="91"/>
      <c r="K793" s="92"/>
    </row>
    <row r="794" spans="2:11" x14ac:dyDescent="0.25">
      <c r="B794" s="22" t="s">
        <v>4122</v>
      </c>
      <c r="C794" s="40" t="s">
        <v>4123</v>
      </c>
      <c r="D794" s="17">
        <v>460810</v>
      </c>
      <c r="E794" s="18" t="s">
        <v>3762</v>
      </c>
      <c r="F794" s="18" t="s">
        <v>4121</v>
      </c>
      <c r="G794" s="18" t="s">
        <v>4124</v>
      </c>
      <c r="H794" s="18" t="s">
        <v>1361</v>
      </c>
      <c r="I794" s="41">
        <v>2208</v>
      </c>
      <c r="J794" s="42">
        <v>319.72000000000003</v>
      </c>
      <c r="K794" s="43">
        <f t="shared" si="18"/>
        <v>705941.76</v>
      </c>
    </row>
    <row r="795" spans="2:11" x14ac:dyDescent="0.25">
      <c r="B795" s="22" t="s">
        <v>4125</v>
      </c>
      <c r="C795" s="44" t="s">
        <v>4126</v>
      </c>
      <c r="D795" s="23">
        <v>460808</v>
      </c>
      <c r="E795" s="24" t="s">
        <v>3762</v>
      </c>
      <c r="F795" s="24" t="s">
        <v>4121</v>
      </c>
      <c r="G795" s="24" t="s">
        <v>4127</v>
      </c>
      <c r="H795" s="24" t="s">
        <v>1361</v>
      </c>
      <c r="I795" s="45">
        <v>76.8</v>
      </c>
      <c r="J795" s="46">
        <v>243.26</v>
      </c>
      <c r="K795" s="47">
        <f t="shared" si="18"/>
        <v>18682.367999999999</v>
      </c>
    </row>
    <row r="796" spans="2:11" x14ac:dyDescent="0.25">
      <c r="B796" s="22" t="s">
        <v>4128</v>
      </c>
      <c r="C796" s="44" t="s">
        <v>4129</v>
      </c>
      <c r="D796" s="23" t="s">
        <v>2112</v>
      </c>
      <c r="E796" s="24" t="s">
        <v>3762</v>
      </c>
      <c r="F796" s="24" t="s">
        <v>4121</v>
      </c>
      <c r="G796" s="24" t="s">
        <v>2113</v>
      </c>
      <c r="H796" s="24" t="s">
        <v>1627</v>
      </c>
      <c r="I796" s="45">
        <v>29</v>
      </c>
      <c r="J796" s="46">
        <v>557.15</v>
      </c>
      <c r="K796" s="47">
        <f t="shared" si="18"/>
        <v>16157.349999999999</v>
      </c>
    </row>
    <row r="797" spans="2:11" x14ac:dyDescent="0.25">
      <c r="B797" s="22" t="s">
        <v>4130</v>
      </c>
      <c r="C797" s="44" t="s">
        <v>4131</v>
      </c>
      <c r="D797" s="23" t="s">
        <v>2116</v>
      </c>
      <c r="E797" s="24" t="s">
        <v>3762</v>
      </c>
      <c r="F797" s="24" t="s">
        <v>4121</v>
      </c>
      <c r="G797" s="24" t="s">
        <v>2117</v>
      </c>
      <c r="H797" s="24" t="s">
        <v>1627</v>
      </c>
      <c r="I797" s="45">
        <v>29</v>
      </c>
      <c r="J797" s="46">
        <v>399.33</v>
      </c>
      <c r="K797" s="47">
        <f t="shared" si="18"/>
        <v>11580.57</v>
      </c>
    </row>
    <row r="798" spans="2:11" x14ac:dyDescent="0.25">
      <c r="B798" s="22" t="s">
        <v>4132</v>
      </c>
      <c r="C798" s="44" t="s">
        <v>4133</v>
      </c>
      <c r="D798" s="23" t="s">
        <v>2120</v>
      </c>
      <c r="E798" s="24" t="s">
        <v>3762</v>
      </c>
      <c r="F798" s="24" t="s">
        <v>4121</v>
      </c>
      <c r="G798" s="24" t="s">
        <v>2121</v>
      </c>
      <c r="H798" s="24" t="s">
        <v>1627</v>
      </c>
      <c r="I798" s="45">
        <v>29</v>
      </c>
      <c r="J798" s="46">
        <v>691.74</v>
      </c>
      <c r="K798" s="47">
        <f t="shared" si="18"/>
        <v>20060.46</v>
      </c>
    </row>
    <row r="799" spans="2:11" x14ac:dyDescent="0.25">
      <c r="B799" s="22" t="s">
        <v>4134</v>
      </c>
      <c r="C799" s="44" t="s">
        <v>4135</v>
      </c>
      <c r="D799" s="23" t="s">
        <v>2124</v>
      </c>
      <c r="E799" s="24" t="s">
        <v>3762</v>
      </c>
      <c r="F799" s="24" t="s">
        <v>4121</v>
      </c>
      <c r="G799" s="24" t="s">
        <v>2125</v>
      </c>
      <c r="H799" s="24" t="s">
        <v>1627</v>
      </c>
      <c r="I799" s="45">
        <v>39</v>
      </c>
      <c r="J799" s="46">
        <v>454.57</v>
      </c>
      <c r="K799" s="47">
        <f t="shared" si="18"/>
        <v>17728.23</v>
      </c>
    </row>
    <row r="800" spans="2:11" x14ac:dyDescent="0.25">
      <c r="B800" s="22" t="s">
        <v>4136</v>
      </c>
      <c r="C800" s="44" t="s">
        <v>4137</v>
      </c>
      <c r="D800" s="23" t="s">
        <v>2128</v>
      </c>
      <c r="E800" s="24" t="s">
        <v>3762</v>
      </c>
      <c r="F800" s="24" t="s">
        <v>4121</v>
      </c>
      <c r="G800" s="24" t="s">
        <v>2129</v>
      </c>
      <c r="H800" s="24" t="s">
        <v>1627</v>
      </c>
      <c r="I800" s="45">
        <v>39</v>
      </c>
      <c r="J800" s="46">
        <v>235.98</v>
      </c>
      <c r="K800" s="47">
        <f t="shared" si="18"/>
        <v>9203.2199999999993</v>
      </c>
    </row>
    <row r="801" spans="2:11" x14ac:dyDescent="0.25">
      <c r="B801" s="22" t="s">
        <v>4138</v>
      </c>
      <c r="C801" s="44" t="s">
        <v>4139</v>
      </c>
      <c r="D801" s="23" t="s">
        <v>2132</v>
      </c>
      <c r="E801" s="24" t="s">
        <v>3762</v>
      </c>
      <c r="F801" s="24" t="s">
        <v>4121</v>
      </c>
      <c r="G801" s="24" t="s">
        <v>2133</v>
      </c>
      <c r="H801" s="24" t="s">
        <v>1627</v>
      </c>
      <c r="I801" s="45">
        <v>64</v>
      </c>
      <c r="J801" s="46">
        <v>67.59</v>
      </c>
      <c r="K801" s="47">
        <f t="shared" si="18"/>
        <v>4325.76</v>
      </c>
    </row>
    <row r="802" spans="2:11" x14ac:dyDescent="0.25">
      <c r="B802" s="22" t="s">
        <v>4140</v>
      </c>
      <c r="C802" s="44" t="s">
        <v>4141</v>
      </c>
      <c r="D802" s="23" t="s">
        <v>2136</v>
      </c>
      <c r="E802" s="24" t="s">
        <v>3762</v>
      </c>
      <c r="F802" s="24" t="s">
        <v>4121</v>
      </c>
      <c r="G802" s="24" t="s">
        <v>2137</v>
      </c>
      <c r="H802" s="24" t="s">
        <v>1627</v>
      </c>
      <c r="I802" s="45">
        <v>3</v>
      </c>
      <c r="J802" s="46">
        <v>461.16</v>
      </c>
      <c r="K802" s="47">
        <f t="shared" si="18"/>
        <v>1383.48</v>
      </c>
    </row>
    <row r="803" spans="2:11" x14ac:dyDescent="0.25">
      <c r="B803" s="22" t="s">
        <v>4142</v>
      </c>
      <c r="C803" s="44" t="s">
        <v>4143</v>
      </c>
      <c r="D803" s="23" t="s">
        <v>2140</v>
      </c>
      <c r="E803" s="24" t="s">
        <v>3762</v>
      </c>
      <c r="F803" s="24" t="s">
        <v>4121</v>
      </c>
      <c r="G803" s="24" t="s">
        <v>2141</v>
      </c>
      <c r="H803" s="24" t="s">
        <v>1627</v>
      </c>
      <c r="I803" s="45">
        <v>39</v>
      </c>
      <c r="J803" s="46">
        <v>133.41</v>
      </c>
      <c r="K803" s="47">
        <f t="shared" si="18"/>
        <v>5202.99</v>
      </c>
    </row>
    <row r="804" spans="2:11" x14ac:dyDescent="0.25">
      <c r="B804" s="22" t="s">
        <v>4144</v>
      </c>
      <c r="C804" s="44" t="s">
        <v>4145</v>
      </c>
      <c r="D804" s="23" t="s">
        <v>2144</v>
      </c>
      <c r="E804" s="24" t="s">
        <v>3762</v>
      </c>
      <c r="F804" s="24" t="s">
        <v>4121</v>
      </c>
      <c r="G804" s="24" t="s">
        <v>2145</v>
      </c>
      <c r="H804" s="24" t="s">
        <v>1627</v>
      </c>
      <c r="I804" s="45">
        <v>663</v>
      </c>
      <c r="J804" s="46">
        <v>200.57</v>
      </c>
      <c r="K804" s="47">
        <f t="shared" si="18"/>
        <v>132977.91</v>
      </c>
    </row>
    <row r="805" spans="2:11" x14ac:dyDescent="0.25">
      <c r="B805" s="22" t="s">
        <v>4146</v>
      </c>
      <c r="C805" s="44" t="s">
        <v>4147</v>
      </c>
      <c r="D805" s="23" t="s">
        <v>2148</v>
      </c>
      <c r="E805" s="24" t="s">
        <v>3762</v>
      </c>
      <c r="F805" s="24" t="s">
        <v>4121</v>
      </c>
      <c r="G805" s="24" t="s">
        <v>2149</v>
      </c>
      <c r="H805" s="24" t="s">
        <v>1627</v>
      </c>
      <c r="I805" s="45">
        <v>77</v>
      </c>
      <c r="J805" s="46">
        <v>198.9</v>
      </c>
      <c r="K805" s="47">
        <f t="shared" si="18"/>
        <v>15315.300000000001</v>
      </c>
    </row>
    <row r="806" spans="2:11" x14ac:dyDescent="0.25">
      <c r="B806" s="22" t="s">
        <v>4148</v>
      </c>
      <c r="C806" s="44" t="s">
        <v>4149</v>
      </c>
      <c r="D806" s="23" t="s">
        <v>2152</v>
      </c>
      <c r="E806" s="24" t="s">
        <v>3762</v>
      </c>
      <c r="F806" s="24" t="s">
        <v>4121</v>
      </c>
      <c r="G806" s="24" t="s">
        <v>2153</v>
      </c>
      <c r="H806" s="24" t="s">
        <v>1627</v>
      </c>
      <c r="I806" s="45">
        <v>39</v>
      </c>
      <c r="J806" s="46">
        <v>156.6</v>
      </c>
      <c r="K806" s="47">
        <f t="shared" si="18"/>
        <v>6107.4</v>
      </c>
    </row>
    <row r="807" spans="2:11" x14ac:dyDescent="0.25">
      <c r="B807" s="22" t="s">
        <v>4150</v>
      </c>
      <c r="C807" s="44" t="s">
        <v>4151</v>
      </c>
      <c r="D807" s="23" t="s">
        <v>2156</v>
      </c>
      <c r="E807" s="24" t="s">
        <v>3762</v>
      </c>
      <c r="F807" s="24" t="s">
        <v>4121</v>
      </c>
      <c r="G807" s="24" t="s">
        <v>4152</v>
      </c>
      <c r="H807" s="24" t="s">
        <v>1627</v>
      </c>
      <c r="I807" s="45">
        <v>39</v>
      </c>
      <c r="J807" s="46">
        <v>1223.29</v>
      </c>
      <c r="K807" s="47">
        <f t="shared" ref="K807:K870" si="19">I807*J807</f>
        <v>47708.31</v>
      </c>
    </row>
    <row r="808" spans="2:11" x14ac:dyDescent="0.25">
      <c r="B808" s="22" t="s">
        <v>4153</v>
      </c>
      <c r="C808" s="44" t="s">
        <v>4154</v>
      </c>
      <c r="D808" s="23" t="s">
        <v>2160</v>
      </c>
      <c r="E808" s="24" t="s">
        <v>3762</v>
      </c>
      <c r="F808" s="24" t="s">
        <v>4121</v>
      </c>
      <c r="G808" s="24" t="s">
        <v>2161</v>
      </c>
      <c r="H808" s="24" t="s">
        <v>1627</v>
      </c>
      <c r="I808" s="45">
        <v>39</v>
      </c>
      <c r="J808" s="46">
        <v>204.23</v>
      </c>
      <c r="K808" s="47">
        <f t="shared" si="19"/>
        <v>7964.9699999999993</v>
      </c>
    </row>
    <row r="809" spans="2:11" x14ac:dyDescent="0.25">
      <c r="B809" s="22" t="s">
        <v>4155</v>
      </c>
      <c r="C809" s="44" t="s">
        <v>4156</v>
      </c>
      <c r="D809" s="23" t="s">
        <v>2164</v>
      </c>
      <c r="E809" s="24" t="s">
        <v>3762</v>
      </c>
      <c r="F809" s="24" t="s">
        <v>4121</v>
      </c>
      <c r="G809" s="24" t="s">
        <v>2165</v>
      </c>
      <c r="H809" s="24" t="s">
        <v>1627</v>
      </c>
      <c r="I809" s="45">
        <v>39</v>
      </c>
      <c r="J809" s="46">
        <v>781.07</v>
      </c>
      <c r="K809" s="47">
        <f t="shared" si="19"/>
        <v>30461.730000000003</v>
      </c>
    </row>
    <row r="810" spans="2:11" x14ac:dyDescent="0.25">
      <c r="B810" s="22" t="s">
        <v>4157</v>
      </c>
      <c r="C810" s="44" t="s">
        <v>4158</v>
      </c>
      <c r="D810" s="23" t="s">
        <v>2168</v>
      </c>
      <c r="E810" s="24" t="s">
        <v>3762</v>
      </c>
      <c r="F810" s="24" t="s">
        <v>4121</v>
      </c>
      <c r="G810" s="24" t="s">
        <v>2169</v>
      </c>
      <c r="H810" s="24" t="s">
        <v>1627</v>
      </c>
      <c r="I810" s="45">
        <v>39</v>
      </c>
      <c r="J810" s="46">
        <v>98.82</v>
      </c>
      <c r="K810" s="47">
        <f t="shared" si="19"/>
        <v>3853.9799999999996</v>
      </c>
    </row>
    <row r="811" spans="2:11" x14ac:dyDescent="0.25">
      <c r="B811" s="22" t="s">
        <v>4159</v>
      </c>
      <c r="C811" s="44" t="s">
        <v>4160</v>
      </c>
      <c r="D811" s="23" t="s">
        <v>2102</v>
      </c>
      <c r="E811" s="24" t="s">
        <v>3762</v>
      </c>
      <c r="F811" s="24" t="s">
        <v>4121</v>
      </c>
      <c r="G811" s="24" t="s">
        <v>2103</v>
      </c>
      <c r="H811" s="24" t="s">
        <v>1627</v>
      </c>
      <c r="I811" s="45">
        <v>39</v>
      </c>
      <c r="J811" s="46">
        <v>204.27</v>
      </c>
      <c r="K811" s="47">
        <f t="shared" si="19"/>
        <v>7966.5300000000007</v>
      </c>
    </row>
    <row r="812" spans="2:11" x14ac:dyDescent="0.25">
      <c r="B812" s="22" t="s">
        <v>4161</v>
      </c>
      <c r="C812" s="44" t="s">
        <v>4162</v>
      </c>
      <c r="D812" s="23" t="s">
        <v>2098</v>
      </c>
      <c r="E812" s="24" t="s">
        <v>3762</v>
      </c>
      <c r="F812" s="24" t="s">
        <v>4121</v>
      </c>
      <c r="G812" s="24" t="s">
        <v>4163</v>
      </c>
      <c r="H812" s="24" t="s">
        <v>1627</v>
      </c>
      <c r="I812" s="45">
        <v>39</v>
      </c>
      <c r="J812" s="46">
        <v>133.62</v>
      </c>
      <c r="K812" s="47">
        <f t="shared" si="19"/>
        <v>5211.18</v>
      </c>
    </row>
    <row r="813" spans="2:11" x14ac:dyDescent="0.25">
      <c r="B813" s="22" t="s">
        <v>4164</v>
      </c>
      <c r="C813" s="44" t="s">
        <v>4165</v>
      </c>
      <c r="D813" s="23" t="s">
        <v>2172</v>
      </c>
      <c r="E813" s="24" t="s">
        <v>3762</v>
      </c>
      <c r="F813" s="24" t="s">
        <v>4121</v>
      </c>
      <c r="G813" s="24" t="s">
        <v>4166</v>
      </c>
      <c r="H813" s="24" t="s">
        <v>1627</v>
      </c>
      <c r="I813" s="45">
        <v>39</v>
      </c>
      <c r="J813" s="46">
        <v>428.22</v>
      </c>
      <c r="K813" s="47">
        <f t="shared" si="19"/>
        <v>16700.580000000002</v>
      </c>
    </row>
    <row r="814" spans="2:11" x14ac:dyDescent="0.25">
      <c r="B814" s="22" t="s">
        <v>4167</v>
      </c>
      <c r="C814" s="44" t="s">
        <v>4168</v>
      </c>
      <c r="D814" s="23" t="s">
        <v>2176</v>
      </c>
      <c r="E814" s="24" t="s">
        <v>3762</v>
      </c>
      <c r="F814" s="24" t="s">
        <v>4121</v>
      </c>
      <c r="G814" s="24" t="s">
        <v>2177</v>
      </c>
      <c r="H814" s="24" t="s">
        <v>1627</v>
      </c>
      <c r="I814" s="45">
        <v>4</v>
      </c>
      <c r="J814" s="46">
        <v>2782.08</v>
      </c>
      <c r="K814" s="47">
        <f t="shared" si="19"/>
        <v>11128.32</v>
      </c>
    </row>
    <row r="815" spans="2:11" x14ac:dyDescent="0.25">
      <c r="B815" s="22" t="s">
        <v>4169</v>
      </c>
      <c r="C815" s="44" t="s">
        <v>4170</v>
      </c>
      <c r="D815" s="23" t="s">
        <v>2188</v>
      </c>
      <c r="E815" s="24" t="s">
        <v>3762</v>
      </c>
      <c r="F815" s="24" t="s">
        <v>4121</v>
      </c>
      <c r="G815" s="24" t="s">
        <v>2189</v>
      </c>
      <c r="H815" s="24" t="s">
        <v>1361</v>
      </c>
      <c r="I815" s="45">
        <v>76.8</v>
      </c>
      <c r="J815" s="46">
        <v>10.41</v>
      </c>
      <c r="K815" s="47">
        <f t="shared" si="19"/>
        <v>799.48799999999994</v>
      </c>
    </row>
    <row r="816" spans="2:11" x14ac:dyDescent="0.25">
      <c r="B816" s="22" t="s">
        <v>4171</v>
      </c>
      <c r="C816" s="44" t="s">
        <v>4172</v>
      </c>
      <c r="D816" s="23" t="s">
        <v>2192</v>
      </c>
      <c r="E816" s="24" t="s">
        <v>3762</v>
      </c>
      <c r="F816" s="24" t="s">
        <v>4121</v>
      </c>
      <c r="G816" s="24" t="s">
        <v>2193</v>
      </c>
      <c r="H816" s="24" t="s">
        <v>1361</v>
      </c>
      <c r="I816" s="45">
        <v>2208</v>
      </c>
      <c r="J816" s="46">
        <v>30.2</v>
      </c>
      <c r="K816" s="47">
        <f t="shared" si="19"/>
        <v>66681.599999999991</v>
      </c>
    </row>
    <row r="817" spans="2:11" x14ac:dyDescent="0.25">
      <c r="B817" s="22" t="s">
        <v>4173</v>
      </c>
      <c r="C817" s="44" t="s">
        <v>4174</v>
      </c>
      <c r="D817" s="23" t="s">
        <v>4175</v>
      </c>
      <c r="E817" s="24" t="s">
        <v>3762</v>
      </c>
      <c r="F817" s="24" t="s">
        <v>4121</v>
      </c>
      <c r="G817" s="24" t="s">
        <v>4176</v>
      </c>
      <c r="H817" s="24" t="s">
        <v>1627</v>
      </c>
      <c r="I817" s="45">
        <v>20</v>
      </c>
      <c r="J817" s="46">
        <v>948.13</v>
      </c>
      <c r="K817" s="47">
        <f t="shared" si="19"/>
        <v>18962.599999999999</v>
      </c>
    </row>
    <row r="818" spans="2:11" x14ac:dyDescent="0.25">
      <c r="B818" s="22" t="s">
        <v>4177</v>
      </c>
      <c r="C818" s="44" t="s">
        <v>4178</v>
      </c>
      <c r="D818" s="23" t="s">
        <v>2754</v>
      </c>
      <c r="E818" s="24" t="s">
        <v>3762</v>
      </c>
      <c r="F818" s="24" t="s">
        <v>4121</v>
      </c>
      <c r="G818" s="24" t="s">
        <v>4179</v>
      </c>
      <c r="H818" s="24" t="s">
        <v>1627</v>
      </c>
      <c r="I818" s="45">
        <v>2</v>
      </c>
      <c r="J818" s="46">
        <v>8320.34</v>
      </c>
      <c r="K818" s="47">
        <f t="shared" si="19"/>
        <v>16640.68</v>
      </c>
    </row>
    <row r="819" spans="2:11" x14ac:dyDescent="0.25">
      <c r="B819" s="22" t="s">
        <v>4180</v>
      </c>
      <c r="C819" s="44" t="s">
        <v>4181</v>
      </c>
      <c r="D819" s="23" t="s">
        <v>4182</v>
      </c>
      <c r="E819" s="24" t="s">
        <v>3762</v>
      </c>
      <c r="F819" s="24" t="s">
        <v>4121</v>
      </c>
      <c r="G819" s="24" t="s">
        <v>4183</v>
      </c>
      <c r="H819" s="24" t="s">
        <v>1383</v>
      </c>
      <c r="I819" s="45">
        <v>18144</v>
      </c>
      <c r="J819" s="46">
        <v>67.180000000000007</v>
      </c>
      <c r="K819" s="47">
        <f t="shared" si="19"/>
        <v>1218913.9200000002</v>
      </c>
    </row>
    <row r="820" spans="2:11" x14ac:dyDescent="0.25">
      <c r="B820" s="22" t="s">
        <v>4184</v>
      </c>
      <c r="C820" s="44" t="s">
        <v>4185</v>
      </c>
      <c r="D820" s="23" t="s">
        <v>2833</v>
      </c>
      <c r="E820" s="24" t="s">
        <v>3762</v>
      </c>
      <c r="F820" s="24" t="s">
        <v>4121</v>
      </c>
      <c r="G820" s="24" t="s">
        <v>2834</v>
      </c>
      <c r="H820" s="24" t="s">
        <v>1383</v>
      </c>
      <c r="I820" s="45">
        <v>35184</v>
      </c>
      <c r="J820" s="46">
        <v>240.45</v>
      </c>
      <c r="K820" s="47">
        <f t="shared" si="19"/>
        <v>8459992.7999999989</v>
      </c>
    </row>
    <row r="821" spans="2:11" x14ac:dyDescent="0.25">
      <c r="B821" s="22" t="s">
        <v>4186</v>
      </c>
      <c r="C821" s="44" t="s">
        <v>4187</v>
      </c>
      <c r="D821" s="23" t="s">
        <v>4188</v>
      </c>
      <c r="E821" s="24" t="s">
        <v>3762</v>
      </c>
      <c r="F821" s="24" t="s">
        <v>4121</v>
      </c>
      <c r="G821" s="24" t="s">
        <v>4189</v>
      </c>
      <c r="H821" s="24" t="s">
        <v>1383</v>
      </c>
      <c r="I821" s="45">
        <v>250</v>
      </c>
      <c r="J821" s="46">
        <v>47.1</v>
      </c>
      <c r="K821" s="47">
        <f t="shared" si="19"/>
        <v>11775</v>
      </c>
    </row>
    <row r="822" spans="2:11" x14ac:dyDescent="0.25">
      <c r="B822" s="22" t="s">
        <v>4190</v>
      </c>
      <c r="C822" s="44" t="s">
        <v>4191</v>
      </c>
      <c r="D822" s="23" t="s">
        <v>4192</v>
      </c>
      <c r="E822" s="24" t="s">
        <v>3762</v>
      </c>
      <c r="F822" s="24" t="s">
        <v>4121</v>
      </c>
      <c r="G822" s="24" t="s">
        <v>4193</v>
      </c>
      <c r="H822" s="24" t="s">
        <v>1383</v>
      </c>
      <c r="I822" s="45">
        <v>5100</v>
      </c>
      <c r="J822" s="46">
        <v>186.6</v>
      </c>
      <c r="K822" s="47">
        <f t="shared" si="19"/>
        <v>951660</v>
      </c>
    </row>
    <row r="823" spans="2:11" x14ac:dyDescent="0.25">
      <c r="B823" s="22" t="s">
        <v>4194</v>
      </c>
      <c r="C823" s="44" t="s">
        <v>4195</v>
      </c>
      <c r="D823" s="23" t="s">
        <v>4196</v>
      </c>
      <c r="E823" s="24" t="s">
        <v>3762</v>
      </c>
      <c r="F823" s="24" t="s">
        <v>4121</v>
      </c>
      <c r="G823" s="24" t="s">
        <v>4197</v>
      </c>
      <c r="H823" s="24" t="s">
        <v>1383</v>
      </c>
      <c r="I823" s="45">
        <v>2576</v>
      </c>
      <c r="J823" s="46">
        <v>41.61</v>
      </c>
      <c r="K823" s="47">
        <f t="shared" si="19"/>
        <v>107187.36</v>
      </c>
    </row>
    <row r="824" spans="2:11" x14ac:dyDescent="0.25">
      <c r="B824" s="22" t="s">
        <v>4198</v>
      </c>
      <c r="C824" s="44" t="s">
        <v>4199</v>
      </c>
      <c r="D824" s="23" t="s">
        <v>4200</v>
      </c>
      <c r="E824" s="24" t="s">
        <v>3762</v>
      </c>
      <c r="F824" s="24" t="s">
        <v>4121</v>
      </c>
      <c r="G824" s="24" t="s">
        <v>4201</v>
      </c>
      <c r="H824" s="24" t="s">
        <v>1383</v>
      </c>
      <c r="I824" s="45">
        <v>4600</v>
      </c>
      <c r="J824" s="46">
        <v>23.72</v>
      </c>
      <c r="K824" s="47">
        <f t="shared" si="19"/>
        <v>109112</v>
      </c>
    </row>
    <row r="825" spans="2:11" x14ac:dyDescent="0.25">
      <c r="B825" s="22" t="s">
        <v>4202</v>
      </c>
      <c r="C825" s="44" t="s">
        <v>4203</v>
      </c>
      <c r="D825" s="23" t="s">
        <v>4204</v>
      </c>
      <c r="E825" s="24" t="s">
        <v>3762</v>
      </c>
      <c r="F825" s="24" t="s">
        <v>4121</v>
      </c>
      <c r="G825" s="24" t="s">
        <v>4205</v>
      </c>
      <c r="H825" s="24" t="s">
        <v>1383</v>
      </c>
      <c r="I825" s="45">
        <v>8160</v>
      </c>
      <c r="J825" s="46">
        <v>35.6</v>
      </c>
      <c r="K825" s="47">
        <f t="shared" si="19"/>
        <v>290496</v>
      </c>
    </row>
    <row r="826" spans="2:11" x14ac:dyDescent="0.25">
      <c r="B826" s="22" t="s">
        <v>4206</v>
      </c>
      <c r="C826" s="44" t="s">
        <v>4207</v>
      </c>
      <c r="D826" s="23" t="s">
        <v>2705</v>
      </c>
      <c r="E826" s="24" t="s">
        <v>3762</v>
      </c>
      <c r="F826" s="24" t="s">
        <v>4121</v>
      </c>
      <c r="G826" s="24" t="s">
        <v>2706</v>
      </c>
      <c r="H826" s="24" t="s">
        <v>1361</v>
      </c>
      <c r="I826" s="45">
        <v>1840</v>
      </c>
      <c r="J826" s="46">
        <v>58.48</v>
      </c>
      <c r="K826" s="47">
        <f t="shared" si="19"/>
        <v>107603.2</v>
      </c>
    </row>
    <row r="827" spans="2:11" ht="13.5" thickBot="1" x14ac:dyDescent="0.3">
      <c r="B827" s="22" t="s">
        <v>4208</v>
      </c>
      <c r="C827" s="48" t="s">
        <v>4209</v>
      </c>
      <c r="D827" s="29" t="s">
        <v>2709</v>
      </c>
      <c r="E827" s="30" t="s">
        <v>3762</v>
      </c>
      <c r="F827" s="30" t="s">
        <v>4121</v>
      </c>
      <c r="G827" s="30" t="s">
        <v>2710</v>
      </c>
      <c r="H827" s="30" t="s">
        <v>1361</v>
      </c>
      <c r="I827" s="49">
        <v>1840</v>
      </c>
      <c r="J827" s="50">
        <v>298.98</v>
      </c>
      <c r="K827" s="51">
        <f t="shared" si="19"/>
        <v>550123.20000000007</v>
      </c>
    </row>
    <row r="828" spans="2:11" ht="13.5" thickBot="1" x14ac:dyDescent="0.3">
      <c r="B828" s="22" t="s">
        <v>4210</v>
      </c>
      <c r="C828" s="88">
        <v>26</v>
      </c>
      <c r="D828" s="52"/>
      <c r="E828" s="89" t="s">
        <v>3762</v>
      </c>
      <c r="F828" s="89" t="s">
        <v>4211</v>
      </c>
      <c r="G828" s="89"/>
      <c r="H828" s="89" t="s">
        <v>1528</v>
      </c>
      <c r="I828" s="90"/>
      <c r="J828" s="91"/>
      <c r="K828" s="92"/>
    </row>
    <row r="829" spans="2:11" x14ac:dyDescent="0.25">
      <c r="B829" s="22" t="s">
        <v>4212</v>
      </c>
      <c r="C829" s="40" t="s">
        <v>4213</v>
      </c>
      <c r="D829" s="17"/>
      <c r="E829" s="18" t="s">
        <v>3762</v>
      </c>
      <c r="F829" s="18" t="s">
        <v>4211</v>
      </c>
      <c r="G829" s="18" t="s">
        <v>4214</v>
      </c>
      <c r="H829" s="18" t="s">
        <v>1627</v>
      </c>
      <c r="I829" s="41">
        <v>38</v>
      </c>
      <c r="J829" s="42">
        <v>190350</v>
      </c>
      <c r="K829" s="43">
        <f t="shared" si="19"/>
        <v>7233300</v>
      </c>
    </row>
    <row r="830" spans="2:11" x14ac:dyDescent="0.25">
      <c r="B830" s="22" t="s">
        <v>4215</v>
      </c>
      <c r="C830" s="44" t="s">
        <v>4216</v>
      </c>
      <c r="D830" s="23"/>
      <c r="E830" s="24" t="s">
        <v>3762</v>
      </c>
      <c r="F830" s="24" t="s">
        <v>4211</v>
      </c>
      <c r="G830" s="24" t="s">
        <v>4217</v>
      </c>
      <c r="H830" s="24" t="s">
        <v>1627</v>
      </c>
      <c r="I830" s="45">
        <v>38</v>
      </c>
      <c r="J830" s="46">
        <v>17550</v>
      </c>
      <c r="K830" s="47">
        <f t="shared" si="19"/>
        <v>666900</v>
      </c>
    </row>
    <row r="831" spans="2:11" x14ac:dyDescent="0.25">
      <c r="B831" s="22" t="s">
        <v>4218</v>
      </c>
      <c r="C831" s="44" t="s">
        <v>4219</v>
      </c>
      <c r="D831" s="23"/>
      <c r="E831" s="24" t="s">
        <v>3762</v>
      </c>
      <c r="F831" s="24" t="s">
        <v>4211</v>
      </c>
      <c r="G831" s="24" t="s">
        <v>4220</v>
      </c>
      <c r="H831" s="24" t="s">
        <v>1627</v>
      </c>
      <c r="I831" s="45">
        <v>2</v>
      </c>
      <c r="J831" s="46">
        <v>978687.36</v>
      </c>
      <c r="K831" s="47">
        <f t="shared" si="19"/>
        <v>1957374.72</v>
      </c>
    </row>
    <row r="832" spans="2:11" x14ac:dyDescent="0.25">
      <c r="B832" s="22" t="s">
        <v>4221</v>
      </c>
      <c r="C832" s="44" t="s">
        <v>4222</v>
      </c>
      <c r="D832" s="23"/>
      <c r="E832" s="24" t="s">
        <v>3762</v>
      </c>
      <c r="F832" s="24" t="s">
        <v>4211</v>
      </c>
      <c r="G832" s="24" t="s">
        <v>4223</v>
      </c>
      <c r="H832" s="24" t="s">
        <v>1627</v>
      </c>
      <c r="I832" s="45">
        <v>2</v>
      </c>
      <c r="J832" s="46">
        <v>103950</v>
      </c>
      <c r="K832" s="47">
        <f t="shared" si="19"/>
        <v>207900</v>
      </c>
    </row>
    <row r="833" spans="2:11" ht="13.5" thickBot="1" x14ac:dyDescent="0.3">
      <c r="B833" s="22" t="s">
        <v>4224</v>
      </c>
      <c r="C833" s="48" t="s">
        <v>4225</v>
      </c>
      <c r="D833" s="29"/>
      <c r="E833" s="30" t="s">
        <v>3762</v>
      </c>
      <c r="F833" s="30" t="s">
        <v>4211</v>
      </c>
      <c r="G833" s="30" t="s">
        <v>4226</v>
      </c>
      <c r="H833" s="30" t="s">
        <v>1627</v>
      </c>
      <c r="I833" s="49">
        <v>200</v>
      </c>
      <c r="J833" s="50">
        <v>607.91</v>
      </c>
      <c r="K833" s="51">
        <f t="shared" si="19"/>
        <v>121582</v>
      </c>
    </row>
    <row r="834" spans="2:11" ht="13.5" thickBot="1" x14ac:dyDescent="0.3">
      <c r="B834" s="22" t="s">
        <v>4227</v>
      </c>
      <c r="C834" s="88">
        <v>27</v>
      </c>
      <c r="D834" s="52"/>
      <c r="E834" s="89" t="s">
        <v>3762</v>
      </c>
      <c r="F834" s="89" t="s">
        <v>2843</v>
      </c>
      <c r="G834" s="89"/>
      <c r="H834" s="89" t="s">
        <v>1528</v>
      </c>
      <c r="I834" s="90"/>
      <c r="J834" s="91"/>
      <c r="K834" s="92"/>
    </row>
    <row r="835" spans="2:11" x14ac:dyDescent="0.25">
      <c r="B835" s="22" t="s">
        <v>4228</v>
      </c>
      <c r="C835" s="40" t="s">
        <v>4229</v>
      </c>
      <c r="D835" s="17" t="s">
        <v>2936</v>
      </c>
      <c r="E835" s="18" t="s">
        <v>3762</v>
      </c>
      <c r="F835" s="18" t="s">
        <v>2843</v>
      </c>
      <c r="G835" s="18" t="s">
        <v>4230</v>
      </c>
      <c r="H835" s="18" t="s">
        <v>1361</v>
      </c>
      <c r="I835" s="41">
        <v>6000</v>
      </c>
      <c r="J835" s="42">
        <v>47.05</v>
      </c>
      <c r="K835" s="43">
        <f t="shared" si="19"/>
        <v>282300</v>
      </c>
    </row>
    <row r="836" spans="2:11" x14ac:dyDescent="0.25">
      <c r="B836" s="22" t="s">
        <v>4231</v>
      </c>
      <c r="C836" s="44" t="s">
        <v>4232</v>
      </c>
      <c r="D836" s="23">
        <v>39260102</v>
      </c>
      <c r="E836" s="24" t="s">
        <v>3762</v>
      </c>
      <c r="F836" s="24" t="s">
        <v>2843</v>
      </c>
      <c r="G836" s="24" t="s">
        <v>4233</v>
      </c>
      <c r="H836" s="24" t="s">
        <v>1361</v>
      </c>
      <c r="I836" s="45">
        <v>1040</v>
      </c>
      <c r="J836" s="46">
        <v>31.75</v>
      </c>
      <c r="K836" s="47">
        <f t="shared" si="19"/>
        <v>33020</v>
      </c>
    </row>
    <row r="837" spans="2:11" x14ac:dyDescent="0.25">
      <c r="B837" s="22" t="s">
        <v>4234</v>
      </c>
      <c r="C837" s="44" t="s">
        <v>4235</v>
      </c>
      <c r="D837" s="23">
        <v>39260101</v>
      </c>
      <c r="E837" s="24" t="s">
        <v>3762</v>
      </c>
      <c r="F837" s="24" t="s">
        <v>2843</v>
      </c>
      <c r="G837" s="24" t="s">
        <v>4236</v>
      </c>
      <c r="H837" s="24" t="s">
        <v>1361</v>
      </c>
      <c r="I837" s="45">
        <v>7800</v>
      </c>
      <c r="J837" s="46">
        <v>15.88</v>
      </c>
      <c r="K837" s="47">
        <f t="shared" si="19"/>
        <v>123864</v>
      </c>
    </row>
    <row r="838" spans="2:11" x14ac:dyDescent="0.25">
      <c r="B838" s="22" t="s">
        <v>4237</v>
      </c>
      <c r="C838" s="44" t="s">
        <v>4238</v>
      </c>
      <c r="D838" s="23">
        <v>392608</v>
      </c>
      <c r="E838" s="24" t="s">
        <v>3762</v>
      </c>
      <c r="F838" s="24" t="s">
        <v>2843</v>
      </c>
      <c r="G838" s="24" t="s">
        <v>3710</v>
      </c>
      <c r="H838" s="24" t="s">
        <v>1361</v>
      </c>
      <c r="I838" s="45">
        <v>115200</v>
      </c>
      <c r="J838" s="46">
        <v>23.95</v>
      </c>
      <c r="K838" s="47">
        <f t="shared" si="19"/>
        <v>2759040</v>
      </c>
    </row>
    <row r="839" spans="2:11" x14ac:dyDescent="0.25">
      <c r="B839" s="22" t="s">
        <v>4239</v>
      </c>
      <c r="C839" s="44" t="s">
        <v>4240</v>
      </c>
      <c r="D839" s="23">
        <v>392606</v>
      </c>
      <c r="E839" s="24" t="s">
        <v>3762</v>
      </c>
      <c r="F839" s="24" t="s">
        <v>2843</v>
      </c>
      <c r="G839" s="24" t="s">
        <v>4241</v>
      </c>
      <c r="H839" s="24" t="s">
        <v>1361</v>
      </c>
      <c r="I839" s="45">
        <v>7800</v>
      </c>
      <c r="J839" s="46">
        <v>12.69</v>
      </c>
      <c r="K839" s="47">
        <f t="shared" si="19"/>
        <v>98982</v>
      </c>
    </row>
    <row r="840" spans="2:11" x14ac:dyDescent="0.25">
      <c r="B840" s="22" t="s">
        <v>4242</v>
      </c>
      <c r="C840" s="44" t="s">
        <v>4243</v>
      </c>
      <c r="D840" s="23">
        <v>39882608</v>
      </c>
      <c r="E840" s="24" t="s">
        <v>3762</v>
      </c>
      <c r="F840" s="24" t="s">
        <v>2843</v>
      </c>
      <c r="G840" s="24" t="s">
        <v>4244</v>
      </c>
      <c r="H840" s="24" t="s">
        <v>1361</v>
      </c>
      <c r="I840" s="45">
        <v>1500</v>
      </c>
      <c r="J840" s="46">
        <v>37.6</v>
      </c>
      <c r="K840" s="47">
        <f t="shared" si="19"/>
        <v>56400</v>
      </c>
    </row>
    <row r="841" spans="2:11" x14ac:dyDescent="0.25">
      <c r="B841" s="22" t="s">
        <v>4245</v>
      </c>
      <c r="C841" s="44" t="s">
        <v>4246</v>
      </c>
      <c r="D841" s="23">
        <v>392603</v>
      </c>
      <c r="E841" s="24" t="s">
        <v>3762</v>
      </c>
      <c r="F841" s="24" t="s">
        <v>2843</v>
      </c>
      <c r="G841" s="24" t="s">
        <v>4247</v>
      </c>
      <c r="H841" s="24" t="s">
        <v>1361</v>
      </c>
      <c r="I841" s="45">
        <v>9600</v>
      </c>
      <c r="J841" s="46">
        <v>5.0599999999999996</v>
      </c>
      <c r="K841" s="47">
        <f t="shared" si="19"/>
        <v>48575.999999999993</v>
      </c>
    </row>
    <row r="842" spans="2:11" x14ac:dyDescent="0.25">
      <c r="B842" s="22" t="s">
        <v>4248</v>
      </c>
      <c r="C842" s="44" t="s">
        <v>4249</v>
      </c>
      <c r="D842" s="23">
        <v>392611</v>
      </c>
      <c r="E842" s="24" t="s">
        <v>3762</v>
      </c>
      <c r="F842" s="24" t="s">
        <v>2843</v>
      </c>
      <c r="G842" s="24" t="s">
        <v>4250</v>
      </c>
      <c r="H842" s="24" t="s">
        <v>1361</v>
      </c>
      <c r="I842" s="45">
        <v>180000</v>
      </c>
      <c r="J842" s="46">
        <v>60.25</v>
      </c>
      <c r="K842" s="47">
        <f t="shared" si="19"/>
        <v>10845000</v>
      </c>
    </row>
    <row r="843" spans="2:11" x14ac:dyDescent="0.25">
      <c r="B843" s="22" t="s">
        <v>4251</v>
      </c>
      <c r="C843" s="44" t="s">
        <v>4252</v>
      </c>
      <c r="D843" s="23" t="s">
        <v>4253</v>
      </c>
      <c r="E843" s="24" t="s">
        <v>3762</v>
      </c>
      <c r="F843" s="24" t="s">
        <v>2843</v>
      </c>
      <c r="G843" s="24" t="s">
        <v>4254</v>
      </c>
      <c r="H843" s="24" t="s">
        <v>1361</v>
      </c>
      <c r="I843" s="45">
        <v>7200</v>
      </c>
      <c r="J843" s="46">
        <v>200.08</v>
      </c>
      <c r="K843" s="47">
        <f t="shared" si="19"/>
        <v>1440576</v>
      </c>
    </row>
    <row r="844" spans="2:11" x14ac:dyDescent="0.25">
      <c r="B844" s="22" t="s">
        <v>4255</v>
      </c>
      <c r="C844" s="44" t="s">
        <v>4256</v>
      </c>
      <c r="D844" s="23" t="s">
        <v>3064</v>
      </c>
      <c r="E844" s="24" t="s">
        <v>3762</v>
      </c>
      <c r="F844" s="24" t="s">
        <v>2843</v>
      </c>
      <c r="G844" s="24" t="s">
        <v>4257</v>
      </c>
      <c r="H844" s="24" t="s">
        <v>1361</v>
      </c>
      <c r="I844" s="45">
        <v>7200</v>
      </c>
      <c r="J844" s="46">
        <v>200.08</v>
      </c>
      <c r="K844" s="47">
        <f t="shared" si="19"/>
        <v>1440576</v>
      </c>
    </row>
    <row r="845" spans="2:11" x14ac:dyDescent="0.25">
      <c r="B845" s="22" t="s">
        <v>4258</v>
      </c>
      <c r="C845" s="44" t="s">
        <v>4259</v>
      </c>
      <c r="D845" s="23">
        <v>380608</v>
      </c>
      <c r="E845" s="24" t="s">
        <v>3762</v>
      </c>
      <c r="F845" s="24" t="s">
        <v>2843</v>
      </c>
      <c r="G845" s="24" t="s">
        <v>4260</v>
      </c>
      <c r="H845" s="24" t="s">
        <v>1361</v>
      </c>
      <c r="I845" s="45">
        <v>7200</v>
      </c>
      <c r="J845" s="46">
        <v>50.29</v>
      </c>
      <c r="K845" s="47">
        <f t="shared" si="19"/>
        <v>362088</v>
      </c>
    </row>
    <row r="846" spans="2:11" x14ac:dyDescent="0.25">
      <c r="B846" s="22" t="s">
        <v>4261</v>
      </c>
      <c r="C846" s="44" t="s">
        <v>4262</v>
      </c>
      <c r="D846" s="23">
        <v>380612</v>
      </c>
      <c r="E846" s="24" t="s">
        <v>3762</v>
      </c>
      <c r="F846" s="24" t="s">
        <v>2843</v>
      </c>
      <c r="G846" s="24" t="s">
        <v>4263</v>
      </c>
      <c r="H846" s="24" t="s">
        <v>1361</v>
      </c>
      <c r="I846" s="45">
        <v>12000</v>
      </c>
      <c r="J846" s="46">
        <v>69.09</v>
      </c>
      <c r="K846" s="47">
        <f t="shared" si="19"/>
        <v>829080</v>
      </c>
    </row>
    <row r="847" spans="2:11" x14ac:dyDescent="0.25">
      <c r="B847" s="22" t="s">
        <v>4264</v>
      </c>
      <c r="C847" s="44" t="s">
        <v>4265</v>
      </c>
      <c r="D847" s="23">
        <v>380604</v>
      </c>
      <c r="E847" s="24" t="s">
        <v>3762</v>
      </c>
      <c r="F847" s="24" t="s">
        <v>2843</v>
      </c>
      <c r="G847" s="24" t="s">
        <v>4266</v>
      </c>
      <c r="H847" s="24" t="s">
        <v>1361</v>
      </c>
      <c r="I847" s="45">
        <v>4800</v>
      </c>
      <c r="J847" s="46">
        <v>33.22</v>
      </c>
      <c r="K847" s="47">
        <f t="shared" si="19"/>
        <v>159456</v>
      </c>
    </row>
    <row r="848" spans="2:11" x14ac:dyDescent="0.25">
      <c r="B848" s="22" t="s">
        <v>4267</v>
      </c>
      <c r="C848" s="44" t="s">
        <v>4268</v>
      </c>
      <c r="D848" s="23">
        <v>38880612</v>
      </c>
      <c r="E848" s="24" t="s">
        <v>3762</v>
      </c>
      <c r="F848" s="24" t="s">
        <v>2843</v>
      </c>
      <c r="G848" s="24" t="s">
        <v>4269</v>
      </c>
      <c r="H848" s="24" t="s">
        <v>2764</v>
      </c>
      <c r="I848" s="45">
        <v>50</v>
      </c>
      <c r="J848" s="46">
        <v>103.64</v>
      </c>
      <c r="K848" s="47">
        <f t="shared" si="19"/>
        <v>5182</v>
      </c>
    </row>
    <row r="849" spans="2:11" x14ac:dyDescent="0.25">
      <c r="B849" s="22" t="s">
        <v>4270</v>
      </c>
      <c r="C849" s="44" t="s">
        <v>4271</v>
      </c>
      <c r="D849" s="23">
        <v>38880604</v>
      </c>
      <c r="E849" s="24" t="s">
        <v>3762</v>
      </c>
      <c r="F849" s="24" t="s">
        <v>2843</v>
      </c>
      <c r="G849" s="24" t="s">
        <v>4272</v>
      </c>
      <c r="H849" s="24" t="s">
        <v>2764</v>
      </c>
      <c r="I849" s="45">
        <v>50</v>
      </c>
      <c r="J849" s="46">
        <v>49.84</v>
      </c>
      <c r="K849" s="47">
        <f t="shared" si="19"/>
        <v>2492</v>
      </c>
    </row>
    <row r="850" spans="2:11" x14ac:dyDescent="0.25">
      <c r="B850" s="22" t="s">
        <v>4273</v>
      </c>
      <c r="C850" s="44" t="s">
        <v>4274</v>
      </c>
      <c r="D850" s="23" t="s">
        <v>3153</v>
      </c>
      <c r="E850" s="24" t="s">
        <v>3762</v>
      </c>
      <c r="F850" s="24" t="s">
        <v>2843</v>
      </c>
      <c r="G850" s="24" t="s">
        <v>3154</v>
      </c>
      <c r="H850" s="24" t="s">
        <v>2983</v>
      </c>
      <c r="I850" s="45">
        <v>720</v>
      </c>
      <c r="J850" s="46">
        <v>209.6</v>
      </c>
      <c r="K850" s="47">
        <f t="shared" si="19"/>
        <v>150912</v>
      </c>
    </row>
    <row r="851" spans="2:11" x14ac:dyDescent="0.25">
      <c r="B851" s="22" t="s">
        <v>4275</v>
      </c>
      <c r="C851" s="44" t="s">
        <v>4276</v>
      </c>
      <c r="D851" s="23"/>
      <c r="E851" s="24" t="s">
        <v>3762</v>
      </c>
      <c r="F851" s="24" t="s">
        <v>2843</v>
      </c>
      <c r="G851" s="24" t="s">
        <v>3167</v>
      </c>
      <c r="H851" s="24" t="s">
        <v>2983</v>
      </c>
      <c r="I851" s="45">
        <v>480</v>
      </c>
      <c r="J851" s="46">
        <v>8026.43</v>
      </c>
      <c r="K851" s="47">
        <f t="shared" si="19"/>
        <v>3852686.4000000004</v>
      </c>
    </row>
    <row r="852" spans="2:11" x14ac:dyDescent="0.25">
      <c r="B852" s="22" t="s">
        <v>4277</v>
      </c>
      <c r="C852" s="44" t="s">
        <v>4278</v>
      </c>
      <c r="D852" s="23" t="s">
        <v>3170</v>
      </c>
      <c r="E852" s="24" t="s">
        <v>3762</v>
      </c>
      <c r="F852" s="24" t="s">
        <v>2843</v>
      </c>
      <c r="G852" s="24" t="s">
        <v>3171</v>
      </c>
      <c r="H852" s="24" t="s">
        <v>2983</v>
      </c>
      <c r="I852" s="45">
        <v>800</v>
      </c>
      <c r="J852" s="46">
        <v>215.16</v>
      </c>
      <c r="K852" s="47">
        <f t="shared" si="19"/>
        <v>172128</v>
      </c>
    </row>
    <row r="853" spans="2:11" ht="13.5" thickBot="1" x14ac:dyDescent="0.3">
      <c r="B853" s="22" t="s">
        <v>4279</v>
      </c>
      <c r="C853" s="48" t="s">
        <v>4280</v>
      </c>
      <c r="D853" s="29"/>
      <c r="E853" s="30" t="s">
        <v>3762</v>
      </c>
      <c r="F853" s="30" t="s">
        <v>2843</v>
      </c>
      <c r="G853" s="30" t="s">
        <v>4281</v>
      </c>
      <c r="H853" s="30" t="s">
        <v>1361</v>
      </c>
      <c r="I853" s="49">
        <v>2400</v>
      </c>
      <c r="J853" s="50">
        <v>612.54</v>
      </c>
      <c r="K853" s="51">
        <f t="shared" si="19"/>
        <v>1470096</v>
      </c>
    </row>
    <row r="854" spans="2:11" ht="13.5" thickBot="1" x14ac:dyDescent="0.3">
      <c r="B854" s="22" t="s">
        <v>4282</v>
      </c>
      <c r="C854" s="88">
        <v>28</v>
      </c>
      <c r="D854" s="52"/>
      <c r="E854" s="89" t="s">
        <v>3762</v>
      </c>
      <c r="F854" s="89" t="s">
        <v>4283</v>
      </c>
      <c r="G854" s="89"/>
      <c r="H854" s="89" t="s">
        <v>1528</v>
      </c>
      <c r="I854" s="90"/>
      <c r="J854" s="91"/>
      <c r="K854" s="92"/>
    </row>
    <row r="855" spans="2:11" x14ac:dyDescent="0.25">
      <c r="B855" s="22" t="s">
        <v>4284</v>
      </c>
      <c r="C855" s="72" t="s">
        <v>4285</v>
      </c>
      <c r="D855" s="73"/>
      <c r="E855" s="74" t="s">
        <v>3762</v>
      </c>
      <c r="F855" s="74" t="s">
        <v>4286</v>
      </c>
      <c r="G855" s="74"/>
      <c r="H855" s="18" t="s">
        <v>3613</v>
      </c>
      <c r="I855" s="41" t="s">
        <v>3613</v>
      </c>
      <c r="J855" s="42" t="s">
        <v>3613</v>
      </c>
      <c r="K855" s="43"/>
    </row>
    <row r="856" spans="2:11" ht="13.5" thickBot="1" x14ac:dyDescent="0.3">
      <c r="B856" s="22" t="s">
        <v>4287</v>
      </c>
      <c r="C856" s="78" t="s">
        <v>4288</v>
      </c>
      <c r="D856" s="79" t="s">
        <v>3683</v>
      </c>
      <c r="E856" s="80" t="s">
        <v>3762</v>
      </c>
      <c r="F856" s="80" t="s">
        <v>4286</v>
      </c>
      <c r="G856" s="80" t="s">
        <v>3684</v>
      </c>
      <c r="H856" s="80" t="s">
        <v>1627</v>
      </c>
      <c r="I856" s="81">
        <v>19200</v>
      </c>
      <c r="J856" s="82">
        <v>70.34</v>
      </c>
      <c r="K856" s="83">
        <f t="shared" si="19"/>
        <v>1350528</v>
      </c>
    </row>
    <row r="857" spans="2:11" ht="13.5" thickBot="1" x14ac:dyDescent="0.3">
      <c r="B857" s="22" t="s">
        <v>4289</v>
      </c>
      <c r="C857" s="99" t="s">
        <v>1469</v>
      </c>
      <c r="D857" s="52">
        <v>25</v>
      </c>
      <c r="E857" s="100" t="s">
        <v>4290</v>
      </c>
      <c r="F857" s="100" t="s">
        <v>1665</v>
      </c>
      <c r="G857" s="100"/>
      <c r="H857" s="100" t="s">
        <v>1528</v>
      </c>
      <c r="I857" s="101"/>
      <c r="J857" s="102"/>
      <c r="K857" s="103"/>
    </row>
    <row r="858" spans="2:11" x14ac:dyDescent="0.25">
      <c r="B858" s="22" t="s">
        <v>4291</v>
      </c>
      <c r="C858" s="40" t="s">
        <v>4292</v>
      </c>
      <c r="D858" s="17" t="s">
        <v>4293</v>
      </c>
      <c r="E858" s="55" t="s">
        <v>4290</v>
      </c>
      <c r="F858" s="18" t="s">
        <v>1665</v>
      </c>
      <c r="G858" s="18" t="s">
        <v>1669</v>
      </c>
      <c r="H858" s="18" t="s">
        <v>1374</v>
      </c>
      <c r="I858" s="41">
        <v>604</v>
      </c>
      <c r="J858" s="42">
        <v>294.37</v>
      </c>
      <c r="K858" s="43">
        <f t="shared" si="19"/>
        <v>177799.48</v>
      </c>
    </row>
    <row r="859" spans="2:11" x14ac:dyDescent="0.25">
      <c r="B859" s="22" t="s">
        <v>4294</v>
      </c>
      <c r="C859" s="44" t="s">
        <v>4295</v>
      </c>
      <c r="D859" s="23" t="s">
        <v>4296</v>
      </c>
      <c r="E859" s="60" t="s">
        <v>4290</v>
      </c>
      <c r="F859" s="24" t="s">
        <v>1665</v>
      </c>
      <c r="G859" s="24" t="s">
        <v>1399</v>
      </c>
      <c r="H859" s="24" t="s">
        <v>1400</v>
      </c>
      <c r="I859" s="45">
        <v>28992</v>
      </c>
      <c r="J859" s="46">
        <v>1.24</v>
      </c>
      <c r="K859" s="47">
        <f t="shared" si="19"/>
        <v>35950.080000000002</v>
      </c>
    </row>
    <row r="860" spans="2:11" x14ac:dyDescent="0.25">
      <c r="B860" s="22" t="s">
        <v>4297</v>
      </c>
      <c r="C860" s="44" t="s">
        <v>4298</v>
      </c>
      <c r="D860" s="23" t="s">
        <v>4299</v>
      </c>
      <c r="E860" s="60" t="s">
        <v>4290</v>
      </c>
      <c r="F860" s="24" t="s">
        <v>1665</v>
      </c>
      <c r="G860" s="24" t="s">
        <v>1413</v>
      </c>
      <c r="H860" s="24" t="s">
        <v>1409</v>
      </c>
      <c r="I860" s="45">
        <v>966.4</v>
      </c>
      <c r="J860" s="46">
        <v>67.5</v>
      </c>
      <c r="K860" s="47">
        <f t="shared" si="19"/>
        <v>65232</v>
      </c>
    </row>
    <row r="861" spans="2:11" x14ac:dyDescent="0.25">
      <c r="B861" s="22" t="s">
        <v>4300</v>
      </c>
      <c r="C861" s="44" t="s">
        <v>4301</v>
      </c>
      <c r="D861" s="23" t="s">
        <v>4302</v>
      </c>
      <c r="E861" s="60" t="s">
        <v>4290</v>
      </c>
      <c r="F861" s="24" t="s">
        <v>1665</v>
      </c>
      <c r="G861" s="24" t="s">
        <v>1428</v>
      </c>
      <c r="H861" s="24" t="s">
        <v>1374</v>
      </c>
      <c r="I861" s="45">
        <v>114240</v>
      </c>
      <c r="J861" s="46">
        <v>4.9000000000000004</v>
      </c>
      <c r="K861" s="47">
        <f t="shared" si="19"/>
        <v>559776</v>
      </c>
    </row>
    <row r="862" spans="2:11" x14ac:dyDescent="0.25">
      <c r="B862" s="22" t="s">
        <v>4303</v>
      </c>
      <c r="C862" s="44" t="s">
        <v>4304</v>
      </c>
      <c r="D862" s="23" t="s">
        <v>4305</v>
      </c>
      <c r="E862" s="60" t="s">
        <v>4290</v>
      </c>
      <c r="F862" s="24" t="s">
        <v>1665</v>
      </c>
      <c r="G862" s="24" t="s">
        <v>1675</v>
      </c>
      <c r="H862" s="24" t="s">
        <v>1374</v>
      </c>
      <c r="I862" s="45">
        <v>246330</v>
      </c>
      <c r="J862" s="46">
        <v>10.66</v>
      </c>
      <c r="K862" s="47">
        <f t="shared" si="19"/>
        <v>2625877.7999999998</v>
      </c>
    </row>
    <row r="863" spans="2:11" x14ac:dyDescent="0.25">
      <c r="B863" s="22" t="s">
        <v>4306</v>
      </c>
      <c r="C863" s="44" t="s">
        <v>4307</v>
      </c>
      <c r="D863" s="23" t="s">
        <v>4308</v>
      </c>
      <c r="E863" s="60" t="s">
        <v>4290</v>
      </c>
      <c r="F863" s="24" t="s">
        <v>1665</v>
      </c>
      <c r="G863" s="24" t="s">
        <v>1482</v>
      </c>
      <c r="H863" s="24" t="s">
        <v>1374</v>
      </c>
      <c r="I863" s="45">
        <v>619290</v>
      </c>
      <c r="J863" s="46">
        <v>2.21</v>
      </c>
      <c r="K863" s="47">
        <f t="shared" si="19"/>
        <v>1368630.9</v>
      </c>
    </row>
    <row r="864" spans="2:11" x14ac:dyDescent="0.25">
      <c r="B864" s="22" t="s">
        <v>4309</v>
      </c>
      <c r="C864" s="44" t="s">
        <v>4310</v>
      </c>
      <c r="D864" s="23" t="s">
        <v>4311</v>
      </c>
      <c r="E864" s="60" t="s">
        <v>4290</v>
      </c>
      <c r="F864" s="24" t="s">
        <v>1665</v>
      </c>
      <c r="G864" s="24" t="s">
        <v>1683</v>
      </c>
      <c r="H864" s="24" t="s">
        <v>1418</v>
      </c>
      <c r="I864" s="45">
        <v>7308000</v>
      </c>
      <c r="J864" s="46">
        <v>0.99</v>
      </c>
      <c r="K864" s="47">
        <f t="shared" si="19"/>
        <v>7234920</v>
      </c>
    </row>
    <row r="865" spans="2:11" x14ac:dyDescent="0.25">
      <c r="B865" s="22" t="s">
        <v>4312</v>
      </c>
      <c r="C865" s="44" t="s">
        <v>4313</v>
      </c>
      <c r="D865" s="23" t="s">
        <v>4314</v>
      </c>
      <c r="E865" s="60" t="s">
        <v>4290</v>
      </c>
      <c r="F865" s="24" t="s">
        <v>1665</v>
      </c>
      <c r="G865" s="24" t="s">
        <v>1687</v>
      </c>
      <c r="H865" s="24" t="s">
        <v>1418</v>
      </c>
      <c r="I865" s="45">
        <v>4026930</v>
      </c>
      <c r="J865" s="46">
        <v>2.41</v>
      </c>
      <c r="K865" s="47">
        <f t="shared" si="19"/>
        <v>9704901.3000000007</v>
      </c>
    </row>
    <row r="866" spans="2:11" x14ac:dyDescent="0.25">
      <c r="B866" s="22" t="s">
        <v>4315</v>
      </c>
      <c r="C866" s="44" t="s">
        <v>4316</v>
      </c>
      <c r="D866" s="23" t="s">
        <v>4317</v>
      </c>
      <c r="E866" s="60" t="s">
        <v>4290</v>
      </c>
      <c r="F866" s="24" t="s">
        <v>1665</v>
      </c>
      <c r="G866" s="24" t="s">
        <v>1693</v>
      </c>
      <c r="H866" s="24" t="s">
        <v>1374</v>
      </c>
      <c r="I866" s="45">
        <v>46620</v>
      </c>
      <c r="J866" s="46">
        <v>101.3</v>
      </c>
      <c r="K866" s="47">
        <f t="shared" si="19"/>
        <v>4722606</v>
      </c>
    </row>
    <row r="867" spans="2:11" x14ac:dyDescent="0.25">
      <c r="B867" s="22" t="s">
        <v>4318</v>
      </c>
      <c r="C867" s="44" t="s">
        <v>4319</v>
      </c>
      <c r="D867" s="23" t="s">
        <v>4320</v>
      </c>
      <c r="E867" s="60" t="s">
        <v>4290</v>
      </c>
      <c r="F867" s="24" t="s">
        <v>1665</v>
      </c>
      <c r="G867" s="24" t="s">
        <v>1701</v>
      </c>
      <c r="H867" s="24" t="s">
        <v>1374</v>
      </c>
      <c r="I867" s="45">
        <v>1568</v>
      </c>
      <c r="J867" s="46">
        <v>131.19</v>
      </c>
      <c r="K867" s="47">
        <f t="shared" si="19"/>
        <v>205705.91999999998</v>
      </c>
    </row>
    <row r="868" spans="2:11" x14ac:dyDescent="0.25">
      <c r="B868" s="22" t="s">
        <v>4321</v>
      </c>
      <c r="C868" s="44" t="s">
        <v>4322</v>
      </c>
      <c r="D868" s="23" t="s">
        <v>4323</v>
      </c>
      <c r="E868" s="60" t="s">
        <v>4290</v>
      </c>
      <c r="F868" s="24" t="s">
        <v>1665</v>
      </c>
      <c r="G868" s="24" t="s">
        <v>1705</v>
      </c>
      <c r="H868" s="24" t="s">
        <v>1383</v>
      </c>
      <c r="I868" s="45">
        <v>23310</v>
      </c>
      <c r="J868" s="46">
        <v>16.95</v>
      </c>
      <c r="K868" s="47">
        <f t="shared" si="19"/>
        <v>395104.5</v>
      </c>
    </row>
    <row r="869" spans="2:11" x14ac:dyDescent="0.25">
      <c r="B869" s="22" t="s">
        <v>4324</v>
      </c>
      <c r="C869" s="44" t="s">
        <v>4325</v>
      </c>
      <c r="D869" s="23" t="s">
        <v>4326</v>
      </c>
      <c r="E869" s="60" t="s">
        <v>4290</v>
      </c>
      <c r="F869" s="24" t="s">
        <v>1665</v>
      </c>
      <c r="G869" s="24" t="s">
        <v>1709</v>
      </c>
      <c r="H869" s="24" t="s">
        <v>1361</v>
      </c>
      <c r="I869" s="45">
        <v>9114</v>
      </c>
      <c r="J869" s="46">
        <v>44.53</v>
      </c>
      <c r="K869" s="47">
        <f t="shared" si="19"/>
        <v>405846.42</v>
      </c>
    </row>
    <row r="870" spans="2:11" x14ac:dyDescent="0.25">
      <c r="B870" s="22" t="s">
        <v>4327</v>
      </c>
      <c r="C870" s="44" t="s">
        <v>4328</v>
      </c>
      <c r="D870" s="23" t="s">
        <v>4329</v>
      </c>
      <c r="E870" s="60" t="s">
        <v>4290</v>
      </c>
      <c r="F870" s="24" t="s">
        <v>1665</v>
      </c>
      <c r="G870" s="24" t="s">
        <v>1713</v>
      </c>
      <c r="H870" s="24" t="s">
        <v>1627</v>
      </c>
      <c r="I870" s="45">
        <v>220</v>
      </c>
      <c r="J870" s="46">
        <v>334.46</v>
      </c>
      <c r="K870" s="47">
        <f t="shared" si="19"/>
        <v>73581.2</v>
      </c>
    </row>
    <row r="871" spans="2:11" x14ac:dyDescent="0.25">
      <c r="B871" s="22" t="s">
        <v>4330</v>
      </c>
      <c r="C871" s="44" t="s">
        <v>4331</v>
      </c>
      <c r="D871" s="23" t="s">
        <v>4332</v>
      </c>
      <c r="E871" s="60" t="s">
        <v>4290</v>
      </c>
      <c r="F871" s="24" t="s">
        <v>1665</v>
      </c>
      <c r="G871" s="24" t="s">
        <v>4333</v>
      </c>
      <c r="H871" s="24" t="s">
        <v>1361</v>
      </c>
      <c r="I871" s="45">
        <v>15680</v>
      </c>
      <c r="J871" s="46">
        <v>35.42</v>
      </c>
      <c r="K871" s="47">
        <f t="shared" ref="K871:K891" si="20">I871*J871</f>
        <v>555385.59999999998</v>
      </c>
    </row>
    <row r="872" spans="2:11" x14ac:dyDescent="0.25">
      <c r="B872" s="22" t="s">
        <v>4334</v>
      </c>
      <c r="C872" s="44" t="s">
        <v>4335</v>
      </c>
      <c r="D872" s="23" t="s">
        <v>4336</v>
      </c>
      <c r="E872" s="60" t="s">
        <v>4290</v>
      </c>
      <c r="F872" s="24" t="s">
        <v>1665</v>
      </c>
      <c r="G872" s="24" t="s">
        <v>1721</v>
      </c>
      <c r="H872" s="24" t="s">
        <v>1627</v>
      </c>
      <c r="I872" s="45">
        <v>6</v>
      </c>
      <c r="J872" s="46">
        <v>10475.85</v>
      </c>
      <c r="K872" s="47">
        <f t="shared" si="20"/>
        <v>62855.100000000006</v>
      </c>
    </row>
    <row r="873" spans="2:11" x14ac:dyDescent="0.25">
      <c r="B873" s="22" t="s">
        <v>4337</v>
      </c>
      <c r="C873" s="44" t="s">
        <v>4338</v>
      </c>
      <c r="D873" s="23" t="s">
        <v>4339</v>
      </c>
      <c r="E873" s="60" t="s">
        <v>4290</v>
      </c>
      <c r="F873" s="24" t="s">
        <v>1665</v>
      </c>
      <c r="G873" s="24" t="s">
        <v>1725</v>
      </c>
      <c r="H873" s="24" t="s">
        <v>1361</v>
      </c>
      <c r="I873" s="45">
        <v>9114</v>
      </c>
      <c r="J873" s="46">
        <v>114.75</v>
      </c>
      <c r="K873" s="47">
        <f t="shared" si="20"/>
        <v>1045831.5</v>
      </c>
    </row>
    <row r="874" spans="2:11" x14ac:dyDescent="0.25">
      <c r="B874" s="22" t="s">
        <v>4340</v>
      </c>
      <c r="C874" s="44" t="s">
        <v>4341</v>
      </c>
      <c r="D874" s="23" t="s">
        <v>4342</v>
      </c>
      <c r="E874" s="60" t="s">
        <v>4290</v>
      </c>
      <c r="F874" s="24" t="s">
        <v>1665</v>
      </c>
      <c r="G874" s="24" t="s">
        <v>1729</v>
      </c>
      <c r="H874" s="24" t="s">
        <v>1627</v>
      </c>
      <c r="I874" s="45">
        <v>20</v>
      </c>
      <c r="J874" s="46">
        <v>31671</v>
      </c>
      <c r="K874" s="47">
        <f t="shared" si="20"/>
        <v>633420</v>
      </c>
    </row>
    <row r="875" spans="2:11" x14ac:dyDescent="0.25">
      <c r="B875" s="22" t="s">
        <v>4343</v>
      </c>
      <c r="C875" s="44" t="s">
        <v>4344</v>
      </c>
      <c r="D875" s="23" t="s">
        <v>4345</v>
      </c>
      <c r="E875" s="60" t="s">
        <v>4290</v>
      </c>
      <c r="F875" s="24" t="s">
        <v>1665</v>
      </c>
      <c r="G875" s="24" t="s">
        <v>1536</v>
      </c>
      <c r="H875" s="24" t="s">
        <v>1374</v>
      </c>
      <c r="I875" s="45">
        <v>376582</v>
      </c>
      <c r="J875" s="46">
        <v>10.92</v>
      </c>
      <c r="K875" s="47">
        <f t="shared" si="20"/>
        <v>4112275.44</v>
      </c>
    </row>
    <row r="876" spans="2:11" x14ac:dyDescent="0.25">
      <c r="B876" s="22" t="s">
        <v>4346</v>
      </c>
      <c r="C876" s="44" t="s">
        <v>4347</v>
      </c>
      <c r="D876" s="23" t="s">
        <v>4348</v>
      </c>
      <c r="E876" s="60" t="s">
        <v>4290</v>
      </c>
      <c r="F876" s="24" t="s">
        <v>1665</v>
      </c>
      <c r="G876" s="24" t="s">
        <v>1552</v>
      </c>
      <c r="H876" s="24" t="s">
        <v>1383</v>
      </c>
      <c r="I876" s="45">
        <v>6036</v>
      </c>
      <c r="J876" s="46">
        <v>80.069999999999993</v>
      </c>
      <c r="K876" s="47">
        <f t="shared" si="20"/>
        <v>483302.51999999996</v>
      </c>
    </row>
    <row r="877" spans="2:11" x14ac:dyDescent="0.25">
      <c r="B877" s="22" t="s">
        <v>4349</v>
      </c>
      <c r="C877" s="44" t="s">
        <v>4350</v>
      </c>
      <c r="D877" s="23" t="s">
        <v>4351</v>
      </c>
      <c r="E877" s="60" t="s">
        <v>4290</v>
      </c>
      <c r="F877" s="24" t="s">
        <v>1665</v>
      </c>
      <c r="G877" s="24" t="s">
        <v>1556</v>
      </c>
      <c r="H877" s="24" t="s">
        <v>1557</v>
      </c>
      <c r="I877" s="45">
        <v>7193820</v>
      </c>
      <c r="J877" s="46">
        <v>8.52</v>
      </c>
      <c r="K877" s="47">
        <f t="shared" si="20"/>
        <v>61291346.399999999</v>
      </c>
    </row>
    <row r="878" spans="2:11" x14ac:dyDescent="0.25">
      <c r="B878" s="22" t="s">
        <v>4352</v>
      </c>
      <c r="C878" s="44" t="s">
        <v>4353</v>
      </c>
      <c r="D878" s="23" t="s">
        <v>4354</v>
      </c>
      <c r="E878" s="60" t="s">
        <v>4290</v>
      </c>
      <c r="F878" s="24" t="s">
        <v>1665</v>
      </c>
      <c r="G878" s="24" t="s">
        <v>1746</v>
      </c>
      <c r="H878" s="24" t="s">
        <v>1557</v>
      </c>
      <c r="I878" s="45">
        <v>11847</v>
      </c>
      <c r="J878" s="46">
        <v>7.38</v>
      </c>
      <c r="K878" s="47">
        <f t="shared" si="20"/>
        <v>87430.86</v>
      </c>
    </row>
    <row r="879" spans="2:11" x14ac:dyDescent="0.25">
      <c r="B879" s="22" t="s">
        <v>4355</v>
      </c>
      <c r="C879" s="44" t="s">
        <v>4356</v>
      </c>
      <c r="D879" s="23" t="s">
        <v>4357</v>
      </c>
      <c r="E879" s="60" t="s">
        <v>4290</v>
      </c>
      <c r="F879" s="24" t="s">
        <v>1665</v>
      </c>
      <c r="G879" s="24" t="s">
        <v>1565</v>
      </c>
      <c r="H879" s="24" t="s">
        <v>1374</v>
      </c>
      <c r="I879" s="45">
        <v>604</v>
      </c>
      <c r="J879" s="46">
        <v>426.19</v>
      </c>
      <c r="K879" s="47">
        <f t="shared" si="20"/>
        <v>257418.76</v>
      </c>
    </row>
    <row r="880" spans="2:11" x14ac:dyDescent="0.25">
      <c r="B880" s="22" t="s">
        <v>4358</v>
      </c>
      <c r="C880" s="44" t="s">
        <v>4359</v>
      </c>
      <c r="D880" s="23" t="s">
        <v>4360</v>
      </c>
      <c r="E880" s="60" t="s">
        <v>4290</v>
      </c>
      <c r="F880" s="24" t="s">
        <v>1665</v>
      </c>
      <c r="G880" s="24" t="s">
        <v>1569</v>
      </c>
      <c r="H880" s="24" t="s">
        <v>1374</v>
      </c>
      <c r="I880" s="45">
        <v>85720.8</v>
      </c>
      <c r="J880" s="46">
        <v>455.28</v>
      </c>
      <c r="K880" s="47">
        <f t="shared" si="20"/>
        <v>39026965.824000001</v>
      </c>
    </row>
    <row r="881" spans="2:11" x14ac:dyDescent="0.25">
      <c r="B881" s="22" t="s">
        <v>4361</v>
      </c>
      <c r="C881" s="44" t="s">
        <v>4362</v>
      </c>
      <c r="D881" s="23" t="s">
        <v>4363</v>
      </c>
      <c r="E881" s="60" t="s">
        <v>4290</v>
      </c>
      <c r="F881" s="24" t="s">
        <v>1665</v>
      </c>
      <c r="G881" s="24" t="s">
        <v>1756</v>
      </c>
      <c r="H881" s="24" t="s">
        <v>1557</v>
      </c>
      <c r="I881" s="45">
        <v>1119435</v>
      </c>
      <c r="J881" s="46">
        <v>10.69</v>
      </c>
      <c r="K881" s="47">
        <f t="shared" si="20"/>
        <v>11966760.15</v>
      </c>
    </row>
    <row r="882" spans="2:11" x14ac:dyDescent="0.25">
      <c r="B882" s="22" t="s">
        <v>4364</v>
      </c>
      <c r="C882" s="44" t="s">
        <v>4365</v>
      </c>
      <c r="D882" s="23" t="s">
        <v>4366</v>
      </c>
      <c r="E882" s="60" t="s">
        <v>4290</v>
      </c>
      <c r="F882" s="24" t="s">
        <v>1665</v>
      </c>
      <c r="G882" s="24" t="s">
        <v>1760</v>
      </c>
      <c r="H882" s="24" t="s">
        <v>1557</v>
      </c>
      <c r="I882" s="45">
        <v>224865</v>
      </c>
      <c r="J882" s="46">
        <v>10.89</v>
      </c>
      <c r="K882" s="47">
        <f t="shared" si="20"/>
        <v>2448779.85</v>
      </c>
    </row>
    <row r="883" spans="2:11" x14ac:dyDescent="0.25">
      <c r="B883" s="22" t="s">
        <v>4367</v>
      </c>
      <c r="C883" s="44" t="s">
        <v>4368</v>
      </c>
      <c r="D883" s="23" t="s">
        <v>4369</v>
      </c>
      <c r="E883" s="60" t="s">
        <v>4290</v>
      </c>
      <c r="F883" s="24" t="s">
        <v>1665</v>
      </c>
      <c r="G883" s="24" t="s">
        <v>1764</v>
      </c>
      <c r="H883" s="24" t="s">
        <v>1361</v>
      </c>
      <c r="I883" s="45">
        <v>250</v>
      </c>
      <c r="J883" s="46">
        <v>4830</v>
      </c>
      <c r="K883" s="47">
        <f t="shared" si="20"/>
        <v>1207500</v>
      </c>
    </row>
    <row r="884" spans="2:11" x14ac:dyDescent="0.25">
      <c r="B884" s="22" t="s">
        <v>4370</v>
      </c>
      <c r="C884" s="44" t="s">
        <v>4371</v>
      </c>
      <c r="D884" s="23" t="s">
        <v>4372</v>
      </c>
      <c r="E884" s="60" t="s">
        <v>4290</v>
      </c>
      <c r="F884" s="24" t="s">
        <v>1665</v>
      </c>
      <c r="G884" s="24" t="s">
        <v>4373</v>
      </c>
      <c r="H884" s="24" t="s">
        <v>1374</v>
      </c>
      <c r="I884" s="45">
        <v>55767</v>
      </c>
      <c r="J884" s="46">
        <v>471</v>
      </c>
      <c r="K884" s="47">
        <f t="shared" si="20"/>
        <v>26266257</v>
      </c>
    </row>
    <row r="885" spans="2:11" x14ac:dyDescent="0.25">
      <c r="B885" s="22" t="s">
        <v>4374</v>
      </c>
      <c r="C885" s="44" t="s">
        <v>4375</v>
      </c>
      <c r="D885" s="23" t="s">
        <v>4376</v>
      </c>
      <c r="E885" s="60" t="s">
        <v>4290</v>
      </c>
      <c r="F885" s="24" t="s">
        <v>1665</v>
      </c>
      <c r="G885" s="24" t="s">
        <v>4377</v>
      </c>
      <c r="H885" s="24" t="s">
        <v>1374</v>
      </c>
      <c r="I885" s="45">
        <v>21112.2</v>
      </c>
      <c r="J885" s="46">
        <v>3090</v>
      </c>
      <c r="K885" s="47">
        <f t="shared" si="20"/>
        <v>65236698</v>
      </c>
    </row>
    <row r="886" spans="2:11" x14ac:dyDescent="0.25">
      <c r="B886" s="22" t="s">
        <v>4378</v>
      </c>
      <c r="C886" s="44" t="s">
        <v>4379</v>
      </c>
      <c r="D886" s="23" t="s">
        <v>2819</v>
      </c>
      <c r="E886" s="60" t="s">
        <v>4290</v>
      </c>
      <c r="F886" s="24" t="s">
        <v>1665</v>
      </c>
      <c r="G886" s="24" t="s">
        <v>1784</v>
      </c>
      <c r="H886" s="24" t="s">
        <v>1361</v>
      </c>
      <c r="I886" s="45">
        <v>176000</v>
      </c>
      <c r="J886" s="46">
        <v>49.95</v>
      </c>
      <c r="K886" s="47">
        <f t="shared" si="20"/>
        <v>8791200</v>
      </c>
    </row>
    <row r="887" spans="2:11" ht="13.5" thickBot="1" x14ac:dyDescent="0.3">
      <c r="B887" s="22" t="s">
        <v>4380</v>
      </c>
      <c r="C887" s="78" t="s">
        <v>4381</v>
      </c>
      <c r="D887" s="79" t="s">
        <v>2822</v>
      </c>
      <c r="E887" s="104" t="s">
        <v>4290</v>
      </c>
      <c r="F887" s="80" t="s">
        <v>1665</v>
      </c>
      <c r="G887" s="80" t="s">
        <v>1788</v>
      </c>
      <c r="H887" s="80" t="s">
        <v>1361</v>
      </c>
      <c r="I887" s="81">
        <v>27500</v>
      </c>
      <c r="J887" s="82">
        <v>618.6</v>
      </c>
      <c r="K887" s="83">
        <f t="shared" si="20"/>
        <v>17011500</v>
      </c>
    </row>
    <row r="888" spans="2:11" ht="13.5" thickBot="1" x14ac:dyDescent="0.3">
      <c r="B888" s="22" t="s">
        <v>4382</v>
      </c>
      <c r="C888" s="105" t="s">
        <v>1473</v>
      </c>
      <c r="D888" s="52">
        <v>36</v>
      </c>
      <c r="E888" s="106" t="s">
        <v>4383</v>
      </c>
      <c r="F888" s="106" t="s">
        <v>4383</v>
      </c>
      <c r="G888" s="106"/>
      <c r="H888" s="106" t="s">
        <v>1528</v>
      </c>
      <c r="I888" s="107"/>
      <c r="J888" s="108"/>
      <c r="K888" s="109"/>
    </row>
    <row r="889" spans="2:11" x14ac:dyDescent="0.25">
      <c r="B889" s="22" t="s">
        <v>4384</v>
      </c>
      <c r="C889" s="40" t="s">
        <v>4385</v>
      </c>
      <c r="D889" s="17" t="s">
        <v>4386</v>
      </c>
      <c r="E889" s="55" t="s">
        <v>4383</v>
      </c>
      <c r="F889" s="55" t="s">
        <v>4383</v>
      </c>
      <c r="G889" s="18" t="s">
        <v>4387</v>
      </c>
      <c r="H889" s="18" t="s">
        <v>3372</v>
      </c>
      <c r="I889" s="41">
        <v>1</v>
      </c>
      <c r="J889" s="42">
        <v>27063472.620000001</v>
      </c>
      <c r="K889" s="43">
        <f t="shared" si="20"/>
        <v>27063472.620000001</v>
      </c>
    </row>
    <row r="890" spans="2:11" x14ac:dyDescent="0.25">
      <c r="B890" s="22" t="s">
        <v>4388</v>
      </c>
      <c r="C890" s="44" t="s">
        <v>4389</v>
      </c>
      <c r="D890" s="23" t="s">
        <v>4390</v>
      </c>
      <c r="E890" s="60" t="s">
        <v>4383</v>
      </c>
      <c r="F890" s="60" t="s">
        <v>4383</v>
      </c>
      <c r="G890" s="24" t="s">
        <v>4391</v>
      </c>
      <c r="H890" s="24" t="s">
        <v>3372</v>
      </c>
      <c r="I890" s="45">
        <v>1</v>
      </c>
      <c r="J890" s="46">
        <v>15787025.689999999</v>
      </c>
      <c r="K890" s="47">
        <f t="shared" si="20"/>
        <v>15787025.689999999</v>
      </c>
    </row>
    <row r="891" spans="2:11" ht="13.5" thickBot="1" x14ac:dyDescent="0.3">
      <c r="B891" s="22" t="s">
        <v>4392</v>
      </c>
      <c r="C891" s="78" t="s">
        <v>4393</v>
      </c>
      <c r="D891" s="79" t="s">
        <v>4394</v>
      </c>
      <c r="E891" s="104" t="s">
        <v>4383</v>
      </c>
      <c r="F891" s="104" t="s">
        <v>4383</v>
      </c>
      <c r="G891" s="80" t="s">
        <v>4395</v>
      </c>
      <c r="H891" s="80" t="s">
        <v>3372</v>
      </c>
      <c r="I891" s="81">
        <v>1</v>
      </c>
      <c r="J891" s="82">
        <v>2255289.38</v>
      </c>
      <c r="K891" s="83">
        <f t="shared" si="20"/>
        <v>2255289.38</v>
      </c>
    </row>
    <row r="892" spans="2:11" x14ac:dyDescent="0.25">
      <c r="H892" s="9"/>
    </row>
    <row r="893" spans="2:11" x14ac:dyDescent="0.25">
      <c r="K893" s="87">
        <f>SUM(K2:K892)</f>
        <v>1894903770.0184002</v>
      </c>
    </row>
    <row r="894" spans="2:11" x14ac:dyDescent="0.25">
      <c r="K894" s="111"/>
    </row>
  </sheetData>
  <autoFilter ref="C1:K891"/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91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829" sqref="A829"/>
    </sheetView>
  </sheetViews>
  <sheetFormatPr defaultRowHeight="15" x14ac:dyDescent="0.25"/>
  <cols>
    <col min="2" max="2" width="78.140625" style="397" customWidth="1"/>
    <col min="4" max="4" width="12.7109375" bestFit="1" customWidth="1"/>
    <col min="6" max="6" width="16.85546875" style="388" bestFit="1" customWidth="1"/>
    <col min="7" max="7" width="18" style="388" bestFit="1" customWidth="1"/>
    <col min="11" max="11" width="10.28515625" bestFit="1" customWidth="1"/>
  </cols>
  <sheetData>
    <row r="1" spans="1:11" x14ac:dyDescent="0.25">
      <c r="A1" t="s">
        <v>4912</v>
      </c>
    </row>
    <row r="3" spans="1:11" x14ac:dyDescent="0.25">
      <c r="A3" s="392" t="s">
        <v>4913</v>
      </c>
      <c r="B3" s="404" t="s">
        <v>4914</v>
      </c>
      <c r="C3" s="392" t="s">
        <v>4915</v>
      </c>
      <c r="D3" s="392" t="s">
        <v>4916</v>
      </c>
      <c r="E3" s="392" t="s">
        <v>4917</v>
      </c>
      <c r="F3" s="393" t="s">
        <v>4918</v>
      </c>
      <c r="G3" s="393" t="s">
        <v>4919</v>
      </c>
      <c r="H3" s="392" t="s">
        <v>4920</v>
      </c>
      <c r="I3" s="392" t="s">
        <v>4921</v>
      </c>
      <c r="J3" s="392" t="s">
        <v>4922</v>
      </c>
      <c r="K3" s="392" t="s">
        <v>4923</v>
      </c>
    </row>
    <row r="4" spans="1:11" s="397" customFormat="1" hidden="1" x14ac:dyDescent="0.25">
      <c r="A4" s="394" t="s">
        <v>4924</v>
      </c>
      <c r="B4" s="394" t="s">
        <v>4925</v>
      </c>
      <c r="C4" s="394" t="s">
        <v>4926</v>
      </c>
      <c r="D4" s="395">
        <v>57547713.088</v>
      </c>
      <c r="E4" s="394" t="s">
        <v>4927</v>
      </c>
      <c r="F4" s="396">
        <v>2.5299999999999998</v>
      </c>
      <c r="G4" s="396">
        <v>145595714.11000001</v>
      </c>
      <c r="H4" s="394">
        <v>18.45</v>
      </c>
      <c r="I4" s="394">
        <v>18.45</v>
      </c>
      <c r="J4" s="394">
        <v>10.18</v>
      </c>
      <c r="K4" s="394">
        <v>10.18</v>
      </c>
    </row>
    <row r="5" spans="1:11" hidden="1" x14ac:dyDescent="0.25">
      <c r="A5" s="389" t="s">
        <v>4928</v>
      </c>
      <c r="B5" s="394" t="s">
        <v>4929</v>
      </c>
      <c r="C5" s="389" t="s">
        <v>4926</v>
      </c>
      <c r="D5" s="391">
        <v>18916319.554499999</v>
      </c>
      <c r="E5" s="389" t="s">
        <v>4927</v>
      </c>
      <c r="F5" s="390">
        <v>4.5</v>
      </c>
      <c r="G5" s="390">
        <v>85123438.010000005</v>
      </c>
      <c r="H5" s="389">
        <v>10.79</v>
      </c>
      <c r="I5" s="389">
        <v>29.24</v>
      </c>
      <c r="J5" s="389">
        <v>5.95</v>
      </c>
      <c r="K5" s="389">
        <v>16.13</v>
      </c>
    </row>
    <row r="6" spans="1:11" hidden="1" x14ac:dyDescent="0.25">
      <c r="A6" s="389" t="s">
        <v>4930</v>
      </c>
      <c r="B6" s="394" t="s">
        <v>4931</v>
      </c>
      <c r="C6" s="389" t="s">
        <v>4932</v>
      </c>
      <c r="D6" s="391">
        <v>251407.65137800001</v>
      </c>
      <c r="E6" s="389" t="s">
        <v>4927</v>
      </c>
      <c r="F6" s="390">
        <v>314.55</v>
      </c>
      <c r="G6" s="390">
        <v>79080296.579999998</v>
      </c>
      <c r="H6" s="389">
        <v>10.02</v>
      </c>
      <c r="I6" s="389">
        <v>39.26</v>
      </c>
      <c r="J6" s="389">
        <v>5.53</v>
      </c>
      <c r="K6" s="389">
        <v>21.66</v>
      </c>
    </row>
    <row r="7" spans="1:11" hidden="1" x14ac:dyDescent="0.25">
      <c r="A7" s="389" t="s">
        <v>435</v>
      </c>
      <c r="B7" s="394" t="s">
        <v>4933</v>
      </c>
      <c r="C7" s="389" t="s">
        <v>4934</v>
      </c>
      <c r="D7" s="391">
        <v>529015.05439599999</v>
      </c>
      <c r="E7" s="389" t="s">
        <v>4927</v>
      </c>
      <c r="F7" s="390">
        <v>85</v>
      </c>
      <c r="G7" s="390">
        <v>44966289.159999996</v>
      </c>
      <c r="H7" s="389">
        <v>5.7</v>
      </c>
      <c r="I7" s="389">
        <v>44.96</v>
      </c>
      <c r="J7" s="389">
        <v>3.14</v>
      </c>
      <c r="K7" s="389">
        <v>24.8</v>
      </c>
    </row>
    <row r="8" spans="1:11" hidden="1" x14ac:dyDescent="0.25">
      <c r="A8" s="389" t="s">
        <v>4935</v>
      </c>
      <c r="B8" s="394" t="s">
        <v>4936</v>
      </c>
      <c r="C8" s="389" t="s">
        <v>4934</v>
      </c>
      <c r="D8" s="391">
        <v>125288.41</v>
      </c>
      <c r="E8" s="389" t="s">
        <v>4927</v>
      </c>
      <c r="F8" s="390">
        <v>250</v>
      </c>
      <c r="G8" s="390">
        <v>31322102.5</v>
      </c>
      <c r="H8" s="389">
        <v>3.97</v>
      </c>
      <c r="I8" s="389">
        <v>48.93</v>
      </c>
      <c r="J8" s="389">
        <v>2.19</v>
      </c>
      <c r="K8" s="389">
        <v>26.99</v>
      </c>
    </row>
    <row r="9" spans="1:11" hidden="1" x14ac:dyDescent="0.25">
      <c r="A9" s="389" t="s">
        <v>286</v>
      </c>
      <c r="B9" s="394" t="s">
        <v>4937</v>
      </c>
      <c r="C9" s="389" t="s">
        <v>4926</v>
      </c>
      <c r="D9" s="391">
        <v>75262873</v>
      </c>
      <c r="E9" s="389" t="s">
        <v>4927</v>
      </c>
      <c r="F9" s="390">
        <v>0.3</v>
      </c>
      <c r="G9" s="390">
        <v>22578861.899999999</v>
      </c>
      <c r="H9" s="389">
        <v>2.86</v>
      </c>
      <c r="I9" s="389">
        <v>51.79</v>
      </c>
      <c r="J9" s="389">
        <v>1.58</v>
      </c>
      <c r="K9" s="389">
        <v>28.57</v>
      </c>
    </row>
    <row r="10" spans="1:11" hidden="1" x14ac:dyDescent="0.25">
      <c r="A10" s="389" t="s">
        <v>4938</v>
      </c>
      <c r="B10" s="394" t="s">
        <v>4939</v>
      </c>
      <c r="C10" s="389" t="s">
        <v>4940</v>
      </c>
      <c r="D10" s="389">
        <v>1</v>
      </c>
      <c r="E10" s="389" t="s">
        <v>4927</v>
      </c>
      <c r="F10" s="390">
        <v>21625343.620000001</v>
      </c>
      <c r="G10" s="390">
        <v>21625343.620000001</v>
      </c>
      <c r="H10" s="389">
        <v>2.74</v>
      </c>
      <c r="I10" s="389">
        <v>54.53</v>
      </c>
      <c r="J10" s="389">
        <v>1.51</v>
      </c>
      <c r="K10" s="389">
        <v>30.08</v>
      </c>
    </row>
    <row r="11" spans="1:11" hidden="1" x14ac:dyDescent="0.25">
      <c r="A11" s="389" t="s">
        <v>541</v>
      </c>
      <c r="B11" s="394" t="s">
        <v>4941</v>
      </c>
      <c r="C11" s="389" t="s">
        <v>4934</v>
      </c>
      <c r="D11" s="391">
        <v>268819.26079500001</v>
      </c>
      <c r="E11" s="389" t="s">
        <v>4927</v>
      </c>
      <c r="F11" s="390">
        <v>75</v>
      </c>
      <c r="G11" s="390">
        <v>20161440.75</v>
      </c>
      <c r="H11" s="389">
        <v>2.5499999999999998</v>
      </c>
      <c r="I11" s="389">
        <v>57.08</v>
      </c>
      <c r="J11" s="389">
        <v>1.41</v>
      </c>
      <c r="K11" s="389">
        <v>31.49</v>
      </c>
    </row>
    <row r="12" spans="1:11" hidden="1" x14ac:dyDescent="0.25">
      <c r="A12" s="389" t="s">
        <v>4942</v>
      </c>
      <c r="B12" s="394" t="s">
        <v>4943</v>
      </c>
      <c r="C12" s="389" t="s">
        <v>4934</v>
      </c>
      <c r="D12" s="391">
        <v>254314.47899999999</v>
      </c>
      <c r="E12" s="389" t="s">
        <v>4927</v>
      </c>
      <c r="F12" s="390">
        <v>74</v>
      </c>
      <c r="G12" s="390">
        <v>18819271.449999999</v>
      </c>
      <c r="H12" s="389">
        <v>2.38</v>
      </c>
      <c r="I12" s="389">
        <v>59.46</v>
      </c>
      <c r="J12" s="389">
        <v>1.32</v>
      </c>
      <c r="K12" s="389">
        <v>32.81</v>
      </c>
    </row>
    <row r="13" spans="1:11" hidden="1" x14ac:dyDescent="0.25">
      <c r="A13" s="389" t="s">
        <v>4944</v>
      </c>
      <c r="B13" s="394" t="s">
        <v>4945</v>
      </c>
      <c r="C13" s="389" t="s">
        <v>4926</v>
      </c>
      <c r="D13" s="391">
        <v>18008685.289999999</v>
      </c>
      <c r="E13" s="389" t="s">
        <v>4927</v>
      </c>
      <c r="F13" s="390">
        <v>0.91</v>
      </c>
      <c r="G13" s="390">
        <v>16387903.609999999</v>
      </c>
      <c r="H13" s="389">
        <v>2.08</v>
      </c>
      <c r="I13" s="389">
        <v>61.54</v>
      </c>
      <c r="J13" s="389">
        <v>1.1499999999999999</v>
      </c>
      <c r="K13" s="389">
        <v>33.96</v>
      </c>
    </row>
    <row r="14" spans="1:11" ht="45" hidden="1" x14ac:dyDescent="0.25">
      <c r="A14" s="389" t="s">
        <v>4946</v>
      </c>
      <c r="B14" s="394" t="s">
        <v>4947</v>
      </c>
      <c r="C14" s="389" t="s">
        <v>4934</v>
      </c>
      <c r="D14" s="391">
        <v>138086.54999999999</v>
      </c>
      <c r="E14" s="389" t="s">
        <v>4927</v>
      </c>
      <c r="F14" s="390">
        <v>117.26</v>
      </c>
      <c r="G14" s="390">
        <v>16192028.85</v>
      </c>
      <c r="H14" s="389">
        <v>2.0499999999999998</v>
      </c>
      <c r="I14" s="389">
        <v>63.59</v>
      </c>
      <c r="J14" s="389">
        <v>1.1299999999999999</v>
      </c>
      <c r="K14" s="389">
        <v>35.090000000000003</v>
      </c>
    </row>
    <row r="15" spans="1:11" hidden="1" x14ac:dyDescent="0.25">
      <c r="A15" s="389" t="s">
        <v>265</v>
      </c>
      <c r="B15" s="394" t="s">
        <v>4948</v>
      </c>
      <c r="C15" s="389" t="s">
        <v>4949</v>
      </c>
      <c r="D15" s="391">
        <v>7030663.6881609997</v>
      </c>
      <c r="E15" s="389" t="s">
        <v>4927</v>
      </c>
      <c r="F15" s="390">
        <v>2.2599999999999998</v>
      </c>
      <c r="G15" s="390">
        <v>15890002.539999999</v>
      </c>
      <c r="H15" s="389">
        <v>2.0099999999999998</v>
      </c>
      <c r="I15" s="389">
        <v>65.599999999999994</v>
      </c>
      <c r="J15" s="389">
        <v>1.1100000000000001</v>
      </c>
      <c r="K15" s="389">
        <v>36.200000000000003</v>
      </c>
    </row>
    <row r="16" spans="1:11" hidden="1" x14ac:dyDescent="0.25">
      <c r="A16" s="389" t="s">
        <v>4950</v>
      </c>
      <c r="B16" s="394" t="s">
        <v>4951</v>
      </c>
      <c r="C16" s="389" t="s">
        <v>4926</v>
      </c>
      <c r="D16" s="391">
        <v>3757437.39</v>
      </c>
      <c r="E16" s="389" t="s">
        <v>4927</v>
      </c>
      <c r="F16" s="390">
        <v>4</v>
      </c>
      <c r="G16" s="390">
        <v>15029749.560000001</v>
      </c>
      <c r="H16" s="389">
        <v>1.9</v>
      </c>
      <c r="I16" s="389">
        <v>67.5</v>
      </c>
      <c r="J16" s="389">
        <v>1.05</v>
      </c>
      <c r="K16" s="389">
        <v>37.25</v>
      </c>
    </row>
    <row r="17" spans="1:11" hidden="1" x14ac:dyDescent="0.25">
      <c r="A17" s="389" t="s">
        <v>4952</v>
      </c>
      <c r="B17" s="394" t="s">
        <v>4953</v>
      </c>
      <c r="C17" s="389" t="s">
        <v>4940</v>
      </c>
      <c r="D17" s="389">
        <v>1</v>
      </c>
      <c r="E17" s="389" t="s">
        <v>4927</v>
      </c>
      <c r="F17" s="390">
        <v>12614786.810000001</v>
      </c>
      <c r="G17" s="390">
        <v>12614786.810000001</v>
      </c>
      <c r="H17" s="389">
        <v>1.6</v>
      </c>
      <c r="I17" s="389">
        <v>69.099999999999994</v>
      </c>
      <c r="J17" s="389">
        <v>0.88</v>
      </c>
      <c r="K17" s="389">
        <v>38.130000000000003</v>
      </c>
    </row>
    <row r="18" spans="1:11" ht="90" hidden="1" x14ac:dyDescent="0.25">
      <c r="A18" s="389" t="s">
        <v>4954</v>
      </c>
      <c r="B18" s="394" t="s">
        <v>4955</v>
      </c>
      <c r="C18" s="389" t="s">
        <v>4956</v>
      </c>
      <c r="D18" s="389">
        <v>6</v>
      </c>
      <c r="E18" s="389" t="s">
        <v>4927</v>
      </c>
      <c r="F18" s="390">
        <v>1928084.17</v>
      </c>
      <c r="G18" s="390">
        <v>11568505.02</v>
      </c>
      <c r="H18" s="389">
        <v>1.47</v>
      </c>
      <c r="I18" s="389">
        <v>70.569999999999993</v>
      </c>
      <c r="J18" s="389">
        <v>0.81</v>
      </c>
      <c r="K18" s="389">
        <v>38.94</v>
      </c>
    </row>
    <row r="19" spans="1:11" hidden="1" x14ac:dyDescent="0.25">
      <c r="A19" s="389" t="s">
        <v>4957</v>
      </c>
      <c r="B19" s="394" t="s">
        <v>4958</v>
      </c>
      <c r="C19" s="389" t="s">
        <v>4932</v>
      </c>
      <c r="D19" s="391">
        <v>201295.9</v>
      </c>
      <c r="E19" s="389" t="s">
        <v>4927</v>
      </c>
      <c r="F19" s="390">
        <v>50</v>
      </c>
      <c r="G19" s="390">
        <v>10064795</v>
      </c>
      <c r="H19" s="389">
        <v>1.28</v>
      </c>
      <c r="I19" s="389">
        <v>71.849999999999994</v>
      </c>
      <c r="J19" s="389">
        <v>0.7</v>
      </c>
      <c r="K19" s="389">
        <v>39.64</v>
      </c>
    </row>
    <row r="20" spans="1:11" hidden="1" x14ac:dyDescent="0.25">
      <c r="A20" s="389" t="s">
        <v>4959</v>
      </c>
      <c r="B20" s="394" t="s">
        <v>4960</v>
      </c>
      <c r="C20" s="389" t="s">
        <v>4926</v>
      </c>
      <c r="D20" s="391">
        <v>901745.99998199998</v>
      </c>
      <c r="E20" s="389" t="s">
        <v>4927</v>
      </c>
      <c r="F20" s="390">
        <v>10.9</v>
      </c>
      <c r="G20" s="390">
        <v>9829031.3200000003</v>
      </c>
      <c r="H20" s="389">
        <v>1.25</v>
      </c>
      <c r="I20" s="389">
        <v>73.099999999999994</v>
      </c>
      <c r="J20" s="389">
        <v>0.69</v>
      </c>
      <c r="K20" s="389">
        <v>40.33</v>
      </c>
    </row>
    <row r="21" spans="1:11" ht="90" hidden="1" x14ac:dyDescent="0.25">
      <c r="A21" s="389" t="s">
        <v>4961</v>
      </c>
      <c r="B21" s="394" t="s">
        <v>4962</v>
      </c>
      <c r="C21" s="389" t="s">
        <v>4956</v>
      </c>
      <c r="D21" s="389">
        <v>6</v>
      </c>
      <c r="E21" s="389" t="s">
        <v>4927</v>
      </c>
      <c r="F21" s="390">
        <v>1611665.45</v>
      </c>
      <c r="G21" s="390">
        <v>9669992.6999999993</v>
      </c>
      <c r="H21" s="389">
        <v>1.23</v>
      </c>
      <c r="I21" s="389">
        <v>74.33</v>
      </c>
      <c r="J21" s="389">
        <v>0.68</v>
      </c>
      <c r="K21" s="389">
        <v>41.01</v>
      </c>
    </row>
    <row r="22" spans="1:11" hidden="1" x14ac:dyDescent="0.25">
      <c r="A22" s="389" t="s">
        <v>4963</v>
      </c>
      <c r="B22" s="394" t="s">
        <v>4964</v>
      </c>
      <c r="C22" s="389" t="s">
        <v>4932</v>
      </c>
      <c r="D22" s="391">
        <v>119061.99</v>
      </c>
      <c r="E22" s="389" t="s">
        <v>4927</v>
      </c>
      <c r="F22" s="390">
        <v>70</v>
      </c>
      <c r="G22" s="390">
        <v>8334339.2999999998</v>
      </c>
      <c r="H22" s="389">
        <v>1.06</v>
      </c>
      <c r="I22" s="389">
        <v>75.39</v>
      </c>
      <c r="J22" s="389">
        <v>0.57999999999999996</v>
      </c>
      <c r="K22" s="389">
        <v>41.59</v>
      </c>
    </row>
    <row r="23" spans="1:11" hidden="1" x14ac:dyDescent="0.25">
      <c r="A23" s="389" t="s">
        <v>4965</v>
      </c>
      <c r="B23" s="394" t="s">
        <v>4966</v>
      </c>
      <c r="C23" s="389" t="s">
        <v>4934</v>
      </c>
      <c r="D23" s="391">
        <v>773656.28413499997</v>
      </c>
      <c r="E23" s="389" t="s">
        <v>4927</v>
      </c>
      <c r="F23" s="390">
        <v>10.7</v>
      </c>
      <c r="G23" s="390">
        <v>8278112.7800000003</v>
      </c>
      <c r="H23" s="389">
        <v>1.05</v>
      </c>
      <c r="I23" s="389">
        <v>76.44</v>
      </c>
      <c r="J23" s="389">
        <v>0.57999999999999996</v>
      </c>
      <c r="K23" s="389">
        <v>42.17</v>
      </c>
    </row>
    <row r="24" spans="1:11" ht="45" hidden="1" x14ac:dyDescent="0.25">
      <c r="A24" s="389" t="s">
        <v>4967</v>
      </c>
      <c r="B24" s="394" t="s">
        <v>4968</v>
      </c>
      <c r="C24" s="389" t="s">
        <v>4956</v>
      </c>
      <c r="D24" s="389">
        <v>6</v>
      </c>
      <c r="E24" s="389" t="s">
        <v>4927</v>
      </c>
      <c r="F24" s="390">
        <v>1116632.8</v>
      </c>
      <c r="G24" s="390">
        <v>6699796.7999999998</v>
      </c>
      <c r="H24" s="389">
        <v>0.85</v>
      </c>
      <c r="I24" s="389">
        <v>77.290000000000006</v>
      </c>
      <c r="J24" s="389">
        <v>0.47</v>
      </c>
      <c r="K24" s="389">
        <v>42.64</v>
      </c>
    </row>
    <row r="25" spans="1:11" hidden="1" x14ac:dyDescent="0.25">
      <c r="A25" s="389" t="s">
        <v>308</v>
      </c>
      <c r="B25" s="394" t="s">
        <v>4969</v>
      </c>
      <c r="C25" s="389" t="s">
        <v>4926</v>
      </c>
      <c r="D25" s="391">
        <v>1099341.328</v>
      </c>
      <c r="E25" s="389" t="s">
        <v>4927</v>
      </c>
      <c r="F25" s="390">
        <v>5.46</v>
      </c>
      <c r="G25" s="390">
        <v>6002403.6600000001</v>
      </c>
      <c r="H25" s="389">
        <v>0.76</v>
      </c>
      <c r="I25" s="389">
        <v>78.05</v>
      </c>
      <c r="J25" s="389">
        <v>0.42</v>
      </c>
      <c r="K25" s="389">
        <v>43.06</v>
      </c>
    </row>
    <row r="26" spans="1:11" ht="30" hidden="1" x14ac:dyDescent="0.25">
      <c r="A26" s="389" t="s">
        <v>4970</v>
      </c>
      <c r="B26" s="394" t="s">
        <v>4971</v>
      </c>
      <c r="C26" s="389" t="s">
        <v>4972</v>
      </c>
      <c r="D26" s="391">
        <v>69565.2</v>
      </c>
      <c r="E26" s="389" t="s">
        <v>4927</v>
      </c>
      <c r="F26" s="390">
        <v>81.599999999999994</v>
      </c>
      <c r="G26" s="390">
        <v>5676520.3200000003</v>
      </c>
      <c r="H26" s="389">
        <v>0.72</v>
      </c>
      <c r="I26" s="389">
        <v>78.77</v>
      </c>
      <c r="J26" s="389">
        <v>0.4</v>
      </c>
      <c r="K26" s="389">
        <v>43.46</v>
      </c>
    </row>
    <row r="27" spans="1:11" hidden="1" x14ac:dyDescent="0.25">
      <c r="A27" s="389" t="s">
        <v>4973</v>
      </c>
      <c r="B27" s="394" t="s">
        <v>4974</v>
      </c>
      <c r="C27" s="389" t="s">
        <v>4926</v>
      </c>
      <c r="D27" s="391">
        <v>2224143.6945000002</v>
      </c>
      <c r="E27" s="389" t="s">
        <v>4927</v>
      </c>
      <c r="F27" s="390">
        <v>2.48</v>
      </c>
      <c r="G27" s="390">
        <v>5515876.3600000003</v>
      </c>
      <c r="H27" s="389">
        <v>0.7</v>
      </c>
      <c r="I27" s="389">
        <v>79.47</v>
      </c>
      <c r="J27" s="389">
        <v>0.39</v>
      </c>
      <c r="K27" s="389">
        <v>43.85</v>
      </c>
    </row>
    <row r="28" spans="1:11" hidden="1" x14ac:dyDescent="0.25">
      <c r="A28" s="389" t="s">
        <v>4975</v>
      </c>
      <c r="B28" s="394" t="s">
        <v>4976</v>
      </c>
      <c r="C28" s="389" t="s">
        <v>4926</v>
      </c>
      <c r="D28" s="391">
        <v>3656116.8</v>
      </c>
      <c r="E28" s="389" t="s">
        <v>4927</v>
      </c>
      <c r="F28" s="390">
        <v>1.49</v>
      </c>
      <c r="G28" s="390">
        <v>5447614.0300000003</v>
      </c>
      <c r="H28" s="389">
        <v>0.69</v>
      </c>
      <c r="I28" s="389">
        <v>80.16</v>
      </c>
      <c r="J28" s="389">
        <v>0.38</v>
      </c>
      <c r="K28" s="389">
        <v>44.23</v>
      </c>
    </row>
    <row r="29" spans="1:11" ht="30" hidden="1" x14ac:dyDescent="0.25">
      <c r="A29" s="389" t="s">
        <v>4977</v>
      </c>
      <c r="B29" s="394" t="s">
        <v>4978</v>
      </c>
      <c r="C29" s="389" t="s">
        <v>4979</v>
      </c>
      <c r="D29" s="391">
        <v>1204</v>
      </c>
      <c r="E29" s="389" t="s">
        <v>4927</v>
      </c>
      <c r="F29" s="390">
        <v>4461.26</v>
      </c>
      <c r="G29" s="390">
        <v>5371357.04</v>
      </c>
      <c r="H29" s="389">
        <v>0.68</v>
      </c>
      <c r="I29" s="389">
        <v>80.84</v>
      </c>
      <c r="J29" s="389">
        <v>0.38</v>
      </c>
      <c r="K29" s="389">
        <v>44.61</v>
      </c>
    </row>
    <row r="30" spans="1:11" hidden="1" x14ac:dyDescent="0.25">
      <c r="A30" s="389" t="s">
        <v>268</v>
      </c>
      <c r="B30" s="394" t="s">
        <v>4980</v>
      </c>
      <c r="C30" s="389" t="s">
        <v>4981</v>
      </c>
      <c r="D30" s="391">
        <v>10808769.724146999</v>
      </c>
      <c r="E30" s="389" t="s">
        <v>4927</v>
      </c>
      <c r="F30" s="390">
        <v>0.48</v>
      </c>
      <c r="G30" s="390">
        <v>5188209.88</v>
      </c>
      <c r="H30" s="389">
        <v>0.66</v>
      </c>
      <c r="I30" s="389">
        <v>81.5</v>
      </c>
      <c r="J30" s="389">
        <v>0.36</v>
      </c>
      <c r="K30" s="389">
        <v>44.97</v>
      </c>
    </row>
    <row r="31" spans="1:11" hidden="1" x14ac:dyDescent="0.25">
      <c r="A31" s="389" t="s">
        <v>4982</v>
      </c>
      <c r="B31" s="394" t="s">
        <v>4983</v>
      </c>
      <c r="C31" s="389" t="s">
        <v>4934</v>
      </c>
      <c r="D31" s="391">
        <v>225222.34914999999</v>
      </c>
      <c r="E31" s="389" t="s">
        <v>4927</v>
      </c>
      <c r="F31" s="390">
        <v>22.72</v>
      </c>
      <c r="G31" s="390">
        <v>5117052.74</v>
      </c>
      <c r="H31" s="389">
        <v>0.65</v>
      </c>
      <c r="I31" s="389">
        <v>82.15</v>
      </c>
      <c r="J31" s="389">
        <v>0.36</v>
      </c>
      <c r="K31" s="389">
        <v>45.33</v>
      </c>
    </row>
    <row r="32" spans="1:11" ht="45" hidden="1" x14ac:dyDescent="0.25">
      <c r="A32" s="389" t="s">
        <v>4984</v>
      </c>
      <c r="B32" s="394" t="s">
        <v>4985</v>
      </c>
      <c r="C32" s="389" t="s">
        <v>4986</v>
      </c>
      <c r="D32" s="389">
        <v>50</v>
      </c>
      <c r="E32" s="389" t="s">
        <v>4927</v>
      </c>
      <c r="F32" s="390">
        <v>100769.23</v>
      </c>
      <c r="G32" s="390">
        <v>5038461.5</v>
      </c>
      <c r="H32" s="389">
        <v>0.64</v>
      </c>
      <c r="I32" s="389">
        <v>82.79</v>
      </c>
      <c r="J32" s="389">
        <v>0.35</v>
      </c>
      <c r="K32" s="389">
        <v>45.68</v>
      </c>
    </row>
    <row r="33" spans="1:11" hidden="1" x14ac:dyDescent="0.25">
      <c r="A33" s="389" t="s">
        <v>269</v>
      </c>
      <c r="B33" s="394" t="s">
        <v>4987</v>
      </c>
      <c r="C33" s="389" t="s">
        <v>4932</v>
      </c>
      <c r="D33" s="391">
        <v>1906.9310009999999</v>
      </c>
      <c r="E33" s="389" t="s">
        <v>4927</v>
      </c>
      <c r="F33" s="390">
        <v>2500</v>
      </c>
      <c r="G33" s="390">
        <v>4767327.51</v>
      </c>
      <c r="H33" s="389">
        <v>0.6</v>
      </c>
      <c r="I33" s="389">
        <v>83.39</v>
      </c>
      <c r="J33" s="389">
        <v>0.33</v>
      </c>
      <c r="K33" s="389">
        <v>46.01</v>
      </c>
    </row>
    <row r="34" spans="1:11" hidden="1" x14ac:dyDescent="0.25">
      <c r="A34" s="389" t="s">
        <v>4988</v>
      </c>
      <c r="B34" s="394" t="s">
        <v>4989</v>
      </c>
      <c r="C34" s="389" t="s">
        <v>4926</v>
      </c>
      <c r="D34" s="391">
        <v>2097060</v>
      </c>
      <c r="E34" s="389" t="s">
        <v>4927</v>
      </c>
      <c r="F34" s="390">
        <v>2.23</v>
      </c>
      <c r="G34" s="390">
        <v>4676443.8</v>
      </c>
      <c r="H34" s="389">
        <v>0.59</v>
      </c>
      <c r="I34" s="389">
        <v>83.98</v>
      </c>
      <c r="J34" s="389">
        <v>0.33</v>
      </c>
      <c r="K34" s="389">
        <v>46.34</v>
      </c>
    </row>
    <row r="35" spans="1:11" hidden="1" x14ac:dyDescent="0.25">
      <c r="A35" s="389" t="s">
        <v>4990</v>
      </c>
      <c r="B35" s="394" t="s">
        <v>4991</v>
      </c>
      <c r="C35" s="389" t="s">
        <v>4972</v>
      </c>
      <c r="D35" s="391">
        <v>88069.69</v>
      </c>
      <c r="E35" s="389" t="s">
        <v>4927</v>
      </c>
      <c r="F35" s="390">
        <v>50.9</v>
      </c>
      <c r="G35" s="390">
        <v>4482747.22</v>
      </c>
      <c r="H35" s="389">
        <v>0.56999999999999995</v>
      </c>
      <c r="I35" s="389">
        <v>84.55</v>
      </c>
      <c r="J35" s="389">
        <v>0.31</v>
      </c>
      <c r="K35" s="389">
        <v>46.65</v>
      </c>
    </row>
    <row r="36" spans="1:11" ht="30" hidden="1" x14ac:dyDescent="0.25">
      <c r="A36" s="389" t="s">
        <v>4992</v>
      </c>
      <c r="B36" s="394" t="s">
        <v>4993</v>
      </c>
      <c r="C36" s="389" t="s">
        <v>4979</v>
      </c>
      <c r="D36" s="391">
        <v>1300</v>
      </c>
      <c r="E36" s="389" t="s">
        <v>4927</v>
      </c>
      <c r="F36" s="390">
        <v>3305.43</v>
      </c>
      <c r="G36" s="390">
        <v>4297059</v>
      </c>
      <c r="H36" s="389">
        <v>0.54</v>
      </c>
      <c r="I36" s="389">
        <v>85.09</v>
      </c>
      <c r="J36" s="389">
        <v>0.3</v>
      </c>
      <c r="K36" s="389">
        <v>46.95</v>
      </c>
    </row>
    <row r="37" spans="1:11" hidden="1" x14ac:dyDescent="0.25">
      <c r="A37" s="389" t="s">
        <v>4994</v>
      </c>
      <c r="B37" s="394" t="s">
        <v>4995</v>
      </c>
      <c r="C37" s="389" t="s">
        <v>4926</v>
      </c>
      <c r="D37" s="391">
        <v>422428.6</v>
      </c>
      <c r="E37" s="389" t="s">
        <v>4927</v>
      </c>
      <c r="F37" s="390">
        <v>9.36</v>
      </c>
      <c r="G37" s="390">
        <v>3953931.7</v>
      </c>
      <c r="H37" s="389">
        <v>0.5</v>
      </c>
      <c r="I37" s="389">
        <v>85.59</v>
      </c>
      <c r="J37" s="389">
        <v>0.28000000000000003</v>
      </c>
      <c r="K37" s="389">
        <v>47.23</v>
      </c>
    </row>
    <row r="38" spans="1:11" hidden="1" x14ac:dyDescent="0.25">
      <c r="A38" s="389" t="s">
        <v>4996</v>
      </c>
      <c r="B38" s="394" t="s">
        <v>4997</v>
      </c>
      <c r="C38" s="389" t="s">
        <v>4926</v>
      </c>
      <c r="D38" s="391">
        <v>9082683.1319999993</v>
      </c>
      <c r="E38" s="389" t="s">
        <v>4927</v>
      </c>
      <c r="F38" s="390">
        <v>0.42</v>
      </c>
      <c r="G38" s="390">
        <v>3814727.26</v>
      </c>
      <c r="H38" s="389">
        <v>0.48</v>
      </c>
      <c r="I38" s="389">
        <v>86.07</v>
      </c>
      <c r="J38" s="389">
        <v>0.27</v>
      </c>
      <c r="K38" s="389">
        <v>47.5</v>
      </c>
    </row>
    <row r="39" spans="1:11" hidden="1" x14ac:dyDescent="0.25">
      <c r="A39" s="389" t="s">
        <v>4998</v>
      </c>
      <c r="B39" s="394" t="s">
        <v>4999</v>
      </c>
      <c r="C39" s="389" t="s">
        <v>4926</v>
      </c>
      <c r="D39" s="391">
        <v>1425568.8362680001</v>
      </c>
      <c r="E39" s="389" t="s">
        <v>4927</v>
      </c>
      <c r="F39" s="390">
        <v>2.6</v>
      </c>
      <c r="G39" s="390">
        <v>3706478.86</v>
      </c>
      <c r="H39" s="389">
        <v>0.47</v>
      </c>
      <c r="I39" s="389">
        <v>86.54</v>
      </c>
      <c r="J39" s="389">
        <v>0.26</v>
      </c>
      <c r="K39" s="389">
        <v>47.76</v>
      </c>
    </row>
    <row r="40" spans="1:11" hidden="1" x14ac:dyDescent="0.25">
      <c r="A40" s="389" t="s">
        <v>5000</v>
      </c>
      <c r="B40" s="394" t="s">
        <v>5001</v>
      </c>
      <c r="C40" s="389" t="s">
        <v>4926</v>
      </c>
      <c r="D40" s="391">
        <v>342581.4</v>
      </c>
      <c r="E40" s="389" t="s">
        <v>4927</v>
      </c>
      <c r="F40" s="390">
        <v>10.27</v>
      </c>
      <c r="G40" s="390">
        <v>3518310.98</v>
      </c>
      <c r="H40" s="389">
        <v>0.45</v>
      </c>
      <c r="I40" s="389">
        <v>86.99</v>
      </c>
      <c r="J40" s="389">
        <v>0.25</v>
      </c>
      <c r="K40" s="389">
        <v>48.01</v>
      </c>
    </row>
    <row r="41" spans="1:11" hidden="1" x14ac:dyDescent="0.25">
      <c r="A41" s="389" t="s">
        <v>5002</v>
      </c>
      <c r="B41" s="394" t="s">
        <v>5003</v>
      </c>
      <c r="C41" s="389" t="s">
        <v>4926</v>
      </c>
      <c r="D41" s="391">
        <v>457014.6</v>
      </c>
      <c r="E41" s="389" t="s">
        <v>4927</v>
      </c>
      <c r="F41" s="390">
        <v>6.9</v>
      </c>
      <c r="G41" s="390">
        <v>3153400.74</v>
      </c>
      <c r="H41" s="389">
        <v>0.4</v>
      </c>
      <c r="I41" s="389">
        <v>87.39</v>
      </c>
      <c r="J41" s="389">
        <v>0.22</v>
      </c>
      <c r="K41" s="389">
        <v>48.23</v>
      </c>
    </row>
    <row r="42" spans="1:11" hidden="1" x14ac:dyDescent="0.25">
      <c r="A42" s="389" t="s">
        <v>5004</v>
      </c>
      <c r="B42" s="394" t="s">
        <v>5005</v>
      </c>
      <c r="C42" s="389" t="s">
        <v>4979</v>
      </c>
      <c r="D42" s="391">
        <v>506042.08</v>
      </c>
      <c r="E42" s="389" t="s">
        <v>4927</v>
      </c>
      <c r="F42" s="390">
        <v>6.06</v>
      </c>
      <c r="G42" s="390">
        <v>3066615.01</v>
      </c>
      <c r="H42" s="389">
        <v>0.39</v>
      </c>
      <c r="I42" s="389">
        <v>87.78</v>
      </c>
      <c r="J42" s="389">
        <v>0.21</v>
      </c>
      <c r="K42" s="389">
        <v>48.44</v>
      </c>
    </row>
    <row r="43" spans="1:11" ht="60" hidden="1" x14ac:dyDescent="0.25">
      <c r="A43" s="389" t="s">
        <v>5006</v>
      </c>
      <c r="B43" s="394" t="s">
        <v>5007</v>
      </c>
      <c r="C43" s="389" t="s">
        <v>4956</v>
      </c>
      <c r="D43" s="389">
        <v>6</v>
      </c>
      <c r="E43" s="389" t="s">
        <v>4927</v>
      </c>
      <c r="F43" s="390">
        <v>493849.78</v>
      </c>
      <c r="G43" s="390">
        <v>2963098.68</v>
      </c>
      <c r="H43" s="389">
        <v>0.38</v>
      </c>
      <c r="I43" s="389">
        <v>88.16</v>
      </c>
      <c r="J43" s="389">
        <v>0.21</v>
      </c>
      <c r="K43" s="389">
        <v>48.65</v>
      </c>
    </row>
    <row r="44" spans="1:11" hidden="1" x14ac:dyDescent="0.25">
      <c r="A44" s="389" t="s">
        <v>5008</v>
      </c>
      <c r="B44" s="394" t="s">
        <v>5009</v>
      </c>
      <c r="C44" s="389" t="s">
        <v>4934</v>
      </c>
      <c r="D44" s="391">
        <v>131266.95000000001</v>
      </c>
      <c r="E44" s="389" t="s">
        <v>4927</v>
      </c>
      <c r="F44" s="390">
        <v>20</v>
      </c>
      <c r="G44" s="390">
        <v>2625339</v>
      </c>
      <c r="H44" s="389">
        <v>0.33</v>
      </c>
      <c r="I44" s="389">
        <v>88.49</v>
      </c>
      <c r="J44" s="389">
        <v>0.18</v>
      </c>
      <c r="K44" s="389">
        <v>48.83</v>
      </c>
    </row>
    <row r="45" spans="1:11" ht="75" hidden="1" x14ac:dyDescent="0.25">
      <c r="A45" s="389" t="s">
        <v>5010</v>
      </c>
      <c r="B45" s="394" t="s">
        <v>5011</v>
      </c>
      <c r="C45" s="389" t="s">
        <v>4956</v>
      </c>
      <c r="D45" s="389">
        <v>6</v>
      </c>
      <c r="E45" s="389" t="s">
        <v>4927</v>
      </c>
      <c r="F45" s="390">
        <v>410457.18</v>
      </c>
      <c r="G45" s="390">
        <v>2462743.08</v>
      </c>
      <c r="H45" s="389">
        <v>0.31</v>
      </c>
      <c r="I45" s="389">
        <v>88.8</v>
      </c>
      <c r="J45" s="389">
        <v>0.17</v>
      </c>
      <c r="K45" s="389">
        <v>49</v>
      </c>
    </row>
    <row r="46" spans="1:11" hidden="1" x14ac:dyDescent="0.25">
      <c r="A46" s="389" t="s">
        <v>5012</v>
      </c>
      <c r="B46" s="394" t="s">
        <v>5013</v>
      </c>
      <c r="C46" s="389" t="s">
        <v>4926</v>
      </c>
      <c r="D46" s="391">
        <v>972372.79902200005</v>
      </c>
      <c r="E46" s="389" t="s">
        <v>4927</v>
      </c>
      <c r="F46" s="390">
        <v>2.5299999999999998</v>
      </c>
      <c r="G46" s="390">
        <v>2460103.1800000002</v>
      </c>
      <c r="H46" s="389">
        <v>0.31</v>
      </c>
      <c r="I46" s="389">
        <v>89.11</v>
      </c>
      <c r="J46" s="389">
        <v>0.17</v>
      </c>
      <c r="K46" s="389">
        <v>49.17</v>
      </c>
    </row>
    <row r="47" spans="1:11" hidden="1" x14ac:dyDescent="0.25">
      <c r="A47" s="389" t="s">
        <v>5014</v>
      </c>
      <c r="B47" s="394" t="s">
        <v>5015</v>
      </c>
      <c r="C47" s="389" t="s">
        <v>4972</v>
      </c>
      <c r="D47" s="391">
        <v>56966.97</v>
      </c>
      <c r="E47" s="389" t="s">
        <v>4927</v>
      </c>
      <c r="F47" s="390">
        <v>42.42</v>
      </c>
      <c r="G47" s="390">
        <v>2416538.86</v>
      </c>
      <c r="H47" s="389">
        <v>0.31</v>
      </c>
      <c r="I47" s="389">
        <v>89.42</v>
      </c>
      <c r="J47" s="389">
        <v>0.17</v>
      </c>
      <c r="K47" s="389">
        <v>49.34</v>
      </c>
    </row>
    <row r="48" spans="1:11" ht="45" hidden="1" x14ac:dyDescent="0.25">
      <c r="A48" s="389" t="s">
        <v>5016</v>
      </c>
      <c r="B48" s="394" t="s">
        <v>5017</v>
      </c>
      <c r="C48" s="389" t="s">
        <v>4940</v>
      </c>
      <c r="D48" s="389">
        <v>1</v>
      </c>
      <c r="E48" s="389" t="s">
        <v>4927</v>
      </c>
      <c r="F48" s="390">
        <v>2122075.4700000002</v>
      </c>
      <c r="G48" s="390">
        <v>2122075.4700000002</v>
      </c>
      <c r="H48" s="389">
        <v>0.27</v>
      </c>
      <c r="I48" s="389">
        <v>89.69</v>
      </c>
      <c r="J48" s="389">
        <v>0.15</v>
      </c>
      <c r="K48" s="389">
        <v>49.49</v>
      </c>
    </row>
    <row r="49" spans="1:11" ht="30" hidden="1" x14ac:dyDescent="0.25">
      <c r="A49" s="389" t="s">
        <v>5018</v>
      </c>
      <c r="B49" s="394" t="s">
        <v>5019</v>
      </c>
      <c r="C49" s="389" t="s">
        <v>4972</v>
      </c>
      <c r="D49" s="391">
        <v>17294.400000000001</v>
      </c>
      <c r="E49" s="389" t="s">
        <v>4927</v>
      </c>
      <c r="F49" s="390">
        <v>116.18</v>
      </c>
      <c r="G49" s="390">
        <v>2009263.39</v>
      </c>
      <c r="H49" s="389">
        <v>0.25</v>
      </c>
      <c r="I49" s="389">
        <v>89.94</v>
      </c>
      <c r="J49" s="389">
        <v>0.14000000000000001</v>
      </c>
      <c r="K49" s="389">
        <v>49.63</v>
      </c>
    </row>
    <row r="50" spans="1:11" hidden="1" x14ac:dyDescent="0.25">
      <c r="A50" s="389" t="s">
        <v>5020</v>
      </c>
      <c r="B50" s="394" t="s">
        <v>5021</v>
      </c>
      <c r="C50" s="389" t="s">
        <v>4934</v>
      </c>
      <c r="D50" s="391">
        <v>2122.0100000000002</v>
      </c>
      <c r="E50" s="389" t="s">
        <v>4927</v>
      </c>
      <c r="F50" s="390">
        <v>900</v>
      </c>
      <c r="G50" s="390">
        <v>1909809</v>
      </c>
      <c r="H50" s="389">
        <v>0.24</v>
      </c>
      <c r="I50" s="389">
        <v>90.18</v>
      </c>
      <c r="J50" s="389">
        <v>0.13</v>
      </c>
      <c r="K50" s="389">
        <v>49.76</v>
      </c>
    </row>
    <row r="51" spans="1:11" ht="30" hidden="1" x14ac:dyDescent="0.25">
      <c r="A51" s="389" t="s">
        <v>5022</v>
      </c>
      <c r="B51" s="394" t="s">
        <v>5023</v>
      </c>
      <c r="C51" s="389" t="s">
        <v>4972</v>
      </c>
      <c r="D51" s="391">
        <v>17372.03</v>
      </c>
      <c r="E51" s="389" t="s">
        <v>4927</v>
      </c>
      <c r="F51" s="390">
        <v>105.8</v>
      </c>
      <c r="G51" s="390">
        <v>1837960.77</v>
      </c>
      <c r="H51" s="389">
        <v>0.23</v>
      </c>
      <c r="I51" s="389">
        <v>90.41</v>
      </c>
      <c r="J51" s="389">
        <v>0.13</v>
      </c>
      <c r="K51" s="389">
        <v>49.89</v>
      </c>
    </row>
    <row r="52" spans="1:11" ht="30" hidden="1" x14ac:dyDescent="0.25">
      <c r="A52" s="389" t="s">
        <v>5024</v>
      </c>
      <c r="B52" s="394" t="s">
        <v>5025</v>
      </c>
      <c r="C52" s="389" t="s">
        <v>4972</v>
      </c>
      <c r="D52" s="391">
        <v>22265.8</v>
      </c>
      <c r="E52" s="389" t="s">
        <v>4927</v>
      </c>
      <c r="F52" s="390">
        <v>81.599999999999994</v>
      </c>
      <c r="G52" s="390">
        <v>1816889.28</v>
      </c>
      <c r="H52" s="389">
        <v>0.23</v>
      </c>
      <c r="I52" s="389">
        <v>90.64</v>
      </c>
      <c r="J52" s="389">
        <v>0.13</v>
      </c>
      <c r="K52" s="389">
        <v>50.02</v>
      </c>
    </row>
    <row r="53" spans="1:11" hidden="1" x14ac:dyDescent="0.25">
      <c r="A53" s="389" t="s">
        <v>5026</v>
      </c>
      <c r="B53" s="394" t="s">
        <v>5027</v>
      </c>
      <c r="C53" s="389" t="s">
        <v>4940</v>
      </c>
      <c r="D53" s="389">
        <v>1</v>
      </c>
      <c r="E53" s="389" t="s">
        <v>4927</v>
      </c>
      <c r="F53" s="390">
        <v>1802147.89</v>
      </c>
      <c r="G53" s="390">
        <v>1802147.89</v>
      </c>
      <c r="H53" s="389">
        <v>0.23</v>
      </c>
      <c r="I53" s="389">
        <v>90.87</v>
      </c>
      <c r="J53" s="389">
        <v>0.13</v>
      </c>
      <c r="K53" s="389">
        <v>50.15</v>
      </c>
    </row>
    <row r="54" spans="1:11" hidden="1" x14ac:dyDescent="0.25">
      <c r="A54" s="389" t="s">
        <v>542</v>
      </c>
      <c r="B54" s="394" t="s">
        <v>5028</v>
      </c>
      <c r="C54" s="389" t="s">
        <v>4934</v>
      </c>
      <c r="D54" s="391">
        <v>22177.682000000001</v>
      </c>
      <c r="E54" s="389" t="s">
        <v>4927</v>
      </c>
      <c r="F54" s="390">
        <v>75</v>
      </c>
      <c r="G54" s="390">
        <v>1663326.15</v>
      </c>
      <c r="H54" s="389">
        <v>0.21</v>
      </c>
      <c r="I54" s="389">
        <v>91.08</v>
      </c>
      <c r="J54" s="389">
        <v>0.12</v>
      </c>
      <c r="K54" s="389">
        <v>50.27</v>
      </c>
    </row>
    <row r="55" spans="1:11" hidden="1" x14ac:dyDescent="0.25">
      <c r="A55" s="389" t="s">
        <v>390</v>
      </c>
      <c r="B55" s="394" t="s">
        <v>5029</v>
      </c>
      <c r="C55" s="389" t="s">
        <v>4972</v>
      </c>
      <c r="D55" s="391">
        <v>55407.192004999997</v>
      </c>
      <c r="E55" s="389" t="s">
        <v>4927</v>
      </c>
      <c r="F55" s="390">
        <v>29.34</v>
      </c>
      <c r="G55" s="390">
        <v>1625646.73</v>
      </c>
      <c r="H55" s="389">
        <v>0.21</v>
      </c>
      <c r="I55" s="389">
        <v>91.29</v>
      </c>
      <c r="J55" s="389">
        <v>0.11</v>
      </c>
      <c r="K55" s="389">
        <v>50.38</v>
      </c>
    </row>
    <row r="56" spans="1:11" hidden="1" x14ac:dyDescent="0.25">
      <c r="A56" s="389" t="s">
        <v>5030</v>
      </c>
      <c r="B56" s="394" t="s">
        <v>5031</v>
      </c>
      <c r="C56" s="389" t="s">
        <v>4934</v>
      </c>
      <c r="D56" s="391">
        <v>20779.923433</v>
      </c>
      <c r="E56" s="389" t="s">
        <v>4927</v>
      </c>
      <c r="F56" s="390">
        <v>75</v>
      </c>
      <c r="G56" s="390">
        <v>1558491.85</v>
      </c>
      <c r="H56" s="389">
        <v>0.2</v>
      </c>
      <c r="I56" s="389">
        <v>91.49</v>
      </c>
      <c r="J56" s="389">
        <v>0.11</v>
      </c>
      <c r="K56" s="389">
        <v>50.49</v>
      </c>
    </row>
    <row r="57" spans="1:11" ht="30" hidden="1" x14ac:dyDescent="0.25">
      <c r="A57" s="389" t="s">
        <v>5032</v>
      </c>
      <c r="B57" s="394" t="s">
        <v>5033</v>
      </c>
      <c r="C57" s="389" t="s">
        <v>4979</v>
      </c>
      <c r="D57" s="391">
        <v>4100</v>
      </c>
      <c r="E57" s="389" t="s">
        <v>4927</v>
      </c>
      <c r="F57" s="390">
        <v>356.53</v>
      </c>
      <c r="G57" s="390">
        <v>1461773</v>
      </c>
      <c r="H57" s="389">
        <v>0.19</v>
      </c>
      <c r="I57" s="389">
        <v>91.68</v>
      </c>
      <c r="J57" s="389">
        <v>0.1</v>
      </c>
      <c r="K57" s="389">
        <v>50.59</v>
      </c>
    </row>
    <row r="58" spans="1:11" hidden="1" x14ac:dyDescent="0.25">
      <c r="A58" s="389" t="s">
        <v>436</v>
      </c>
      <c r="B58" s="394" t="s">
        <v>5034</v>
      </c>
      <c r="C58" s="389" t="s">
        <v>4934</v>
      </c>
      <c r="D58" s="391">
        <v>21149.438000999999</v>
      </c>
      <c r="E58" s="389" t="s">
        <v>4927</v>
      </c>
      <c r="F58" s="390">
        <v>69.11</v>
      </c>
      <c r="G58" s="390">
        <v>1461638.52</v>
      </c>
      <c r="H58" s="389">
        <v>0.19</v>
      </c>
      <c r="I58" s="389">
        <v>91.87</v>
      </c>
      <c r="J58" s="389">
        <v>0.1</v>
      </c>
      <c r="K58" s="389">
        <v>50.69</v>
      </c>
    </row>
    <row r="59" spans="1:11" hidden="1" x14ac:dyDescent="0.25">
      <c r="A59" s="389" t="s">
        <v>5035</v>
      </c>
      <c r="B59" s="394" t="s">
        <v>5036</v>
      </c>
      <c r="C59" s="389" t="s">
        <v>4934</v>
      </c>
      <c r="D59" s="391">
        <v>6075.4908299999997</v>
      </c>
      <c r="E59" s="389" t="s">
        <v>4927</v>
      </c>
      <c r="F59" s="390">
        <v>232</v>
      </c>
      <c r="G59" s="390">
        <v>1409513.87</v>
      </c>
      <c r="H59" s="389">
        <v>0.18</v>
      </c>
      <c r="I59" s="389">
        <v>92.05</v>
      </c>
      <c r="J59" s="389">
        <v>0.1</v>
      </c>
      <c r="K59" s="389">
        <v>50.79</v>
      </c>
    </row>
    <row r="60" spans="1:11" ht="30" hidden="1" x14ac:dyDescent="0.25">
      <c r="A60" s="389" t="s">
        <v>5037</v>
      </c>
      <c r="B60" s="394" t="s">
        <v>5023</v>
      </c>
      <c r="C60" s="389" t="s">
        <v>4972</v>
      </c>
      <c r="D60" s="391">
        <v>13050.3</v>
      </c>
      <c r="E60" s="389" t="s">
        <v>4927</v>
      </c>
      <c r="F60" s="390">
        <v>103.88</v>
      </c>
      <c r="G60" s="390">
        <v>1355665.16</v>
      </c>
      <c r="H60" s="389">
        <v>0.17</v>
      </c>
      <c r="I60" s="389">
        <v>92.22</v>
      </c>
      <c r="J60" s="389">
        <v>0.09</v>
      </c>
      <c r="K60" s="389">
        <v>50.88</v>
      </c>
    </row>
    <row r="61" spans="1:11" hidden="1" x14ac:dyDescent="0.25">
      <c r="A61" s="389" t="s">
        <v>5038</v>
      </c>
      <c r="B61" s="394" t="s">
        <v>5039</v>
      </c>
      <c r="C61" s="389" t="s">
        <v>4979</v>
      </c>
      <c r="D61" s="391">
        <v>6514.48</v>
      </c>
      <c r="E61" s="389" t="s">
        <v>4927</v>
      </c>
      <c r="F61" s="390">
        <v>204.06</v>
      </c>
      <c r="G61" s="390">
        <v>1329344.79</v>
      </c>
      <c r="H61" s="389">
        <v>0.17</v>
      </c>
      <c r="I61" s="389">
        <v>92.39</v>
      </c>
      <c r="J61" s="389">
        <v>0.09</v>
      </c>
      <c r="K61" s="389">
        <v>50.97</v>
      </c>
    </row>
    <row r="62" spans="1:11" ht="45" hidden="1" x14ac:dyDescent="0.25">
      <c r="A62" s="389" t="s">
        <v>5040</v>
      </c>
      <c r="B62" s="394" t="s">
        <v>5041</v>
      </c>
      <c r="C62" s="389" t="s">
        <v>4979</v>
      </c>
      <c r="D62" s="391">
        <v>3330</v>
      </c>
      <c r="E62" s="389" t="s">
        <v>4927</v>
      </c>
      <c r="F62" s="390">
        <v>398.57</v>
      </c>
      <c r="G62" s="390">
        <v>1327238.1000000001</v>
      </c>
      <c r="H62" s="389">
        <v>0.17</v>
      </c>
      <c r="I62" s="389">
        <v>92.56</v>
      </c>
      <c r="J62" s="389">
        <v>0.09</v>
      </c>
      <c r="K62" s="389">
        <v>51.06</v>
      </c>
    </row>
    <row r="63" spans="1:11" hidden="1" x14ac:dyDescent="0.25">
      <c r="A63" s="389" t="s">
        <v>5042</v>
      </c>
      <c r="B63" s="394" t="s">
        <v>5043</v>
      </c>
      <c r="C63" s="389" t="s">
        <v>5044</v>
      </c>
      <c r="D63" s="391">
        <v>1643</v>
      </c>
      <c r="E63" s="389" t="s">
        <v>4927</v>
      </c>
      <c r="F63" s="390">
        <v>725.68</v>
      </c>
      <c r="G63" s="390">
        <v>1192292.24</v>
      </c>
      <c r="H63" s="389">
        <v>0.15</v>
      </c>
      <c r="I63" s="389">
        <v>92.71</v>
      </c>
      <c r="J63" s="389">
        <v>0.08</v>
      </c>
      <c r="K63" s="389">
        <v>51.14</v>
      </c>
    </row>
    <row r="64" spans="1:11" ht="30" hidden="1" x14ac:dyDescent="0.25">
      <c r="A64" s="389" t="s">
        <v>5045</v>
      </c>
      <c r="B64" s="394" t="s">
        <v>5046</v>
      </c>
      <c r="C64" s="389" t="s">
        <v>4956</v>
      </c>
      <c r="D64" s="389">
        <v>4</v>
      </c>
      <c r="E64" s="389" t="s">
        <v>4927</v>
      </c>
      <c r="F64" s="390">
        <v>287373</v>
      </c>
      <c r="G64" s="390">
        <v>1149492</v>
      </c>
      <c r="H64" s="389">
        <v>0.15</v>
      </c>
      <c r="I64" s="389">
        <v>92.86</v>
      </c>
      <c r="J64" s="389">
        <v>0.08</v>
      </c>
      <c r="K64" s="389">
        <v>51.22</v>
      </c>
    </row>
    <row r="65" spans="1:11" hidden="1" x14ac:dyDescent="0.25">
      <c r="A65" s="389" t="s">
        <v>5047</v>
      </c>
      <c r="B65" s="394" t="s">
        <v>5048</v>
      </c>
      <c r="C65" s="389" t="s">
        <v>4926</v>
      </c>
      <c r="D65" s="391">
        <v>416731.19958100002</v>
      </c>
      <c r="E65" s="389" t="s">
        <v>4927</v>
      </c>
      <c r="F65" s="390">
        <v>2.5499999999999998</v>
      </c>
      <c r="G65" s="390">
        <v>1062664.6100000001</v>
      </c>
      <c r="H65" s="389">
        <v>0.13</v>
      </c>
      <c r="I65" s="389">
        <v>92.99</v>
      </c>
      <c r="J65" s="389">
        <v>7.0000000000000007E-2</v>
      </c>
      <c r="K65" s="389">
        <v>51.29</v>
      </c>
    </row>
    <row r="66" spans="1:11" ht="30" hidden="1" x14ac:dyDescent="0.25">
      <c r="A66" s="389" t="s">
        <v>5049</v>
      </c>
      <c r="B66" s="394" t="s">
        <v>5050</v>
      </c>
      <c r="C66" s="389" t="s">
        <v>4979</v>
      </c>
      <c r="D66" s="391">
        <v>22320</v>
      </c>
      <c r="E66" s="389" t="s">
        <v>4927</v>
      </c>
      <c r="F66" s="390">
        <v>47.31</v>
      </c>
      <c r="G66" s="390">
        <v>1055959.2</v>
      </c>
      <c r="H66" s="389">
        <v>0.13</v>
      </c>
      <c r="I66" s="389">
        <v>93.12</v>
      </c>
      <c r="J66" s="389">
        <v>7.0000000000000007E-2</v>
      </c>
      <c r="K66" s="389">
        <v>51.36</v>
      </c>
    </row>
    <row r="67" spans="1:11" hidden="1" x14ac:dyDescent="0.25">
      <c r="A67" s="389" t="s">
        <v>5051</v>
      </c>
      <c r="B67" s="394" t="s">
        <v>5052</v>
      </c>
      <c r="C67" s="389" t="s">
        <v>4926</v>
      </c>
      <c r="D67" s="391">
        <v>224970.25446</v>
      </c>
      <c r="E67" s="389" t="s">
        <v>4927</v>
      </c>
      <c r="F67" s="390">
        <v>4.5999999999999996</v>
      </c>
      <c r="G67" s="390">
        <v>1034863.16</v>
      </c>
      <c r="H67" s="389">
        <v>0.13</v>
      </c>
      <c r="I67" s="389">
        <v>93.25</v>
      </c>
      <c r="J67" s="389">
        <v>7.0000000000000007E-2</v>
      </c>
      <c r="K67" s="389">
        <v>51.43</v>
      </c>
    </row>
    <row r="68" spans="1:11" ht="30" hidden="1" x14ac:dyDescent="0.25">
      <c r="A68" s="389" t="s">
        <v>5053</v>
      </c>
      <c r="B68" s="394" t="s">
        <v>5054</v>
      </c>
      <c r="C68" s="389" t="s">
        <v>4972</v>
      </c>
      <c r="D68" s="391">
        <v>4180</v>
      </c>
      <c r="E68" s="389" t="s">
        <v>4927</v>
      </c>
      <c r="F68" s="390">
        <v>232.36</v>
      </c>
      <c r="G68" s="390">
        <v>971264.8</v>
      </c>
      <c r="H68" s="389">
        <v>0.12</v>
      </c>
      <c r="I68" s="389">
        <v>93.37</v>
      </c>
      <c r="J68" s="389">
        <v>7.0000000000000007E-2</v>
      </c>
      <c r="K68" s="389">
        <v>51.5</v>
      </c>
    </row>
    <row r="69" spans="1:11" ht="30" hidden="1" x14ac:dyDescent="0.25">
      <c r="A69" s="389" t="s">
        <v>5055</v>
      </c>
      <c r="B69" s="394" t="s">
        <v>5056</v>
      </c>
      <c r="C69" s="389" t="s">
        <v>4979</v>
      </c>
      <c r="D69" s="391">
        <v>63100</v>
      </c>
      <c r="E69" s="389" t="s">
        <v>4927</v>
      </c>
      <c r="F69" s="390">
        <v>14.91</v>
      </c>
      <c r="G69" s="390">
        <v>940821</v>
      </c>
      <c r="H69" s="389">
        <v>0.12</v>
      </c>
      <c r="I69" s="389">
        <v>93.49</v>
      </c>
      <c r="J69" s="389">
        <v>7.0000000000000007E-2</v>
      </c>
      <c r="K69" s="389">
        <v>51.57</v>
      </c>
    </row>
    <row r="70" spans="1:11" ht="30" hidden="1" x14ac:dyDescent="0.25">
      <c r="A70" s="389" t="s">
        <v>5057</v>
      </c>
      <c r="B70" s="394" t="s">
        <v>5058</v>
      </c>
      <c r="C70" s="389" t="s">
        <v>4979</v>
      </c>
      <c r="D70" s="391">
        <v>16320</v>
      </c>
      <c r="E70" s="389" t="s">
        <v>4927</v>
      </c>
      <c r="F70" s="390">
        <v>57.39</v>
      </c>
      <c r="G70" s="390">
        <v>936604.8</v>
      </c>
      <c r="H70" s="389">
        <v>0.12</v>
      </c>
      <c r="I70" s="389">
        <v>93.61</v>
      </c>
      <c r="J70" s="389">
        <v>7.0000000000000007E-2</v>
      </c>
      <c r="K70" s="389">
        <v>51.64</v>
      </c>
    </row>
    <row r="71" spans="1:11" hidden="1" x14ac:dyDescent="0.25">
      <c r="A71" s="389" t="s">
        <v>5059</v>
      </c>
      <c r="B71" s="394" t="s">
        <v>5060</v>
      </c>
      <c r="C71" s="389" t="s">
        <v>5061</v>
      </c>
      <c r="D71" s="391">
        <v>1784.4</v>
      </c>
      <c r="E71" s="389" t="s">
        <v>4927</v>
      </c>
      <c r="F71" s="390">
        <v>523.20000000000005</v>
      </c>
      <c r="G71" s="390">
        <v>933598.08</v>
      </c>
      <c r="H71" s="389">
        <v>0.12</v>
      </c>
      <c r="I71" s="389">
        <v>93.73</v>
      </c>
      <c r="J71" s="389">
        <v>7.0000000000000007E-2</v>
      </c>
      <c r="K71" s="389">
        <v>51.71</v>
      </c>
    </row>
    <row r="72" spans="1:11" hidden="1" x14ac:dyDescent="0.25">
      <c r="A72" s="389" t="s">
        <v>5062</v>
      </c>
      <c r="B72" s="394" t="s">
        <v>5063</v>
      </c>
      <c r="C72" s="389" t="s">
        <v>4972</v>
      </c>
      <c r="D72" s="391">
        <v>28710</v>
      </c>
      <c r="E72" s="389" t="s">
        <v>4927</v>
      </c>
      <c r="F72" s="390">
        <v>32.08</v>
      </c>
      <c r="G72" s="390">
        <v>921016.8</v>
      </c>
      <c r="H72" s="389">
        <v>0.12</v>
      </c>
      <c r="I72" s="389">
        <v>93.85</v>
      </c>
      <c r="J72" s="389">
        <v>0.06</v>
      </c>
      <c r="K72" s="389">
        <v>51.77</v>
      </c>
    </row>
    <row r="73" spans="1:11" hidden="1" x14ac:dyDescent="0.25">
      <c r="A73" s="389" t="s">
        <v>5064</v>
      </c>
      <c r="B73" s="394" t="s">
        <v>5065</v>
      </c>
      <c r="C73" s="389" t="s">
        <v>4979</v>
      </c>
      <c r="D73" s="391">
        <v>1740</v>
      </c>
      <c r="E73" s="389" t="s">
        <v>4927</v>
      </c>
      <c r="F73" s="390">
        <v>508.58</v>
      </c>
      <c r="G73" s="390">
        <v>884929.2</v>
      </c>
      <c r="H73" s="389">
        <v>0.11</v>
      </c>
      <c r="I73" s="389">
        <v>93.96</v>
      </c>
      <c r="J73" s="389">
        <v>0.06</v>
      </c>
      <c r="K73" s="389">
        <v>51.83</v>
      </c>
    </row>
    <row r="74" spans="1:11" ht="30" hidden="1" x14ac:dyDescent="0.25">
      <c r="A74" s="389" t="s">
        <v>5066</v>
      </c>
      <c r="B74" s="394" t="s">
        <v>5067</v>
      </c>
      <c r="C74" s="389" t="s">
        <v>4979</v>
      </c>
      <c r="D74" s="391">
        <v>9600</v>
      </c>
      <c r="E74" s="389" t="s">
        <v>4927</v>
      </c>
      <c r="F74" s="390">
        <v>88.72</v>
      </c>
      <c r="G74" s="390">
        <v>851712</v>
      </c>
      <c r="H74" s="389">
        <v>0.11</v>
      </c>
      <c r="I74" s="389">
        <v>94.07</v>
      </c>
      <c r="J74" s="389">
        <v>0.06</v>
      </c>
      <c r="K74" s="389">
        <v>51.89</v>
      </c>
    </row>
    <row r="75" spans="1:11" hidden="1" x14ac:dyDescent="0.25">
      <c r="A75" s="389" t="s">
        <v>5068</v>
      </c>
      <c r="B75" s="394" t="s">
        <v>5069</v>
      </c>
      <c r="C75" s="389" t="s">
        <v>4934</v>
      </c>
      <c r="D75" s="391">
        <v>268992.82</v>
      </c>
      <c r="E75" s="389" t="s">
        <v>4927</v>
      </c>
      <c r="F75" s="390">
        <v>3</v>
      </c>
      <c r="G75" s="390">
        <v>806978.46</v>
      </c>
      <c r="H75" s="389">
        <v>0.1</v>
      </c>
      <c r="I75" s="389">
        <v>94.17</v>
      </c>
      <c r="J75" s="389">
        <v>0.06</v>
      </c>
      <c r="K75" s="389">
        <v>51.95</v>
      </c>
    </row>
    <row r="76" spans="1:11" hidden="1" x14ac:dyDescent="0.25">
      <c r="A76" s="389" t="s">
        <v>5070</v>
      </c>
      <c r="B76" s="394" t="s">
        <v>5071</v>
      </c>
      <c r="C76" s="389" t="s">
        <v>4926</v>
      </c>
      <c r="D76" s="391">
        <v>2857045.9986029998</v>
      </c>
      <c r="E76" s="389" t="s">
        <v>4927</v>
      </c>
      <c r="F76" s="390">
        <v>0.28000000000000003</v>
      </c>
      <c r="G76" s="390">
        <v>799972.85</v>
      </c>
      <c r="H76" s="389">
        <v>0.1</v>
      </c>
      <c r="I76" s="389">
        <v>94.27</v>
      </c>
      <c r="J76" s="389">
        <v>0.06</v>
      </c>
      <c r="K76" s="389">
        <v>52.01</v>
      </c>
    </row>
    <row r="77" spans="1:11" hidden="1" x14ac:dyDescent="0.25">
      <c r="A77" s="389" t="s">
        <v>5072</v>
      </c>
      <c r="B77" s="394" t="s">
        <v>5073</v>
      </c>
      <c r="C77" s="389" t="s">
        <v>4934</v>
      </c>
      <c r="D77" s="389">
        <v>646.21878000000004</v>
      </c>
      <c r="E77" s="389" t="s">
        <v>4927</v>
      </c>
      <c r="F77" s="390">
        <v>1200</v>
      </c>
      <c r="G77" s="390">
        <v>775471.66</v>
      </c>
      <c r="H77" s="389">
        <v>0.1</v>
      </c>
      <c r="I77" s="389">
        <v>94.37</v>
      </c>
      <c r="J77" s="389">
        <v>0.05</v>
      </c>
      <c r="K77" s="389">
        <v>52.06</v>
      </c>
    </row>
    <row r="78" spans="1:11" ht="30" hidden="1" x14ac:dyDescent="0.25">
      <c r="A78" s="389" t="s">
        <v>5074</v>
      </c>
      <c r="B78" s="394" t="s">
        <v>5075</v>
      </c>
      <c r="C78" s="389" t="s">
        <v>4956</v>
      </c>
      <c r="D78" s="389">
        <v>3</v>
      </c>
      <c r="E78" s="389" t="s">
        <v>4927</v>
      </c>
      <c r="F78" s="390">
        <v>258345.42</v>
      </c>
      <c r="G78" s="390">
        <v>775036.26</v>
      </c>
      <c r="H78" s="389">
        <v>0.1</v>
      </c>
      <c r="I78" s="389">
        <v>94.47</v>
      </c>
      <c r="J78" s="389">
        <v>0.05</v>
      </c>
      <c r="K78" s="389">
        <v>52.11</v>
      </c>
    </row>
    <row r="79" spans="1:11" ht="30" hidden="1" x14ac:dyDescent="0.25">
      <c r="A79" s="389" t="s">
        <v>5076</v>
      </c>
      <c r="B79" s="394" t="s">
        <v>5033</v>
      </c>
      <c r="C79" s="389" t="s">
        <v>4979</v>
      </c>
      <c r="D79" s="391">
        <v>2300</v>
      </c>
      <c r="E79" s="389" t="s">
        <v>4927</v>
      </c>
      <c r="F79" s="390">
        <v>333.84</v>
      </c>
      <c r="G79" s="390">
        <v>767832</v>
      </c>
      <c r="H79" s="389">
        <v>0.1</v>
      </c>
      <c r="I79" s="389">
        <v>94.57</v>
      </c>
      <c r="J79" s="389">
        <v>0.05</v>
      </c>
      <c r="K79" s="389">
        <v>52.16</v>
      </c>
    </row>
    <row r="80" spans="1:11" hidden="1" x14ac:dyDescent="0.25">
      <c r="A80" s="389" t="s">
        <v>5077</v>
      </c>
      <c r="B80" s="394" t="s">
        <v>5078</v>
      </c>
      <c r="C80" s="389" t="s">
        <v>4934</v>
      </c>
      <c r="D80" s="391">
        <v>2081.04</v>
      </c>
      <c r="E80" s="389" t="s">
        <v>4927</v>
      </c>
      <c r="F80" s="390">
        <v>348.53</v>
      </c>
      <c r="G80" s="390">
        <v>725304.87</v>
      </c>
      <c r="H80" s="389">
        <v>0.09</v>
      </c>
      <c r="I80" s="389">
        <v>94.66</v>
      </c>
      <c r="J80" s="389">
        <v>0.05</v>
      </c>
      <c r="K80" s="389">
        <v>52.21</v>
      </c>
    </row>
    <row r="81" spans="1:11" ht="45" hidden="1" x14ac:dyDescent="0.25">
      <c r="A81" s="389" t="s">
        <v>5079</v>
      </c>
      <c r="B81" s="394" t="s">
        <v>5080</v>
      </c>
      <c r="C81" s="389" t="s">
        <v>4956</v>
      </c>
      <c r="D81" s="391">
        <v>1050</v>
      </c>
      <c r="E81" s="389" t="s">
        <v>4927</v>
      </c>
      <c r="F81" s="390">
        <v>684.12</v>
      </c>
      <c r="G81" s="390">
        <v>718326</v>
      </c>
      <c r="H81" s="389">
        <v>0.09</v>
      </c>
      <c r="I81" s="389">
        <v>94.75</v>
      </c>
      <c r="J81" s="389">
        <v>0.05</v>
      </c>
      <c r="K81" s="389">
        <v>52.26</v>
      </c>
    </row>
    <row r="82" spans="1:11" hidden="1" x14ac:dyDescent="0.25">
      <c r="A82" s="389" t="s">
        <v>439</v>
      </c>
      <c r="B82" s="394" t="s">
        <v>5081</v>
      </c>
      <c r="C82" s="389" t="s">
        <v>4934</v>
      </c>
      <c r="D82" s="391">
        <v>20746.7</v>
      </c>
      <c r="E82" s="389" t="s">
        <v>4927</v>
      </c>
      <c r="F82" s="390">
        <v>34</v>
      </c>
      <c r="G82" s="390">
        <v>705387.8</v>
      </c>
      <c r="H82" s="389">
        <v>0.09</v>
      </c>
      <c r="I82" s="389">
        <v>94.84</v>
      </c>
      <c r="J82" s="389">
        <v>0.05</v>
      </c>
      <c r="K82" s="389">
        <v>52.31</v>
      </c>
    </row>
    <row r="83" spans="1:11" ht="30" hidden="1" x14ac:dyDescent="0.25">
      <c r="A83" s="389" t="s">
        <v>5082</v>
      </c>
      <c r="B83" s="394" t="s">
        <v>5019</v>
      </c>
      <c r="C83" s="389" t="s">
        <v>4972</v>
      </c>
      <c r="D83" s="391">
        <v>22895.96</v>
      </c>
      <c r="E83" s="389" t="s">
        <v>4927</v>
      </c>
      <c r="F83" s="390">
        <v>28.73</v>
      </c>
      <c r="G83" s="390">
        <v>657800.93000000005</v>
      </c>
      <c r="H83" s="389">
        <v>0.08</v>
      </c>
      <c r="I83" s="389">
        <v>94.92</v>
      </c>
      <c r="J83" s="389">
        <v>0.05</v>
      </c>
      <c r="K83" s="389">
        <v>52.36</v>
      </c>
    </row>
    <row r="84" spans="1:11" ht="30" hidden="1" x14ac:dyDescent="0.25">
      <c r="A84" s="389" t="s">
        <v>5083</v>
      </c>
      <c r="B84" s="394" t="s">
        <v>5084</v>
      </c>
      <c r="C84" s="389" t="s">
        <v>4979</v>
      </c>
      <c r="D84" s="391">
        <v>1740.04</v>
      </c>
      <c r="E84" s="389" t="s">
        <v>4927</v>
      </c>
      <c r="F84" s="390">
        <v>354.46</v>
      </c>
      <c r="G84" s="390">
        <v>616774.57999999996</v>
      </c>
      <c r="H84" s="389">
        <v>0.08</v>
      </c>
      <c r="I84" s="389">
        <v>95</v>
      </c>
      <c r="J84" s="389">
        <v>0.04</v>
      </c>
      <c r="K84" s="389">
        <v>52.4</v>
      </c>
    </row>
    <row r="85" spans="1:11" ht="30" hidden="1" x14ac:dyDescent="0.25">
      <c r="A85" s="389" t="s">
        <v>5085</v>
      </c>
      <c r="B85" s="394" t="s">
        <v>5084</v>
      </c>
      <c r="C85" s="389" t="s">
        <v>4979</v>
      </c>
      <c r="D85" s="391">
        <v>1707.67</v>
      </c>
      <c r="E85" s="389" t="s">
        <v>4927</v>
      </c>
      <c r="F85" s="390">
        <v>361.02</v>
      </c>
      <c r="G85" s="390">
        <v>616503.02</v>
      </c>
      <c r="H85" s="389">
        <v>0.08</v>
      </c>
      <c r="I85" s="389">
        <v>95.08</v>
      </c>
      <c r="J85" s="389">
        <v>0.04</v>
      </c>
      <c r="K85" s="389">
        <v>52.44</v>
      </c>
    </row>
    <row r="86" spans="1:11" hidden="1" x14ac:dyDescent="0.25">
      <c r="A86" s="389" t="s">
        <v>5086</v>
      </c>
      <c r="B86" s="394" t="s">
        <v>5087</v>
      </c>
      <c r="C86" s="389" t="s">
        <v>4972</v>
      </c>
      <c r="D86" s="391">
        <v>9752.2999999999993</v>
      </c>
      <c r="E86" s="389" t="s">
        <v>4927</v>
      </c>
      <c r="F86" s="390">
        <v>59.82</v>
      </c>
      <c r="G86" s="390">
        <v>583382.59</v>
      </c>
      <c r="H86" s="389">
        <v>7.0000000000000007E-2</v>
      </c>
      <c r="I86" s="389">
        <v>95.15</v>
      </c>
      <c r="J86" s="389">
        <v>0.04</v>
      </c>
      <c r="K86" s="389">
        <v>52.48</v>
      </c>
    </row>
    <row r="87" spans="1:11" ht="30" hidden="1" x14ac:dyDescent="0.25">
      <c r="A87" s="389" t="s">
        <v>5088</v>
      </c>
      <c r="B87" s="394" t="s">
        <v>5089</v>
      </c>
      <c r="C87" s="389" t="s">
        <v>5044</v>
      </c>
      <c r="D87" s="389">
        <v>180</v>
      </c>
      <c r="E87" s="389" t="s">
        <v>4927</v>
      </c>
      <c r="F87" s="390">
        <v>3157.31</v>
      </c>
      <c r="G87" s="390">
        <v>568315.80000000005</v>
      </c>
      <c r="H87" s="389">
        <v>7.0000000000000007E-2</v>
      </c>
      <c r="I87" s="389">
        <v>95.22</v>
      </c>
      <c r="J87" s="389">
        <v>0.04</v>
      </c>
      <c r="K87" s="389">
        <v>52.52</v>
      </c>
    </row>
    <row r="88" spans="1:11" hidden="1" x14ac:dyDescent="0.25">
      <c r="A88" s="389" t="s">
        <v>5090</v>
      </c>
      <c r="B88" s="394" t="s">
        <v>5091</v>
      </c>
      <c r="C88" s="389" t="s">
        <v>4979</v>
      </c>
      <c r="D88" s="391">
        <v>26809.040000000001</v>
      </c>
      <c r="E88" s="389" t="s">
        <v>4927</v>
      </c>
      <c r="F88" s="390">
        <v>21</v>
      </c>
      <c r="G88" s="390">
        <v>562989.84</v>
      </c>
      <c r="H88" s="389">
        <v>7.0000000000000007E-2</v>
      </c>
      <c r="I88" s="389">
        <v>95.29</v>
      </c>
      <c r="J88" s="389">
        <v>0.04</v>
      </c>
      <c r="K88" s="389">
        <v>52.56</v>
      </c>
    </row>
    <row r="89" spans="1:11" hidden="1" x14ac:dyDescent="0.25">
      <c r="A89" s="389" t="s">
        <v>266</v>
      </c>
      <c r="B89" s="394" t="s">
        <v>5092</v>
      </c>
      <c r="C89" s="389" t="s">
        <v>4949</v>
      </c>
      <c r="D89" s="391">
        <v>279828.12</v>
      </c>
      <c r="E89" s="389" t="s">
        <v>4927</v>
      </c>
      <c r="F89" s="390">
        <v>1.97</v>
      </c>
      <c r="G89" s="390">
        <v>551261.4</v>
      </c>
      <c r="H89" s="389">
        <v>7.0000000000000007E-2</v>
      </c>
      <c r="I89" s="389">
        <v>95.36</v>
      </c>
      <c r="J89" s="389">
        <v>0.04</v>
      </c>
      <c r="K89" s="389">
        <v>52.6</v>
      </c>
    </row>
    <row r="90" spans="1:11" ht="75" hidden="1" x14ac:dyDescent="0.25">
      <c r="A90" s="389" t="s">
        <v>5093</v>
      </c>
      <c r="B90" s="394" t="s">
        <v>5094</v>
      </c>
      <c r="C90" s="389" t="s">
        <v>5044</v>
      </c>
      <c r="D90" s="389">
        <v>3</v>
      </c>
      <c r="E90" s="389" t="s">
        <v>4927</v>
      </c>
      <c r="F90" s="390">
        <v>176867.12</v>
      </c>
      <c r="G90" s="390">
        <v>530601.36</v>
      </c>
      <c r="H90" s="389">
        <v>7.0000000000000007E-2</v>
      </c>
      <c r="I90" s="389">
        <v>95.43</v>
      </c>
      <c r="J90" s="389">
        <v>0.04</v>
      </c>
      <c r="K90" s="389">
        <v>52.64</v>
      </c>
    </row>
    <row r="91" spans="1:11" hidden="1" x14ac:dyDescent="0.25">
      <c r="A91" s="389" t="s">
        <v>5095</v>
      </c>
      <c r="B91" s="394" t="s">
        <v>5096</v>
      </c>
      <c r="C91" s="389" t="s">
        <v>4972</v>
      </c>
      <c r="D91" s="391">
        <v>52617.2</v>
      </c>
      <c r="E91" s="389" t="s">
        <v>4927</v>
      </c>
      <c r="F91" s="390">
        <v>9.93</v>
      </c>
      <c r="G91" s="390">
        <v>522488.8</v>
      </c>
      <c r="H91" s="389">
        <v>7.0000000000000007E-2</v>
      </c>
      <c r="I91" s="389">
        <v>95.5</v>
      </c>
      <c r="J91" s="389">
        <v>0.04</v>
      </c>
      <c r="K91" s="389">
        <v>52.68</v>
      </c>
    </row>
    <row r="92" spans="1:11" ht="30" hidden="1" x14ac:dyDescent="0.25">
      <c r="A92" s="389" t="s">
        <v>5097</v>
      </c>
      <c r="B92" s="394" t="s">
        <v>5098</v>
      </c>
      <c r="C92" s="389" t="s">
        <v>5044</v>
      </c>
      <c r="D92" s="389">
        <v>50</v>
      </c>
      <c r="E92" s="389" t="s">
        <v>4927</v>
      </c>
      <c r="F92" s="390">
        <v>10040.34</v>
      </c>
      <c r="G92" s="390">
        <v>502017</v>
      </c>
      <c r="H92" s="389">
        <v>0.06</v>
      </c>
      <c r="I92" s="389">
        <v>95.56</v>
      </c>
      <c r="J92" s="389">
        <v>0.04</v>
      </c>
      <c r="K92" s="389">
        <v>52.72</v>
      </c>
    </row>
    <row r="93" spans="1:11" ht="30" hidden="1" x14ac:dyDescent="0.25">
      <c r="A93" s="389" t="s">
        <v>5099</v>
      </c>
      <c r="B93" s="394" t="s">
        <v>5100</v>
      </c>
      <c r="C93" s="389" t="s">
        <v>5044</v>
      </c>
      <c r="D93" s="389">
        <v>330</v>
      </c>
      <c r="E93" s="389" t="s">
        <v>4927</v>
      </c>
      <c r="F93" s="390">
        <v>1511.85</v>
      </c>
      <c r="G93" s="390">
        <v>498910.5</v>
      </c>
      <c r="H93" s="389">
        <v>0.06</v>
      </c>
      <c r="I93" s="389">
        <v>95.62</v>
      </c>
      <c r="J93" s="389">
        <v>0.03</v>
      </c>
      <c r="K93" s="389">
        <v>52.75</v>
      </c>
    </row>
    <row r="94" spans="1:11" ht="30" hidden="1" x14ac:dyDescent="0.25">
      <c r="A94" s="389" t="s">
        <v>5101</v>
      </c>
      <c r="B94" s="394" t="s">
        <v>5102</v>
      </c>
      <c r="C94" s="389" t="s">
        <v>4979</v>
      </c>
      <c r="D94" s="391">
        <v>21130</v>
      </c>
      <c r="E94" s="389" t="s">
        <v>4927</v>
      </c>
      <c r="F94" s="390">
        <v>23.08</v>
      </c>
      <c r="G94" s="390">
        <v>487680.4</v>
      </c>
      <c r="H94" s="389">
        <v>0.06</v>
      </c>
      <c r="I94" s="389">
        <v>95.68</v>
      </c>
      <c r="J94" s="389">
        <v>0.03</v>
      </c>
      <c r="K94" s="389">
        <v>52.78</v>
      </c>
    </row>
    <row r="95" spans="1:11" hidden="1" x14ac:dyDescent="0.25">
      <c r="A95" s="389" t="s">
        <v>5103</v>
      </c>
      <c r="B95" s="394" t="s">
        <v>5104</v>
      </c>
      <c r="C95" s="389" t="s">
        <v>4972</v>
      </c>
      <c r="D95" s="391">
        <v>8594</v>
      </c>
      <c r="E95" s="389" t="s">
        <v>4927</v>
      </c>
      <c r="F95" s="390">
        <v>56.74</v>
      </c>
      <c r="G95" s="390">
        <v>487623.56</v>
      </c>
      <c r="H95" s="389">
        <v>0.06</v>
      </c>
      <c r="I95" s="389">
        <v>95.74</v>
      </c>
      <c r="J95" s="389">
        <v>0.03</v>
      </c>
      <c r="K95" s="389">
        <v>52.81</v>
      </c>
    </row>
    <row r="96" spans="1:11" hidden="1" x14ac:dyDescent="0.25">
      <c r="A96" s="389" t="s">
        <v>5105</v>
      </c>
      <c r="B96" s="394" t="s">
        <v>5106</v>
      </c>
      <c r="C96" s="389" t="s">
        <v>4972</v>
      </c>
      <c r="D96" s="391">
        <v>13055.38</v>
      </c>
      <c r="E96" s="389" t="s">
        <v>4927</v>
      </c>
      <c r="F96" s="390">
        <v>37.32</v>
      </c>
      <c r="G96" s="390">
        <v>487226.78</v>
      </c>
      <c r="H96" s="389">
        <v>0.06</v>
      </c>
      <c r="I96" s="389">
        <v>95.8</v>
      </c>
      <c r="J96" s="389">
        <v>0.03</v>
      </c>
      <c r="K96" s="389">
        <v>52.84</v>
      </c>
    </row>
    <row r="97" spans="1:11" hidden="1" x14ac:dyDescent="0.25">
      <c r="A97" s="389" t="s">
        <v>5107</v>
      </c>
      <c r="B97" s="394" t="s">
        <v>5108</v>
      </c>
      <c r="C97" s="389" t="s">
        <v>4979</v>
      </c>
      <c r="D97" s="391">
        <v>46362</v>
      </c>
      <c r="E97" s="389" t="s">
        <v>4927</v>
      </c>
      <c r="F97" s="390">
        <v>10.5</v>
      </c>
      <c r="G97" s="390">
        <v>486801</v>
      </c>
      <c r="H97" s="389">
        <v>0.06</v>
      </c>
      <c r="I97" s="389">
        <v>95.86</v>
      </c>
      <c r="J97" s="389">
        <v>0.03</v>
      </c>
      <c r="K97" s="389">
        <v>52.87</v>
      </c>
    </row>
    <row r="98" spans="1:11" ht="30" hidden="1" x14ac:dyDescent="0.25">
      <c r="A98" s="389" t="s">
        <v>5109</v>
      </c>
      <c r="B98" s="394" t="s">
        <v>5056</v>
      </c>
      <c r="C98" s="389" t="s">
        <v>4979</v>
      </c>
      <c r="D98" s="391">
        <v>61920</v>
      </c>
      <c r="E98" s="389" t="s">
        <v>4927</v>
      </c>
      <c r="F98" s="390">
        <v>7.55</v>
      </c>
      <c r="G98" s="390">
        <v>467496</v>
      </c>
      <c r="H98" s="389">
        <v>0.06</v>
      </c>
      <c r="I98" s="389">
        <v>95.92</v>
      </c>
      <c r="J98" s="389">
        <v>0.03</v>
      </c>
      <c r="K98" s="389">
        <v>52.9</v>
      </c>
    </row>
    <row r="99" spans="1:11" hidden="1" x14ac:dyDescent="0.25">
      <c r="A99" s="389" t="s">
        <v>5110</v>
      </c>
      <c r="B99" s="394" t="s">
        <v>5111</v>
      </c>
      <c r="C99" s="389" t="s">
        <v>4979</v>
      </c>
      <c r="D99" s="391">
        <v>36000</v>
      </c>
      <c r="E99" s="389" t="s">
        <v>4927</v>
      </c>
      <c r="F99" s="390">
        <v>12.67</v>
      </c>
      <c r="G99" s="390">
        <v>456120</v>
      </c>
      <c r="H99" s="389">
        <v>0.06</v>
      </c>
      <c r="I99" s="389">
        <v>95.98</v>
      </c>
      <c r="J99" s="389">
        <v>0.03</v>
      </c>
      <c r="K99" s="389">
        <v>52.93</v>
      </c>
    </row>
    <row r="100" spans="1:11" hidden="1" x14ac:dyDescent="0.25">
      <c r="A100" s="389" t="s">
        <v>5112</v>
      </c>
      <c r="B100" s="394" t="s">
        <v>5113</v>
      </c>
      <c r="C100" s="389" t="s">
        <v>5114</v>
      </c>
      <c r="D100" s="391">
        <v>44882.402557000001</v>
      </c>
      <c r="E100" s="389" t="s">
        <v>4927</v>
      </c>
      <c r="F100" s="390">
        <v>10</v>
      </c>
      <c r="G100" s="390">
        <v>448824</v>
      </c>
      <c r="H100" s="389">
        <v>0.06</v>
      </c>
      <c r="I100" s="389">
        <v>96.04</v>
      </c>
      <c r="J100" s="389">
        <v>0.03</v>
      </c>
      <c r="K100" s="389">
        <v>52.96</v>
      </c>
    </row>
    <row r="101" spans="1:11" hidden="1" x14ac:dyDescent="0.25">
      <c r="A101" s="389" t="s">
        <v>5115</v>
      </c>
      <c r="B101" s="394" t="s">
        <v>5116</v>
      </c>
      <c r="C101" s="389" t="s">
        <v>4979</v>
      </c>
      <c r="D101" s="391">
        <v>30374</v>
      </c>
      <c r="E101" s="389" t="s">
        <v>4927</v>
      </c>
      <c r="F101" s="390">
        <v>14.44</v>
      </c>
      <c r="G101" s="390">
        <v>438600.56</v>
      </c>
      <c r="H101" s="389">
        <v>0.06</v>
      </c>
      <c r="I101" s="389">
        <v>96.1</v>
      </c>
      <c r="J101" s="389">
        <v>0.03</v>
      </c>
      <c r="K101" s="389">
        <v>52.99</v>
      </c>
    </row>
    <row r="102" spans="1:11" hidden="1" x14ac:dyDescent="0.25">
      <c r="A102" s="389" t="s">
        <v>5117</v>
      </c>
      <c r="B102" s="394" t="s">
        <v>5118</v>
      </c>
      <c r="C102" s="389" t="s">
        <v>4986</v>
      </c>
      <c r="D102" s="389">
        <v>1</v>
      </c>
      <c r="E102" s="389" t="s">
        <v>4927</v>
      </c>
      <c r="F102" s="390">
        <v>436757.5</v>
      </c>
      <c r="G102" s="390">
        <v>436757.5</v>
      </c>
      <c r="H102" s="389">
        <v>0.06</v>
      </c>
      <c r="I102" s="389">
        <v>96.16</v>
      </c>
      <c r="J102" s="389">
        <v>0.03</v>
      </c>
      <c r="K102" s="389">
        <v>53.02</v>
      </c>
    </row>
    <row r="103" spans="1:11" ht="30" hidden="1" x14ac:dyDescent="0.25">
      <c r="A103" s="389" t="s">
        <v>5119</v>
      </c>
      <c r="B103" s="394" t="s">
        <v>5120</v>
      </c>
      <c r="C103" s="389" t="s">
        <v>4972</v>
      </c>
      <c r="D103" s="391">
        <v>9354</v>
      </c>
      <c r="E103" s="389" t="s">
        <v>4927</v>
      </c>
      <c r="F103" s="390">
        <v>46.47</v>
      </c>
      <c r="G103" s="390">
        <v>434680.38</v>
      </c>
      <c r="H103" s="389">
        <v>0.06</v>
      </c>
      <c r="I103" s="389">
        <v>96.22</v>
      </c>
      <c r="J103" s="389">
        <v>0.03</v>
      </c>
      <c r="K103" s="389">
        <v>53.05</v>
      </c>
    </row>
    <row r="104" spans="1:11" hidden="1" x14ac:dyDescent="0.25">
      <c r="A104" s="389" t="s">
        <v>5121</v>
      </c>
      <c r="B104" s="394" t="s">
        <v>5122</v>
      </c>
      <c r="C104" s="389" t="s">
        <v>4926</v>
      </c>
      <c r="D104" s="391">
        <v>169182.33249999999</v>
      </c>
      <c r="E104" s="389" t="s">
        <v>4927</v>
      </c>
      <c r="F104" s="390">
        <v>2.5</v>
      </c>
      <c r="G104" s="390">
        <v>422955.84</v>
      </c>
      <c r="H104" s="389">
        <v>0.05</v>
      </c>
      <c r="I104" s="389">
        <v>96.27</v>
      </c>
      <c r="J104" s="389">
        <v>0.03</v>
      </c>
      <c r="K104" s="389">
        <v>53.08</v>
      </c>
    </row>
    <row r="105" spans="1:11" hidden="1" x14ac:dyDescent="0.25">
      <c r="A105" s="389" t="s">
        <v>5123</v>
      </c>
      <c r="B105" s="394" t="s">
        <v>5124</v>
      </c>
      <c r="C105" s="389" t="s">
        <v>5114</v>
      </c>
      <c r="D105" s="391">
        <v>6913.1738519999999</v>
      </c>
      <c r="E105" s="389" t="s">
        <v>4927</v>
      </c>
      <c r="F105" s="390">
        <v>60</v>
      </c>
      <c r="G105" s="390">
        <v>414790.44</v>
      </c>
      <c r="H105" s="389">
        <v>0.05</v>
      </c>
      <c r="I105" s="389">
        <v>96.32</v>
      </c>
      <c r="J105" s="389">
        <v>0.03</v>
      </c>
      <c r="K105" s="389">
        <v>53.11</v>
      </c>
    </row>
    <row r="106" spans="1:11" ht="45" hidden="1" x14ac:dyDescent="0.25">
      <c r="A106" s="389" t="s">
        <v>5125</v>
      </c>
      <c r="B106" s="394" t="s">
        <v>5126</v>
      </c>
      <c r="C106" s="389" t="s">
        <v>4979</v>
      </c>
      <c r="D106" s="391">
        <v>8400</v>
      </c>
      <c r="E106" s="389" t="s">
        <v>4927</v>
      </c>
      <c r="F106" s="390">
        <v>47.16</v>
      </c>
      <c r="G106" s="390">
        <v>396144</v>
      </c>
      <c r="H106" s="389">
        <v>0.05</v>
      </c>
      <c r="I106" s="389">
        <v>96.37</v>
      </c>
      <c r="J106" s="389">
        <v>0.03</v>
      </c>
      <c r="K106" s="389">
        <v>53.14</v>
      </c>
    </row>
    <row r="107" spans="1:11" ht="75" hidden="1" x14ac:dyDescent="0.25">
      <c r="A107" s="389" t="s">
        <v>5127</v>
      </c>
      <c r="B107" s="394" t="s">
        <v>5128</v>
      </c>
      <c r="C107" s="389" t="s">
        <v>5044</v>
      </c>
      <c r="D107" s="389">
        <v>2</v>
      </c>
      <c r="E107" s="389" t="s">
        <v>4927</v>
      </c>
      <c r="F107" s="390">
        <v>193517.16</v>
      </c>
      <c r="G107" s="390">
        <v>387034.32</v>
      </c>
      <c r="H107" s="389">
        <v>0.05</v>
      </c>
      <c r="I107" s="389">
        <v>96.42</v>
      </c>
      <c r="J107" s="389">
        <v>0.03</v>
      </c>
      <c r="K107" s="389">
        <v>53.17</v>
      </c>
    </row>
    <row r="108" spans="1:11" hidden="1" x14ac:dyDescent="0.25">
      <c r="A108" s="389" t="s">
        <v>386</v>
      </c>
      <c r="B108" s="394" t="s">
        <v>5129</v>
      </c>
      <c r="C108" s="389" t="s">
        <v>4979</v>
      </c>
      <c r="D108" s="391">
        <v>67440.238117000001</v>
      </c>
      <c r="E108" s="389" t="s">
        <v>4927</v>
      </c>
      <c r="F108" s="390">
        <v>5.63</v>
      </c>
      <c r="G108" s="390">
        <v>379688.85</v>
      </c>
      <c r="H108" s="389">
        <v>0.05</v>
      </c>
      <c r="I108" s="389">
        <v>96.47</v>
      </c>
      <c r="J108" s="389">
        <v>0.03</v>
      </c>
      <c r="K108" s="389">
        <v>53.2</v>
      </c>
    </row>
    <row r="109" spans="1:11" hidden="1" x14ac:dyDescent="0.25">
      <c r="A109" s="389" t="s">
        <v>5130</v>
      </c>
      <c r="B109" s="394" t="s">
        <v>5131</v>
      </c>
      <c r="C109" s="389" t="s">
        <v>5044</v>
      </c>
      <c r="D109" s="389">
        <v>6</v>
      </c>
      <c r="E109" s="389" t="s">
        <v>4927</v>
      </c>
      <c r="F109" s="390">
        <v>63117.81</v>
      </c>
      <c r="G109" s="390">
        <v>378706.86</v>
      </c>
      <c r="H109" s="389">
        <v>0.05</v>
      </c>
      <c r="I109" s="389">
        <v>96.52</v>
      </c>
      <c r="J109" s="389">
        <v>0.03</v>
      </c>
      <c r="K109" s="389">
        <v>53.23</v>
      </c>
    </row>
    <row r="110" spans="1:11" hidden="1" x14ac:dyDescent="0.25">
      <c r="A110" s="389" t="s">
        <v>5132</v>
      </c>
      <c r="B110" s="394" t="s">
        <v>5133</v>
      </c>
      <c r="C110" s="389" t="s">
        <v>4972</v>
      </c>
      <c r="D110" s="391">
        <v>8782</v>
      </c>
      <c r="E110" s="389" t="s">
        <v>4927</v>
      </c>
      <c r="F110" s="390">
        <v>43.06</v>
      </c>
      <c r="G110" s="390">
        <v>378152.92</v>
      </c>
      <c r="H110" s="389">
        <v>0.05</v>
      </c>
      <c r="I110" s="389">
        <v>96.57</v>
      </c>
      <c r="J110" s="389">
        <v>0.03</v>
      </c>
      <c r="K110" s="389">
        <v>53.26</v>
      </c>
    </row>
    <row r="111" spans="1:11" ht="45" hidden="1" x14ac:dyDescent="0.25">
      <c r="A111" s="389" t="s">
        <v>5134</v>
      </c>
      <c r="B111" s="394" t="s">
        <v>5135</v>
      </c>
      <c r="C111" s="389" t="s">
        <v>5044</v>
      </c>
      <c r="D111" s="389">
        <v>8</v>
      </c>
      <c r="E111" s="389" t="s">
        <v>4927</v>
      </c>
      <c r="F111" s="390">
        <v>44201.08</v>
      </c>
      <c r="G111" s="390">
        <v>353608.64</v>
      </c>
      <c r="H111" s="389">
        <v>0.04</v>
      </c>
      <c r="I111" s="389">
        <v>96.61</v>
      </c>
      <c r="J111" s="389">
        <v>0.02</v>
      </c>
      <c r="K111" s="389">
        <v>53.28</v>
      </c>
    </row>
    <row r="112" spans="1:11" ht="30" hidden="1" x14ac:dyDescent="0.25">
      <c r="A112" s="389" t="s">
        <v>5136</v>
      </c>
      <c r="B112" s="394" t="s">
        <v>5137</v>
      </c>
      <c r="C112" s="389" t="s">
        <v>4972</v>
      </c>
      <c r="D112" s="391">
        <v>21200</v>
      </c>
      <c r="E112" s="389" t="s">
        <v>4927</v>
      </c>
      <c r="F112" s="390">
        <v>16.64</v>
      </c>
      <c r="G112" s="390">
        <v>352768</v>
      </c>
      <c r="H112" s="389">
        <v>0.04</v>
      </c>
      <c r="I112" s="389">
        <v>96.65</v>
      </c>
      <c r="J112" s="389">
        <v>0.02</v>
      </c>
      <c r="K112" s="389">
        <v>53.3</v>
      </c>
    </row>
    <row r="113" spans="1:11" ht="30" hidden="1" x14ac:dyDescent="0.25">
      <c r="A113" s="389" t="s">
        <v>5138</v>
      </c>
      <c r="B113" s="394" t="s">
        <v>5089</v>
      </c>
      <c r="C113" s="389" t="s">
        <v>5044</v>
      </c>
      <c r="D113" s="389">
        <v>119</v>
      </c>
      <c r="E113" s="389" t="s">
        <v>4927</v>
      </c>
      <c r="F113" s="390">
        <v>2956.39</v>
      </c>
      <c r="G113" s="390">
        <v>351810.41</v>
      </c>
      <c r="H113" s="389">
        <v>0.04</v>
      </c>
      <c r="I113" s="389">
        <v>96.69</v>
      </c>
      <c r="J113" s="389">
        <v>0.02</v>
      </c>
      <c r="K113" s="389">
        <v>53.32</v>
      </c>
    </row>
    <row r="114" spans="1:11" hidden="1" x14ac:dyDescent="0.25">
      <c r="A114" s="389" t="s">
        <v>272</v>
      </c>
      <c r="B114" s="394" t="s">
        <v>5139</v>
      </c>
      <c r="C114" s="389" t="s">
        <v>4932</v>
      </c>
      <c r="D114" s="389">
        <v>136.85322400000001</v>
      </c>
      <c r="E114" s="389" t="s">
        <v>4927</v>
      </c>
      <c r="F114" s="390">
        <v>2500</v>
      </c>
      <c r="G114" s="390">
        <v>342133.06</v>
      </c>
      <c r="H114" s="389">
        <v>0.04</v>
      </c>
      <c r="I114" s="389">
        <v>96.73</v>
      </c>
      <c r="J114" s="389">
        <v>0.02</v>
      </c>
      <c r="K114" s="389">
        <v>53.34</v>
      </c>
    </row>
    <row r="115" spans="1:11" ht="75" hidden="1" x14ac:dyDescent="0.25">
      <c r="A115" s="389" t="s">
        <v>5140</v>
      </c>
      <c r="B115" s="394" t="s">
        <v>5141</v>
      </c>
      <c r="C115" s="389" t="s">
        <v>5044</v>
      </c>
      <c r="D115" s="389">
        <v>2</v>
      </c>
      <c r="E115" s="389" t="s">
        <v>4927</v>
      </c>
      <c r="F115" s="390">
        <v>169327.52</v>
      </c>
      <c r="G115" s="390">
        <v>338655.04</v>
      </c>
      <c r="H115" s="389">
        <v>0.04</v>
      </c>
      <c r="I115" s="389">
        <v>96.77</v>
      </c>
      <c r="J115" s="389">
        <v>0.02</v>
      </c>
      <c r="K115" s="389">
        <v>53.36</v>
      </c>
    </row>
    <row r="116" spans="1:11" hidden="1" x14ac:dyDescent="0.25">
      <c r="A116" s="389" t="s">
        <v>5142</v>
      </c>
      <c r="B116" s="394" t="s">
        <v>5063</v>
      </c>
      <c r="C116" s="389" t="s">
        <v>4972</v>
      </c>
      <c r="D116" s="391">
        <v>10230</v>
      </c>
      <c r="E116" s="389" t="s">
        <v>4927</v>
      </c>
      <c r="F116" s="390">
        <v>32.67</v>
      </c>
      <c r="G116" s="390">
        <v>334214.09999999998</v>
      </c>
      <c r="H116" s="389">
        <v>0.04</v>
      </c>
      <c r="I116" s="389">
        <v>96.81</v>
      </c>
      <c r="J116" s="389">
        <v>0.02</v>
      </c>
      <c r="K116" s="389">
        <v>53.38</v>
      </c>
    </row>
    <row r="117" spans="1:11" ht="30" hidden="1" x14ac:dyDescent="0.25">
      <c r="A117" s="389" t="s">
        <v>5143</v>
      </c>
      <c r="B117" s="394" t="s">
        <v>5054</v>
      </c>
      <c r="C117" s="389" t="s">
        <v>4972</v>
      </c>
      <c r="D117" s="391">
        <v>1580</v>
      </c>
      <c r="E117" s="389" t="s">
        <v>4927</v>
      </c>
      <c r="F117" s="390">
        <v>204.48</v>
      </c>
      <c r="G117" s="390">
        <v>323078.40000000002</v>
      </c>
      <c r="H117" s="389">
        <v>0.04</v>
      </c>
      <c r="I117" s="389">
        <v>96.85</v>
      </c>
      <c r="J117" s="389">
        <v>0.02</v>
      </c>
      <c r="K117" s="389">
        <v>53.4</v>
      </c>
    </row>
    <row r="118" spans="1:11" hidden="1" x14ac:dyDescent="0.25">
      <c r="A118" s="389" t="s">
        <v>5144</v>
      </c>
      <c r="B118" s="394" t="s">
        <v>5145</v>
      </c>
      <c r="C118" s="389" t="s">
        <v>5044</v>
      </c>
      <c r="D118" s="389">
        <v>180</v>
      </c>
      <c r="E118" s="389" t="s">
        <v>4927</v>
      </c>
      <c r="F118" s="390">
        <v>1770.32</v>
      </c>
      <c r="G118" s="390">
        <v>318657.59999999998</v>
      </c>
      <c r="H118" s="389">
        <v>0.04</v>
      </c>
      <c r="I118" s="389">
        <v>96.89</v>
      </c>
      <c r="J118" s="389">
        <v>0.02</v>
      </c>
      <c r="K118" s="389">
        <v>53.42</v>
      </c>
    </row>
    <row r="119" spans="1:11" hidden="1" x14ac:dyDescent="0.25">
      <c r="A119" s="389" t="s">
        <v>5146</v>
      </c>
      <c r="B119" s="394" t="s">
        <v>5147</v>
      </c>
      <c r="C119" s="389" t="s">
        <v>4972</v>
      </c>
      <c r="D119" s="391">
        <v>27266.82</v>
      </c>
      <c r="E119" s="389" t="s">
        <v>4927</v>
      </c>
      <c r="F119" s="390">
        <v>11.6</v>
      </c>
      <c r="G119" s="390">
        <v>316295.11</v>
      </c>
      <c r="H119" s="389">
        <v>0.04</v>
      </c>
      <c r="I119" s="389">
        <v>96.93</v>
      </c>
      <c r="J119" s="389">
        <v>0.02</v>
      </c>
      <c r="K119" s="389">
        <v>53.44</v>
      </c>
    </row>
    <row r="120" spans="1:11" hidden="1" x14ac:dyDescent="0.25">
      <c r="A120" s="389" t="s">
        <v>5148</v>
      </c>
      <c r="B120" s="394" t="s">
        <v>5149</v>
      </c>
      <c r="C120" s="389" t="s">
        <v>4956</v>
      </c>
      <c r="D120" s="391">
        <v>2200</v>
      </c>
      <c r="E120" s="389" t="s">
        <v>4927</v>
      </c>
      <c r="F120" s="390">
        <v>141.21</v>
      </c>
      <c r="G120" s="390">
        <v>310662</v>
      </c>
      <c r="H120" s="389">
        <v>0.04</v>
      </c>
      <c r="I120" s="389">
        <v>96.97</v>
      </c>
      <c r="J120" s="389">
        <v>0.02</v>
      </c>
      <c r="K120" s="389">
        <v>53.46</v>
      </c>
    </row>
    <row r="121" spans="1:11" hidden="1" x14ac:dyDescent="0.25">
      <c r="A121" s="389" t="s">
        <v>309</v>
      </c>
      <c r="B121" s="394" t="s">
        <v>5150</v>
      </c>
      <c r="C121" s="389" t="s">
        <v>4926</v>
      </c>
      <c r="D121" s="391">
        <v>69723.279972000004</v>
      </c>
      <c r="E121" s="389" t="s">
        <v>4927</v>
      </c>
      <c r="F121" s="390">
        <v>4.34</v>
      </c>
      <c r="G121" s="390">
        <v>302599</v>
      </c>
      <c r="H121" s="389">
        <v>0.04</v>
      </c>
      <c r="I121" s="389">
        <v>97.01</v>
      </c>
      <c r="J121" s="389">
        <v>0.02</v>
      </c>
      <c r="K121" s="389">
        <v>53.48</v>
      </c>
    </row>
    <row r="122" spans="1:11" ht="45" hidden="1" x14ac:dyDescent="0.25">
      <c r="A122" s="389" t="s">
        <v>5151</v>
      </c>
      <c r="B122" s="394" t="s">
        <v>5152</v>
      </c>
      <c r="C122" s="389" t="s">
        <v>5044</v>
      </c>
      <c r="D122" s="389">
        <v>12</v>
      </c>
      <c r="E122" s="389" t="s">
        <v>4927</v>
      </c>
      <c r="F122" s="390">
        <v>23749.82</v>
      </c>
      <c r="G122" s="390">
        <v>284997.84000000003</v>
      </c>
      <c r="H122" s="389">
        <v>0.04</v>
      </c>
      <c r="I122" s="389">
        <v>97.05</v>
      </c>
      <c r="J122" s="389">
        <v>0.02</v>
      </c>
      <c r="K122" s="389">
        <v>53.5</v>
      </c>
    </row>
    <row r="123" spans="1:11" hidden="1" x14ac:dyDescent="0.25">
      <c r="A123" s="389" t="s">
        <v>5153</v>
      </c>
      <c r="B123" s="394" t="s">
        <v>5154</v>
      </c>
      <c r="C123" s="389" t="s">
        <v>5114</v>
      </c>
      <c r="D123" s="391">
        <v>3480.9859999999999</v>
      </c>
      <c r="E123" s="389" t="s">
        <v>4927</v>
      </c>
      <c r="F123" s="390">
        <v>80</v>
      </c>
      <c r="G123" s="390">
        <v>278478.88</v>
      </c>
      <c r="H123" s="389">
        <v>0.04</v>
      </c>
      <c r="I123" s="389">
        <v>97.09</v>
      </c>
      <c r="J123" s="389">
        <v>0.02</v>
      </c>
      <c r="K123" s="389">
        <v>53.52</v>
      </c>
    </row>
    <row r="124" spans="1:11" ht="30" hidden="1" x14ac:dyDescent="0.25">
      <c r="A124" s="389" t="s">
        <v>5155</v>
      </c>
      <c r="B124" s="394" t="s">
        <v>5156</v>
      </c>
      <c r="C124" s="389" t="s">
        <v>5044</v>
      </c>
      <c r="D124" s="389">
        <v>13</v>
      </c>
      <c r="E124" s="389" t="s">
        <v>4927</v>
      </c>
      <c r="F124" s="390">
        <v>21396.85</v>
      </c>
      <c r="G124" s="390">
        <v>278159.05</v>
      </c>
      <c r="H124" s="389">
        <v>0.04</v>
      </c>
      <c r="I124" s="389">
        <v>97.13</v>
      </c>
      <c r="J124" s="389">
        <v>0.02</v>
      </c>
      <c r="K124" s="389">
        <v>53.54</v>
      </c>
    </row>
    <row r="125" spans="1:11" hidden="1" x14ac:dyDescent="0.25">
      <c r="A125" s="389" t="s">
        <v>5157</v>
      </c>
      <c r="B125" s="394" t="s">
        <v>5158</v>
      </c>
      <c r="C125" s="389" t="s">
        <v>4926</v>
      </c>
      <c r="D125" s="391">
        <v>51371.81</v>
      </c>
      <c r="E125" s="389" t="s">
        <v>4927</v>
      </c>
      <c r="F125" s="390">
        <v>5.39</v>
      </c>
      <c r="G125" s="390">
        <v>276894.06</v>
      </c>
      <c r="H125" s="389">
        <v>0.04</v>
      </c>
      <c r="I125" s="389">
        <v>97.17</v>
      </c>
      <c r="J125" s="389">
        <v>0.02</v>
      </c>
      <c r="K125" s="389">
        <v>53.56</v>
      </c>
    </row>
    <row r="126" spans="1:11" hidden="1" x14ac:dyDescent="0.25">
      <c r="A126" s="389" t="s">
        <v>5159</v>
      </c>
      <c r="B126" s="394" t="s">
        <v>5160</v>
      </c>
      <c r="C126" s="389" t="s">
        <v>4979</v>
      </c>
      <c r="D126" s="391">
        <v>1317</v>
      </c>
      <c r="E126" s="389" t="s">
        <v>4927</v>
      </c>
      <c r="F126" s="390">
        <v>209.44</v>
      </c>
      <c r="G126" s="390">
        <v>275832.48</v>
      </c>
      <c r="H126" s="389">
        <v>0.03</v>
      </c>
      <c r="I126" s="389">
        <v>97.2</v>
      </c>
      <c r="J126" s="389">
        <v>0.02</v>
      </c>
      <c r="K126" s="389">
        <v>53.58</v>
      </c>
    </row>
    <row r="127" spans="1:11" hidden="1" x14ac:dyDescent="0.25">
      <c r="A127" s="389" t="s">
        <v>391</v>
      </c>
      <c r="B127" s="394" t="s">
        <v>5161</v>
      </c>
      <c r="C127" s="389" t="s">
        <v>4972</v>
      </c>
      <c r="D127" s="391">
        <v>7804.74</v>
      </c>
      <c r="E127" s="389" t="s">
        <v>4927</v>
      </c>
      <c r="F127" s="390">
        <v>33.47</v>
      </c>
      <c r="G127" s="390">
        <v>261224.65</v>
      </c>
      <c r="H127" s="389">
        <v>0.03</v>
      </c>
      <c r="I127" s="389">
        <v>97.23</v>
      </c>
      <c r="J127" s="389">
        <v>0.02</v>
      </c>
      <c r="K127" s="389">
        <v>53.6</v>
      </c>
    </row>
    <row r="128" spans="1:11" ht="45" hidden="1" x14ac:dyDescent="0.25">
      <c r="A128" s="389" t="s">
        <v>5162</v>
      </c>
      <c r="B128" s="394" t="s">
        <v>5163</v>
      </c>
      <c r="C128" s="389" t="s">
        <v>5164</v>
      </c>
      <c r="D128" s="389">
        <v>170</v>
      </c>
      <c r="E128" s="389" t="s">
        <v>4927</v>
      </c>
      <c r="F128" s="390">
        <v>1511.85</v>
      </c>
      <c r="G128" s="390">
        <v>257014.5</v>
      </c>
      <c r="H128" s="389">
        <v>0.03</v>
      </c>
      <c r="I128" s="389">
        <v>97.26</v>
      </c>
      <c r="J128" s="389">
        <v>0.02</v>
      </c>
      <c r="K128" s="389">
        <v>53.62</v>
      </c>
    </row>
    <row r="129" spans="1:11" hidden="1" x14ac:dyDescent="0.25">
      <c r="A129" s="389" t="s">
        <v>5165</v>
      </c>
      <c r="B129" s="394" t="s">
        <v>5111</v>
      </c>
      <c r="C129" s="389" t="s">
        <v>4979</v>
      </c>
      <c r="D129" s="391">
        <v>24200</v>
      </c>
      <c r="E129" s="389" t="s">
        <v>4927</v>
      </c>
      <c r="F129" s="390">
        <v>10.55</v>
      </c>
      <c r="G129" s="390">
        <v>255310</v>
      </c>
      <c r="H129" s="389">
        <v>0.03</v>
      </c>
      <c r="I129" s="389">
        <v>97.29</v>
      </c>
      <c r="J129" s="389">
        <v>0.02</v>
      </c>
      <c r="K129" s="389">
        <v>53.64</v>
      </c>
    </row>
    <row r="130" spans="1:11" hidden="1" x14ac:dyDescent="0.25">
      <c r="A130" s="389" t="s">
        <v>5166</v>
      </c>
      <c r="B130" s="394" t="s">
        <v>5167</v>
      </c>
      <c r="C130" s="389" t="s">
        <v>5164</v>
      </c>
      <c r="D130" s="389">
        <v>308</v>
      </c>
      <c r="E130" s="389" t="s">
        <v>4927</v>
      </c>
      <c r="F130" s="390">
        <v>815.18</v>
      </c>
      <c r="G130" s="390">
        <v>251075.44</v>
      </c>
      <c r="H130" s="389">
        <v>0.03</v>
      </c>
      <c r="I130" s="389">
        <v>97.32</v>
      </c>
      <c r="J130" s="389">
        <v>0.02</v>
      </c>
      <c r="K130" s="389">
        <v>53.66</v>
      </c>
    </row>
    <row r="131" spans="1:11" ht="45" hidden="1" x14ac:dyDescent="0.25">
      <c r="A131" s="389" t="s">
        <v>5168</v>
      </c>
      <c r="B131" s="394" t="s">
        <v>5169</v>
      </c>
      <c r="C131" s="389" t="s">
        <v>4979</v>
      </c>
      <c r="D131" s="391">
        <v>3201</v>
      </c>
      <c r="E131" s="389" t="s">
        <v>4927</v>
      </c>
      <c r="F131" s="390">
        <v>76.680000000000007</v>
      </c>
      <c r="G131" s="390">
        <v>245452.68</v>
      </c>
      <c r="H131" s="389">
        <v>0.03</v>
      </c>
      <c r="I131" s="389">
        <v>97.35</v>
      </c>
      <c r="J131" s="389">
        <v>0.02</v>
      </c>
      <c r="K131" s="389">
        <v>53.68</v>
      </c>
    </row>
    <row r="132" spans="1:11" ht="30" hidden="1" x14ac:dyDescent="0.25">
      <c r="A132" s="389" t="s">
        <v>5170</v>
      </c>
      <c r="B132" s="394" t="s">
        <v>5171</v>
      </c>
      <c r="C132" s="389" t="s">
        <v>4979</v>
      </c>
      <c r="D132" s="391">
        <v>52940</v>
      </c>
      <c r="E132" s="389" t="s">
        <v>4927</v>
      </c>
      <c r="F132" s="390">
        <v>4.5999999999999996</v>
      </c>
      <c r="G132" s="390">
        <v>243524</v>
      </c>
      <c r="H132" s="389">
        <v>0.03</v>
      </c>
      <c r="I132" s="389">
        <v>97.38</v>
      </c>
      <c r="J132" s="389">
        <v>0.02</v>
      </c>
      <c r="K132" s="389">
        <v>53.7</v>
      </c>
    </row>
    <row r="133" spans="1:11" ht="30" hidden="1" x14ac:dyDescent="0.25">
      <c r="A133" s="389" t="s">
        <v>5172</v>
      </c>
      <c r="B133" s="394" t="s">
        <v>5137</v>
      </c>
      <c r="C133" s="389" t="s">
        <v>4972</v>
      </c>
      <c r="D133" s="391">
        <v>4180</v>
      </c>
      <c r="E133" s="389" t="s">
        <v>4927</v>
      </c>
      <c r="F133" s="390">
        <v>58.09</v>
      </c>
      <c r="G133" s="390">
        <v>242816.2</v>
      </c>
      <c r="H133" s="389">
        <v>0.03</v>
      </c>
      <c r="I133" s="389">
        <v>97.41</v>
      </c>
      <c r="J133" s="389">
        <v>0.02</v>
      </c>
      <c r="K133" s="389">
        <v>53.72</v>
      </c>
    </row>
    <row r="134" spans="1:11" hidden="1" x14ac:dyDescent="0.25">
      <c r="A134" s="389" t="s">
        <v>5173</v>
      </c>
      <c r="B134" s="394" t="s">
        <v>5174</v>
      </c>
      <c r="C134" s="389" t="s">
        <v>4926</v>
      </c>
      <c r="D134" s="391">
        <v>118481.94</v>
      </c>
      <c r="E134" s="389" t="s">
        <v>4927</v>
      </c>
      <c r="F134" s="390">
        <v>1.98</v>
      </c>
      <c r="G134" s="390">
        <v>234594.24</v>
      </c>
      <c r="H134" s="389">
        <v>0.03</v>
      </c>
      <c r="I134" s="389">
        <v>97.44</v>
      </c>
      <c r="J134" s="389">
        <v>0.02</v>
      </c>
      <c r="K134" s="389">
        <v>53.74</v>
      </c>
    </row>
    <row r="135" spans="1:11" hidden="1" x14ac:dyDescent="0.25">
      <c r="A135" s="389" t="s">
        <v>393</v>
      </c>
      <c r="B135" s="394" t="s">
        <v>5175</v>
      </c>
      <c r="C135" s="389" t="s">
        <v>4979</v>
      </c>
      <c r="D135" s="391">
        <v>88128.661514000007</v>
      </c>
      <c r="E135" s="389" t="s">
        <v>4927</v>
      </c>
      <c r="F135" s="390">
        <v>2.63</v>
      </c>
      <c r="G135" s="390">
        <v>231778.4</v>
      </c>
      <c r="H135" s="389">
        <v>0.03</v>
      </c>
      <c r="I135" s="389">
        <v>97.47</v>
      </c>
      <c r="J135" s="389">
        <v>0.02</v>
      </c>
      <c r="K135" s="389">
        <v>53.76</v>
      </c>
    </row>
    <row r="136" spans="1:11" hidden="1" x14ac:dyDescent="0.25">
      <c r="A136" s="389" t="s">
        <v>5176</v>
      </c>
      <c r="B136" s="394" t="s">
        <v>5177</v>
      </c>
      <c r="C136" s="389" t="s">
        <v>4972</v>
      </c>
      <c r="D136" s="389">
        <v>348</v>
      </c>
      <c r="E136" s="389" t="s">
        <v>4927</v>
      </c>
      <c r="F136" s="390">
        <v>661.71</v>
      </c>
      <c r="G136" s="390">
        <v>230275.08</v>
      </c>
      <c r="H136" s="389">
        <v>0.03</v>
      </c>
      <c r="I136" s="389">
        <v>97.5</v>
      </c>
      <c r="J136" s="389">
        <v>0.02</v>
      </c>
      <c r="K136" s="389">
        <v>53.78</v>
      </c>
    </row>
    <row r="137" spans="1:11" hidden="1" x14ac:dyDescent="0.25">
      <c r="A137" s="389" t="s">
        <v>5178</v>
      </c>
      <c r="B137" s="394" t="s">
        <v>5179</v>
      </c>
      <c r="C137" s="389" t="s">
        <v>4979</v>
      </c>
      <c r="D137" s="391">
        <v>17000</v>
      </c>
      <c r="E137" s="389" t="s">
        <v>4927</v>
      </c>
      <c r="F137" s="390">
        <v>13.45</v>
      </c>
      <c r="G137" s="390">
        <v>228650</v>
      </c>
      <c r="H137" s="389">
        <v>0.03</v>
      </c>
      <c r="I137" s="389">
        <v>97.53</v>
      </c>
      <c r="J137" s="389">
        <v>0.02</v>
      </c>
      <c r="K137" s="389">
        <v>53.8</v>
      </c>
    </row>
    <row r="138" spans="1:11" hidden="1" x14ac:dyDescent="0.25">
      <c r="A138" s="389" t="s">
        <v>5180</v>
      </c>
      <c r="B138" s="394" t="s">
        <v>5181</v>
      </c>
      <c r="C138" s="389" t="s">
        <v>4956</v>
      </c>
      <c r="D138" s="389">
        <v>3</v>
      </c>
      <c r="E138" s="389" t="s">
        <v>4927</v>
      </c>
      <c r="F138" s="390">
        <v>72058.34</v>
      </c>
      <c r="G138" s="390">
        <v>216175.02</v>
      </c>
      <c r="H138" s="389">
        <v>0.03</v>
      </c>
      <c r="I138" s="389">
        <v>97.56</v>
      </c>
      <c r="J138" s="389">
        <v>0.02</v>
      </c>
      <c r="K138" s="389">
        <v>53.82</v>
      </c>
    </row>
    <row r="139" spans="1:11" hidden="1" x14ac:dyDescent="0.25">
      <c r="A139" s="389" t="s">
        <v>5182</v>
      </c>
      <c r="B139" s="394" t="s">
        <v>5183</v>
      </c>
      <c r="C139" s="389" t="s">
        <v>4956</v>
      </c>
      <c r="D139" s="389">
        <v>66</v>
      </c>
      <c r="E139" s="389" t="s">
        <v>4927</v>
      </c>
      <c r="F139" s="390">
        <v>3262</v>
      </c>
      <c r="G139" s="390">
        <v>215292</v>
      </c>
      <c r="H139" s="389">
        <v>0.03</v>
      </c>
      <c r="I139" s="389">
        <v>97.59</v>
      </c>
      <c r="J139" s="389">
        <v>0.02</v>
      </c>
      <c r="K139" s="389">
        <v>53.84</v>
      </c>
    </row>
    <row r="140" spans="1:11" hidden="1" x14ac:dyDescent="0.25">
      <c r="A140" s="389" t="s">
        <v>5184</v>
      </c>
      <c r="B140" s="394" t="s">
        <v>5185</v>
      </c>
      <c r="C140" s="389" t="s">
        <v>4979</v>
      </c>
      <c r="D140" s="391">
        <v>5460</v>
      </c>
      <c r="E140" s="389" t="s">
        <v>4927</v>
      </c>
      <c r="F140" s="390">
        <v>39.299999999999997</v>
      </c>
      <c r="G140" s="390">
        <v>214578</v>
      </c>
      <c r="H140" s="389">
        <v>0.03</v>
      </c>
      <c r="I140" s="389">
        <v>97.62</v>
      </c>
      <c r="J140" s="389">
        <v>0.01</v>
      </c>
      <c r="K140" s="389">
        <v>53.85</v>
      </c>
    </row>
    <row r="141" spans="1:11" hidden="1" x14ac:dyDescent="0.25">
      <c r="A141" s="389" t="s">
        <v>5186</v>
      </c>
      <c r="B141" s="394" t="s">
        <v>5187</v>
      </c>
      <c r="C141" s="389" t="s">
        <v>5044</v>
      </c>
      <c r="D141" s="389">
        <v>27</v>
      </c>
      <c r="E141" s="389" t="s">
        <v>4927</v>
      </c>
      <c r="F141" s="390">
        <v>7506.63</v>
      </c>
      <c r="G141" s="390">
        <v>202679.01</v>
      </c>
      <c r="H141" s="389">
        <v>0.03</v>
      </c>
      <c r="I141" s="389">
        <v>97.65</v>
      </c>
      <c r="J141" s="389">
        <v>0.01</v>
      </c>
      <c r="K141" s="389">
        <v>53.86</v>
      </c>
    </row>
    <row r="142" spans="1:11" hidden="1" x14ac:dyDescent="0.25">
      <c r="A142" s="389" t="s">
        <v>5188</v>
      </c>
      <c r="B142" s="394" t="s">
        <v>5189</v>
      </c>
      <c r="C142" s="389" t="s">
        <v>4956</v>
      </c>
      <c r="D142" s="391">
        <v>4068.36</v>
      </c>
      <c r="E142" s="389" t="s">
        <v>4927</v>
      </c>
      <c r="F142" s="390">
        <v>49</v>
      </c>
      <c r="G142" s="390">
        <v>199349.64</v>
      </c>
      <c r="H142" s="389">
        <v>0.03</v>
      </c>
      <c r="I142" s="389">
        <v>97.68</v>
      </c>
      <c r="J142" s="389">
        <v>0.01</v>
      </c>
      <c r="K142" s="389">
        <v>53.87</v>
      </c>
    </row>
    <row r="143" spans="1:11" ht="30" hidden="1" x14ac:dyDescent="0.25">
      <c r="A143" s="389" t="s">
        <v>5190</v>
      </c>
      <c r="B143" s="394" t="s">
        <v>5191</v>
      </c>
      <c r="C143" s="389" t="s">
        <v>4956</v>
      </c>
      <c r="D143" s="389">
        <v>1</v>
      </c>
      <c r="E143" s="389" t="s">
        <v>4927</v>
      </c>
      <c r="F143" s="390">
        <v>198275.76</v>
      </c>
      <c r="G143" s="390">
        <v>198275.76</v>
      </c>
      <c r="H143" s="389">
        <v>0.03</v>
      </c>
      <c r="I143" s="389">
        <v>97.71</v>
      </c>
      <c r="J143" s="389">
        <v>0.01</v>
      </c>
      <c r="K143" s="389">
        <v>53.88</v>
      </c>
    </row>
    <row r="144" spans="1:11" ht="30" hidden="1" x14ac:dyDescent="0.25">
      <c r="A144" s="389" t="s">
        <v>5192</v>
      </c>
      <c r="B144" s="394" t="s">
        <v>5193</v>
      </c>
      <c r="C144" s="389" t="s">
        <v>4956</v>
      </c>
      <c r="D144" s="389">
        <v>12</v>
      </c>
      <c r="E144" s="389" t="s">
        <v>4927</v>
      </c>
      <c r="F144" s="390">
        <v>16219.2</v>
      </c>
      <c r="G144" s="390">
        <v>194630.39999999999</v>
      </c>
      <c r="H144" s="389">
        <v>0.02</v>
      </c>
      <c r="I144" s="389">
        <v>97.73</v>
      </c>
      <c r="J144" s="389">
        <v>0.01</v>
      </c>
      <c r="K144" s="389">
        <v>53.89</v>
      </c>
    </row>
    <row r="145" spans="1:11" ht="30" hidden="1" x14ac:dyDescent="0.25">
      <c r="A145" s="389" t="s">
        <v>5194</v>
      </c>
      <c r="B145" s="394" t="s">
        <v>5195</v>
      </c>
      <c r="C145" s="389" t="s">
        <v>5044</v>
      </c>
      <c r="D145" s="389">
        <v>58</v>
      </c>
      <c r="E145" s="389" t="s">
        <v>4927</v>
      </c>
      <c r="F145" s="390">
        <v>3317.51</v>
      </c>
      <c r="G145" s="390">
        <v>192415.58</v>
      </c>
      <c r="H145" s="389">
        <v>0.02</v>
      </c>
      <c r="I145" s="389">
        <v>97.75</v>
      </c>
      <c r="J145" s="389">
        <v>0.01</v>
      </c>
      <c r="K145" s="389">
        <v>53.9</v>
      </c>
    </row>
    <row r="146" spans="1:11" hidden="1" x14ac:dyDescent="0.25">
      <c r="A146" s="389" t="s">
        <v>544</v>
      </c>
      <c r="B146" s="394" t="s">
        <v>5196</v>
      </c>
      <c r="C146" s="389" t="s">
        <v>5114</v>
      </c>
      <c r="D146" s="391">
        <v>4804.5330999999996</v>
      </c>
      <c r="E146" s="389" t="s">
        <v>4927</v>
      </c>
      <c r="F146" s="390">
        <v>39.31</v>
      </c>
      <c r="G146" s="390">
        <v>188897.98</v>
      </c>
      <c r="H146" s="389">
        <v>0.02</v>
      </c>
      <c r="I146" s="389">
        <v>97.77</v>
      </c>
      <c r="J146" s="389">
        <v>0.01</v>
      </c>
      <c r="K146" s="389">
        <v>53.91</v>
      </c>
    </row>
    <row r="147" spans="1:11" hidden="1" x14ac:dyDescent="0.25">
      <c r="A147" s="389" t="s">
        <v>5197</v>
      </c>
      <c r="B147" s="394" t="s">
        <v>5198</v>
      </c>
      <c r="C147" s="389" t="s">
        <v>4934</v>
      </c>
      <c r="D147" s="389">
        <v>230.60828900000001</v>
      </c>
      <c r="E147" s="389" t="s">
        <v>4927</v>
      </c>
      <c r="F147" s="390">
        <v>800</v>
      </c>
      <c r="G147" s="390">
        <v>184486.64</v>
      </c>
      <c r="H147" s="389">
        <v>0.02</v>
      </c>
      <c r="I147" s="389">
        <v>97.79</v>
      </c>
      <c r="J147" s="389">
        <v>0.01</v>
      </c>
      <c r="K147" s="389">
        <v>53.92</v>
      </c>
    </row>
    <row r="148" spans="1:11" ht="30" hidden="1" x14ac:dyDescent="0.25">
      <c r="A148" s="389" t="s">
        <v>5199</v>
      </c>
      <c r="B148" s="394" t="s">
        <v>5200</v>
      </c>
      <c r="C148" s="389" t="s">
        <v>4956</v>
      </c>
      <c r="D148" s="389">
        <v>8</v>
      </c>
      <c r="E148" s="389" t="s">
        <v>4927</v>
      </c>
      <c r="F148" s="390">
        <v>22292.1</v>
      </c>
      <c r="G148" s="390">
        <v>178336.8</v>
      </c>
      <c r="H148" s="389">
        <v>0.02</v>
      </c>
      <c r="I148" s="389">
        <v>97.81</v>
      </c>
      <c r="J148" s="389">
        <v>0.01</v>
      </c>
      <c r="K148" s="389">
        <v>53.93</v>
      </c>
    </row>
    <row r="149" spans="1:11" hidden="1" x14ac:dyDescent="0.25">
      <c r="A149" s="389" t="s">
        <v>5201</v>
      </c>
      <c r="B149" s="394" t="s">
        <v>5202</v>
      </c>
      <c r="C149" s="389" t="s">
        <v>4956</v>
      </c>
      <c r="D149" s="389">
        <v>2</v>
      </c>
      <c r="E149" s="389" t="s">
        <v>4927</v>
      </c>
      <c r="F149" s="390">
        <v>88824.37</v>
      </c>
      <c r="G149" s="390">
        <v>177648.74</v>
      </c>
      <c r="H149" s="389">
        <v>0.02</v>
      </c>
      <c r="I149" s="389">
        <v>97.83</v>
      </c>
      <c r="J149" s="389">
        <v>0.01</v>
      </c>
      <c r="K149" s="389">
        <v>53.94</v>
      </c>
    </row>
    <row r="150" spans="1:11" hidden="1" x14ac:dyDescent="0.25">
      <c r="A150" s="389" t="s">
        <v>5203</v>
      </c>
      <c r="B150" s="394" t="s">
        <v>5204</v>
      </c>
      <c r="C150" s="389" t="s">
        <v>4979</v>
      </c>
      <c r="D150" s="391">
        <v>13920</v>
      </c>
      <c r="E150" s="389" t="s">
        <v>4927</v>
      </c>
      <c r="F150" s="390">
        <v>12.62</v>
      </c>
      <c r="G150" s="390">
        <v>175670.39999999999</v>
      </c>
      <c r="H150" s="389">
        <v>0.02</v>
      </c>
      <c r="I150" s="389">
        <v>97.85</v>
      </c>
      <c r="J150" s="389">
        <v>0.01</v>
      </c>
      <c r="K150" s="389">
        <v>53.95</v>
      </c>
    </row>
    <row r="151" spans="1:11" ht="45" hidden="1" x14ac:dyDescent="0.25">
      <c r="A151" s="389" t="s">
        <v>5205</v>
      </c>
      <c r="B151" s="394" t="s">
        <v>5206</v>
      </c>
      <c r="C151" s="389" t="s">
        <v>5044</v>
      </c>
      <c r="D151" s="389">
        <v>852</v>
      </c>
      <c r="E151" s="389" t="s">
        <v>4927</v>
      </c>
      <c r="F151" s="390">
        <v>206.09</v>
      </c>
      <c r="G151" s="390">
        <v>175588.68</v>
      </c>
      <c r="H151" s="389">
        <v>0.02</v>
      </c>
      <c r="I151" s="389">
        <v>97.87</v>
      </c>
      <c r="J151" s="389">
        <v>0.01</v>
      </c>
      <c r="K151" s="389">
        <v>53.96</v>
      </c>
    </row>
    <row r="152" spans="1:11" hidden="1" x14ac:dyDescent="0.25">
      <c r="A152" s="389" t="s">
        <v>5207</v>
      </c>
      <c r="B152" s="394" t="s">
        <v>5208</v>
      </c>
      <c r="C152" s="389" t="s">
        <v>4972</v>
      </c>
      <c r="D152" s="391">
        <v>1434.78</v>
      </c>
      <c r="E152" s="389" t="s">
        <v>4927</v>
      </c>
      <c r="F152" s="390">
        <v>121.91</v>
      </c>
      <c r="G152" s="390">
        <v>174914.03</v>
      </c>
      <c r="H152" s="389">
        <v>0.02</v>
      </c>
      <c r="I152" s="389">
        <v>97.89</v>
      </c>
      <c r="J152" s="389">
        <v>0.01</v>
      </c>
      <c r="K152" s="389">
        <v>53.97</v>
      </c>
    </row>
    <row r="153" spans="1:11" ht="45" hidden="1" x14ac:dyDescent="0.25">
      <c r="A153" s="389" t="s">
        <v>5209</v>
      </c>
      <c r="B153" s="394" t="s">
        <v>5210</v>
      </c>
      <c r="C153" s="389" t="s">
        <v>5044</v>
      </c>
      <c r="D153" s="389">
        <v>3</v>
      </c>
      <c r="E153" s="389" t="s">
        <v>4927</v>
      </c>
      <c r="F153" s="390">
        <v>58107.81</v>
      </c>
      <c r="G153" s="390">
        <v>174323.43</v>
      </c>
      <c r="H153" s="389">
        <v>0.02</v>
      </c>
      <c r="I153" s="389">
        <v>97.91</v>
      </c>
      <c r="J153" s="389">
        <v>0.01</v>
      </c>
      <c r="K153" s="389">
        <v>53.98</v>
      </c>
    </row>
    <row r="154" spans="1:11" hidden="1" x14ac:dyDescent="0.25">
      <c r="A154" s="389" t="s">
        <v>5211</v>
      </c>
      <c r="B154" s="394" t="s">
        <v>5212</v>
      </c>
      <c r="C154" s="389" t="s">
        <v>4979</v>
      </c>
      <c r="D154" s="391">
        <v>5463.076</v>
      </c>
      <c r="E154" s="389" t="s">
        <v>4927</v>
      </c>
      <c r="F154" s="390">
        <v>31.9</v>
      </c>
      <c r="G154" s="390">
        <v>174272.13</v>
      </c>
      <c r="H154" s="389">
        <v>0.02</v>
      </c>
      <c r="I154" s="389">
        <v>97.93</v>
      </c>
      <c r="J154" s="389">
        <v>0.01</v>
      </c>
      <c r="K154" s="389">
        <v>53.99</v>
      </c>
    </row>
    <row r="155" spans="1:11" ht="30" hidden="1" x14ac:dyDescent="0.25">
      <c r="A155" s="389" t="s">
        <v>5213</v>
      </c>
      <c r="B155" s="394" t="s">
        <v>5214</v>
      </c>
      <c r="C155" s="389" t="s">
        <v>5044</v>
      </c>
      <c r="D155" s="389">
        <v>20</v>
      </c>
      <c r="E155" s="389" t="s">
        <v>4927</v>
      </c>
      <c r="F155" s="390">
        <v>8671.32</v>
      </c>
      <c r="G155" s="390">
        <v>173426.4</v>
      </c>
      <c r="H155" s="389">
        <v>0.02</v>
      </c>
      <c r="I155" s="389">
        <v>97.95</v>
      </c>
      <c r="J155" s="389">
        <v>0.01</v>
      </c>
      <c r="K155" s="389">
        <v>54</v>
      </c>
    </row>
    <row r="156" spans="1:11" ht="45" hidden="1" x14ac:dyDescent="0.25">
      <c r="A156" s="389" t="s">
        <v>5215</v>
      </c>
      <c r="B156" s="394" t="s">
        <v>5216</v>
      </c>
      <c r="C156" s="389" t="s">
        <v>5044</v>
      </c>
      <c r="D156" s="389">
        <v>3</v>
      </c>
      <c r="E156" s="389" t="s">
        <v>4927</v>
      </c>
      <c r="F156" s="390">
        <v>57450.400000000001</v>
      </c>
      <c r="G156" s="390">
        <v>172351.2</v>
      </c>
      <c r="H156" s="389">
        <v>0.02</v>
      </c>
      <c r="I156" s="389">
        <v>97.97</v>
      </c>
      <c r="J156" s="389">
        <v>0.01</v>
      </c>
      <c r="K156" s="389">
        <v>54.01</v>
      </c>
    </row>
    <row r="157" spans="1:11" ht="45" hidden="1" x14ac:dyDescent="0.25">
      <c r="A157" s="389" t="s">
        <v>5217</v>
      </c>
      <c r="B157" s="394" t="s">
        <v>5218</v>
      </c>
      <c r="C157" s="389" t="s">
        <v>5044</v>
      </c>
      <c r="D157" s="389">
        <v>3</v>
      </c>
      <c r="E157" s="389" t="s">
        <v>4927</v>
      </c>
      <c r="F157" s="390">
        <v>57450.400000000001</v>
      </c>
      <c r="G157" s="390">
        <v>172351.2</v>
      </c>
      <c r="H157" s="389">
        <v>0.02</v>
      </c>
      <c r="I157" s="389">
        <v>97.99</v>
      </c>
      <c r="J157" s="389">
        <v>0.01</v>
      </c>
      <c r="K157" s="389">
        <v>54.02</v>
      </c>
    </row>
    <row r="158" spans="1:11" hidden="1" x14ac:dyDescent="0.25">
      <c r="A158" s="389" t="s">
        <v>5219</v>
      </c>
      <c r="B158" s="394" t="s">
        <v>5145</v>
      </c>
      <c r="C158" s="389" t="s">
        <v>5044</v>
      </c>
      <c r="D158" s="389">
        <v>103</v>
      </c>
      <c r="E158" s="389" t="s">
        <v>4927</v>
      </c>
      <c r="F158" s="390">
        <v>1657.66</v>
      </c>
      <c r="G158" s="390">
        <v>170738.98</v>
      </c>
      <c r="H158" s="389">
        <v>0.02</v>
      </c>
      <c r="I158" s="389">
        <v>98.01</v>
      </c>
      <c r="J158" s="389">
        <v>0.01</v>
      </c>
      <c r="K158" s="389">
        <v>54.03</v>
      </c>
    </row>
    <row r="159" spans="1:11" hidden="1" x14ac:dyDescent="0.25">
      <c r="A159" s="389" t="s">
        <v>5220</v>
      </c>
      <c r="B159" s="394" t="s">
        <v>5221</v>
      </c>
      <c r="C159" s="389" t="s">
        <v>4956</v>
      </c>
      <c r="D159" s="389">
        <v>300</v>
      </c>
      <c r="E159" s="389" t="s">
        <v>4927</v>
      </c>
      <c r="F159" s="390">
        <v>560</v>
      </c>
      <c r="G159" s="390">
        <v>168000</v>
      </c>
      <c r="H159" s="389">
        <v>0.02</v>
      </c>
      <c r="I159" s="389">
        <v>98.03</v>
      </c>
      <c r="J159" s="389">
        <v>0.01</v>
      </c>
      <c r="K159" s="389">
        <v>54.04</v>
      </c>
    </row>
    <row r="160" spans="1:11" hidden="1" x14ac:dyDescent="0.25">
      <c r="A160" s="389" t="s">
        <v>5222</v>
      </c>
      <c r="B160" s="394" t="s">
        <v>5223</v>
      </c>
      <c r="C160" s="389" t="s">
        <v>4956</v>
      </c>
      <c r="D160" s="389">
        <v>22</v>
      </c>
      <c r="E160" s="389" t="s">
        <v>4927</v>
      </c>
      <c r="F160" s="390">
        <v>7476.79</v>
      </c>
      <c r="G160" s="390">
        <v>164489.38</v>
      </c>
      <c r="H160" s="389">
        <v>0.02</v>
      </c>
      <c r="I160" s="389">
        <v>98.05</v>
      </c>
      <c r="J160" s="389">
        <v>0.01</v>
      </c>
      <c r="K160" s="389">
        <v>54.05</v>
      </c>
    </row>
    <row r="161" spans="1:11" hidden="1" x14ac:dyDescent="0.25">
      <c r="A161" s="389" t="s">
        <v>5224</v>
      </c>
      <c r="B161" s="394" t="s">
        <v>5225</v>
      </c>
      <c r="C161" s="389" t="s">
        <v>4979</v>
      </c>
      <c r="D161" s="391">
        <v>15252</v>
      </c>
      <c r="E161" s="389" t="s">
        <v>4927</v>
      </c>
      <c r="F161" s="390">
        <v>10.6</v>
      </c>
      <c r="G161" s="390">
        <v>161671.20000000001</v>
      </c>
      <c r="H161" s="389">
        <v>0.02</v>
      </c>
      <c r="I161" s="389">
        <v>98.07</v>
      </c>
      <c r="J161" s="389">
        <v>0.01</v>
      </c>
      <c r="K161" s="389">
        <v>54.06</v>
      </c>
    </row>
    <row r="162" spans="1:11" hidden="1" x14ac:dyDescent="0.25">
      <c r="A162" s="389" t="s">
        <v>5226</v>
      </c>
      <c r="B162" s="394" t="s">
        <v>5227</v>
      </c>
      <c r="C162" s="389" t="s">
        <v>4926</v>
      </c>
      <c r="D162" s="391">
        <v>62765.39</v>
      </c>
      <c r="E162" s="389" t="s">
        <v>4927</v>
      </c>
      <c r="F162" s="390">
        <v>2.57</v>
      </c>
      <c r="G162" s="390">
        <v>161307.06</v>
      </c>
      <c r="H162" s="389">
        <v>0.02</v>
      </c>
      <c r="I162" s="389">
        <v>98.09</v>
      </c>
      <c r="J162" s="389">
        <v>0.01</v>
      </c>
      <c r="K162" s="389">
        <v>54.07</v>
      </c>
    </row>
    <row r="163" spans="1:11" ht="45" hidden="1" x14ac:dyDescent="0.25">
      <c r="A163" s="389" t="s">
        <v>5228</v>
      </c>
      <c r="B163" s="394" t="s">
        <v>5229</v>
      </c>
      <c r="C163" s="389" t="s">
        <v>5044</v>
      </c>
      <c r="D163" s="389">
        <v>12</v>
      </c>
      <c r="E163" s="389" t="s">
        <v>4927</v>
      </c>
      <c r="F163" s="390">
        <v>13304.3</v>
      </c>
      <c r="G163" s="390">
        <v>159651.6</v>
      </c>
      <c r="H163" s="389">
        <v>0.02</v>
      </c>
      <c r="I163" s="389">
        <v>98.11</v>
      </c>
      <c r="J163" s="389">
        <v>0.01</v>
      </c>
      <c r="K163" s="389">
        <v>54.08</v>
      </c>
    </row>
    <row r="164" spans="1:11" ht="60" hidden="1" x14ac:dyDescent="0.25">
      <c r="A164" s="389" t="s">
        <v>5230</v>
      </c>
      <c r="B164" s="394" t="s">
        <v>5231</v>
      </c>
      <c r="C164" s="389" t="s">
        <v>5044</v>
      </c>
      <c r="D164" s="389">
        <v>3</v>
      </c>
      <c r="E164" s="389" t="s">
        <v>4927</v>
      </c>
      <c r="F164" s="390">
        <v>52489.81</v>
      </c>
      <c r="G164" s="390">
        <v>157469.43</v>
      </c>
      <c r="H164" s="389">
        <v>0.02</v>
      </c>
      <c r="I164" s="389">
        <v>98.13</v>
      </c>
      <c r="J164" s="389">
        <v>0.01</v>
      </c>
      <c r="K164" s="389">
        <v>54.09</v>
      </c>
    </row>
    <row r="165" spans="1:11" hidden="1" x14ac:dyDescent="0.25">
      <c r="A165" s="389" t="s">
        <v>5232</v>
      </c>
      <c r="B165" s="394" t="s">
        <v>5233</v>
      </c>
      <c r="C165" s="389" t="s">
        <v>4956</v>
      </c>
      <c r="D165" s="389">
        <v>9</v>
      </c>
      <c r="E165" s="389" t="s">
        <v>4927</v>
      </c>
      <c r="F165" s="390">
        <v>17405</v>
      </c>
      <c r="G165" s="390">
        <v>156645</v>
      </c>
      <c r="H165" s="389">
        <v>0.02</v>
      </c>
      <c r="I165" s="389">
        <v>98.15</v>
      </c>
      <c r="J165" s="389">
        <v>0.01</v>
      </c>
      <c r="K165" s="389">
        <v>54.1</v>
      </c>
    </row>
    <row r="166" spans="1:11" ht="45" hidden="1" x14ac:dyDescent="0.25">
      <c r="A166" s="389" t="s">
        <v>5234</v>
      </c>
      <c r="B166" s="394" t="s">
        <v>5235</v>
      </c>
      <c r="C166" s="389" t="s">
        <v>5044</v>
      </c>
      <c r="D166" s="389">
        <v>2</v>
      </c>
      <c r="E166" s="389" t="s">
        <v>4927</v>
      </c>
      <c r="F166" s="390">
        <v>78056.02</v>
      </c>
      <c r="G166" s="390">
        <v>156112.04</v>
      </c>
      <c r="H166" s="389">
        <v>0.02</v>
      </c>
      <c r="I166" s="389">
        <v>98.17</v>
      </c>
      <c r="J166" s="389">
        <v>0.01</v>
      </c>
      <c r="K166" s="389">
        <v>54.11</v>
      </c>
    </row>
    <row r="167" spans="1:11" hidden="1" x14ac:dyDescent="0.25">
      <c r="A167" s="389" t="s">
        <v>5236</v>
      </c>
      <c r="B167" s="394" t="s">
        <v>5237</v>
      </c>
      <c r="C167" s="389" t="s">
        <v>4972</v>
      </c>
      <c r="D167" s="391">
        <v>40978.400000000001</v>
      </c>
      <c r="E167" s="389" t="s">
        <v>4927</v>
      </c>
      <c r="F167" s="390">
        <v>3.8</v>
      </c>
      <c r="G167" s="390">
        <v>155717.92000000001</v>
      </c>
      <c r="H167" s="389">
        <v>0.02</v>
      </c>
      <c r="I167" s="389">
        <v>98.19</v>
      </c>
      <c r="J167" s="389">
        <v>0.01</v>
      </c>
      <c r="K167" s="389">
        <v>54.12</v>
      </c>
    </row>
    <row r="168" spans="1:11" hidden="1" x14ac:dyDescent="0.25">
      <c r="A168" s="389" t="s">
        <v>5238</v>
      </c>
      <c r="B168" s="394" t="s">
        <v>5239</v>
      </c>
      <c r="C168" s="389" t="s">
        <v>4934</v>
      </c>
      <c r="D168" s="389">
        <v>160</v>
      </c>
      <c r="E168" s="389" t="s">
        <v>4927</v>
      </c>
      <c r="F168" s="390">
        <v>952.37</v>
      </c>
      <c r="G168" s="390">
        <v>152379.20000000001</v>
      </c>
      <c r="H168" s="389">
        <v>0.02</v>
      </c>
      <c r="I168" s="389">
        <v>98.21</v>
      </c>
      <c r="J168" s="389">
        <v>0.01</v>
      </c>
      <c r="K168" s="389">
        <v>54.13</v>
      </c>
    </row>
    <row r="169" spans="1:11" hidden="1" x14ac:dyDescent="0.25">
      <c r="A169" s="389" t="s">
        <v>5240</v>
      </c>
      <c r="B169" s="394" t="s">
        <v>5241</v>
      </c>
      <c r="C169" s="389" t="s">
        <v>4979</v>
      </c>
      <c r="D169" s="391">
        <v>48270</v>
      </c>
      <c r="E169" s="389" t="s">
        <v>4927</v>
      </c>
      <c r="F169" s="390">
        <v>3.01</v>
      </c>
      <c r="G169" s="390">
        <v>145292.70000000001</v>
      </c>
      <c r="H169" s="389">
        <v>0.02</v>
      </c>
      <c r="I169" s="389">
        <v>98.23</v>
      </c>
      <c r="J169" s="389">
        <v>0.01</v>
      </c>
      <c r="K169" s="389">
        <v>54.14</v>
      </c>
    </row>
    <row r="170" spans="1:11" hidden="1" x14ac:dyDescent="0.25">
      <c r="A170" s="389" t="s">
        <v>5242</v>
      </c>
      <c r="B170" s="394" t="s">
        <v>5243</v>
      </c>
      <c r="C170" s="389" t="s">
        <v>4972</v>
      </c>
      <c r="D170" s="389">
        <v>635.28</v>
      </c>
      <c r="E170" s="389" t="s">
        <v>4927</v>
      </c>
      <c r="F170" s="390">
        <v>224.9</v>
      </c>
      <c r="G170" s="390">
        <v>142874.47</v>
      </c>
      <c r="H170" s="389">
        <v>0.02</v>
      </c>
      <c r="I170" s="389">
        <v>98.25</v>
      </c>
      <c r="J170" s="389">
        <v>0.01</v>
      </c>
      <c r="K170" s="389">
        <v>54.15</v>
      </c>
    </row>
    <row r="171" spans="1:11" ht="60" hidden="1" x14ac:dyDescent="0.25">
      <c r="A171" s="389" t="s">
        <v>5244</v>
      </c>
      <c r="B171" s="394" t="s">
        <v>5245</v>
      </c>
      <c r="C171" s="389" t="s">
        <v>5044</v>
      </c>
      <c r="D171" s="389">
        <v>8</v>
      </c>
      <c r="E171" s="389" t="s">
        <v>4927</v>
      </c>
      <c r="F171" s="390">
        <v>17833.599999999999</v>
      </c>
      <c r="G171" s="390">
        <v>142668.79999999999</v>
      </c>
      <c r="H171" s="389">
        <v>0.02</v>
      </c>
      <c r="I171" s="389">
        <v>98.27</v>
      </c>
      <c r="J171" s="389">
        <v>0.01</v>
      </c>
      <c r="K171" s="389">
        <v>54.16</v>
      </c>
    </row>
    <row r="172" spans="1:11" hidden="1" x14ac:dyDescent="0.25">
      <c r="A172" s="389" t="s">
        <v>5246</v>
      </c>
      <c r="B172" s="394" t="s">
        <v>5247</v>
      </c>
      <c r="C172" s="389" t="s">
        <v>4956</v>
      </c>
      <c r="D172" s="389">
        <v>33</v>
      </c>
      <c r="E172" s="389" t="s">
        <v>4927</v>
      </c>
      <c r="F172" s="390">
        <v>4297.38</v>
      </c>
      <c r="G172" s="390">
        <v>141813.54</v>
      </c>
      <c r="H172" s="389">
        <v>0.02</v>
      </c>
      <c r="I172" s="389">
        <v>98.29</v>
      </c>
      <c r="J172" s="389">
        <v>0.01</v>
      </c>
      <c r="K172" s="389">
        <v>54.17</v>
      </c>
    </row>
    <row r="173" spans="1:11" ht="30" hidden="1" x14ac:dyDescent="0.25">
      <c r="A173" s="389" t="s">
        <v>5248</v>
      </c>
      <c r="B173" s="394" t="s">
        <v>5098</v>
      </c>
      <c r="C173" s="389" t="s">
        <v>5044</v>
      </c>
      <c r="D173" s="389">
        <v>15</v>
      </c>
      <c r="E173" s="389" t="s">
        <v>4927</v>
      </c>
      <c r="F173" s="390">
        <v>9401.41</v>
      </c>
      <c r="G173" s="390">
        <v>141021.15</v>
      </c>
      <c r="H173" s="389">
        <v>0.02</v>
      </c>
      <c r="I173" s="389">
        <v>98.31</v>
      </c>
      <c r="J173" s="389">
        <v>0.01</v>
      </c>
      <c r="K173" s="389">
        <v>54.18</v>
      </c>
    </row>
    <row r="174" spans="1:11" ht="30" hidden="1" x14ac:dyDescent="0.25">
      <c r="A174" s="389" t="s">
        <v>5249</v>
      </c>
      <c r="B174" s="394" t="s">
        <v>5250</v>
      </c>
      <c r="C174" s="389" t="s">
        <v>4956</v>
      </c>
      <c r="D174" s="389">
        <v>14</v>
      </c>
      <c r="E174" s="389" t="s">
        <v>4927</v>
      </c>
      <c r="F174" s="390">
        <v>9957.7000000000007</v>
      </c>
      <c r="G174" s="390">
        <v>139407.79999999999</v>
      </c>
      <c r="H174" s="389">
        <v>0.02</v>
      </c>
      <c r="I174" s="389">
        <v>98.33</v>
      </c>
      <c r="J174" s="389">
        <v>0.01</v>
      </c>
      <c r="K174" s="389">
        <v>54.19</v>
      </c>
    </row>
    <row r="175" spans="1:11" hidden="1" x14ac:dyDescent="0.25">
      <c r="A175" s="389" t="s">
        <v>5251</v>
      </c>
      <c r="B175" s="394" t="s">
        <v>5252</v>
      </c>
      <c r="C175" s="389" t="s">
        <v>4956</v>
      </c>
      <c r="D175" s="389">
        <v>20</v>
      </c>
      <c r="E175" s="389" t="s">
        <v>4927</v>
      </c>
      <c r="F175" s="390">
        <v>6606.84</v>
      </c>
      <c r="G175" s="390">
        <v>132136.79999999999</v>
      </c>
      <c r="H175" s="389">
        <v>0.02</v>
      </c>
      <c r="I175" s="389">
        <v>98.35</v>
      </c>
      <c r="J175" s="389">
        <v>0.01</v>
      </c>
      <c r="K175" s="389">
        <v>54.2</v>
      </c>
    </row>
    <row r="176" spans="1:11" hidden="1" x14ac:dyDescent="0.25">
      <c r="A176" s="389" t="s">
        <v>5253</v>
      </c>
      <c r="B176" s="394" t="s">
        <v>5254</v>
      </c>
      <c r="C176" s="389" t="s">
        <v>4956</v>
      </c>
      <c r="D176" s="389">
        <v>54</v>
      </c>
      <c r="E176" s="389" t="s">
        <v>4927</v>
      </c>
      <c r="F176" s="390">
        <v>2421.16</v>
      </c>
      <c r="G176" s="390">
        <v>130742.64</v>
      </c>
      <c r="H176" s="389">
        <v>0.02</v>
      </c>
      <c r="I176" s="389">
        <v>98.37</v>
      </c>
      <c r="J176" s="389">
        <v>0.01</v>
      </c>
      <c r="K176" s="389">
        <v>54.21</v>
      </c>
    </row>
    <row r="177" spans="1:11" ht="45" hidden="1" x14ac:dyDescent="0.25">
      <c r="A177" s="389" t="s">
        <v>5255</v>
      </c>
      <c r="B177" s="394" t="s">
        <v>5256</v>
      </c>
      <c r="C177" s="389" t="s">
        <v>4979</v>
      </c>
      <c r="D177" s="391">
        <v>8330</v>
      </c>
      <c r="E177" s="389" t="s">
        <v>4927</v>
      </c>
      <c r="F177" s="390">
        <v>15.17</v>
      </c>
      <c r="G177" s="390">
        <v>126366.1</v>
      </c>
      <c r="H177" s="389">
        <v>0.02</v>
      </c>
      <c r="I177" s="389">
        <v>98.39</v>
      </c>
      <c r="J177" s="389">
        <v>0.01</v>
      </c>
      <c r="K177" s="389">
        <v>54.22</v>
      </c>
    </row>
    <row r="178" spans="1:11" ht="45" hidden="1" x14ac:dyDescent="0.25">
      <c r="A178" s="389" t="s">
        <v>5257</v>
      </c>
      <c r="B178" s="394" t="s">
        <v>5258</v>
      </c>
      <c r="C178" s="389" t="s">
        <v>5044</v>
      </c>
      <c r="D178" s="389">
        <v>3</v>
      </c>
      <c r="E178" s="389" t="s">
        <v>4927</v>
      </c>
      <c r="F178" s="390">
        <v>41587.54</v>
      </c>
      <c r="G178" s="390">
        <v>124762.62</v>
      </c>
      <c r="H178" s="389">
        <v>0.02</v>
      </c>
      <c r="I178" s="389">
        <v>98.41</v>
      </c>
      <c r="J178" s="389">
        <v>0.01</v>
      </c>
      <c r="K178" s="389">
        <v>54.23</v>
      </c>
    </row>
    <row r="179" spans="1:11" ht="60" hidden="1" x14ac:dyDescent="0.25">
      <c r="A179" s="389" t="s">
        <v>5259</v>
      </c>
      <c r="B179" s="394" t="s">
        <v>5260</v>
      </c>
      <c r="C179" s="389" t="s">
        <v>5044</v>
      </c>
      <c r="D179" s="389">
        <v>786</v>
      </c>
      <c r="E179" s="389" t="s">
        <v>4927</v>
      </c>
      <c r="F179" s="390">
        <v>157</v>
      </c>
      <c r="G179" s="390">
        <v>123402</v>
      </c>
      <c r="H179" s="389">
        <v>0.02</v>
      </c>
      <c r="I179" s="389">
        <v>98.43</v>
      </c>
      <c r="J179" s="389">
        <v>0.01</v>
      </c>
      <c r="K179" s="389">
        <v>54.24</v>
      </c>
    </row>
    <row r="180" spans="1:11" hidden="1" x14ac:dyDescent="0.25">
      <c r="A180" s="389" t="s">
        <v>5261</v>
      </c>
      <c r="B180" s="394" t="s">
        <v>5262</v>
      </c>
      <c r="C180" s="389" t="s">
        <v>4972</v>
      </c>
      <c r="D180" s="391">
        <v>27784.400000000001</v>
      </c>
      <c r="E180" s="389" t="s">
        <v>4927</v>
      </c>
      <c r="F180" s="390">
        <v>4.3</v>
      </c>
      <c r="G180" s="390">
        <v>119472.92</v>
      </c>
      <c r="H180" s="389">
        <v>0.02</v>
      </c>
      <c r="I180" s="389">
        <v>98.45</v>
      </c>
      <c r="J180" s="389">
        <v>0.01</v>
      </c>
      <c r="K180" s="389">
        <v>54.25</v>
      </c>
    </row>
    <row r="181" spans="1:11" ht="30" hidden="1" x14ac:dyDescent="0.25">
      <c r="A181" s="389" t="s">
        <v>5263</v>
      </c>
      <c r="B181" s="394" t="s">
        <v>5264</v>
      </c>
      <c r="C181" s="389" t="s">
        <v>4956</v>
      </c>
      <c r="D181" s="389">
        <v>4</v>
      </c>
      <c r="E181" s="389" t="s">
        <v>4927</v>
      </c>
      <c r="F181" s="390">
        <v>29687.29</v>
      </c>
      <c r="G181" s="390">
        <v>118749.16</v>
      </c>
      <c r="H181" s="389">
        <v>0.02</v>
      </c>
      <c r="I181" s="389">
        <v>98.47</v>
      </c>
      <c r="J181" s="389">
        <v>0.01</v>
      </c>
      <c r="K181" s="389">
        <v>54.26</v>
      </c>
    </row>
    <row r="182" spans="1:11" hidden="1" x14ac:dyDescent="0.25">
      <c r="A182" s="389" t="s">
        <v>5265</v>
      </c>
      <c r="B182" s="394" t="s">
        <v>5266</v>
      </c>
      <c r="C182" s="389" t="s">
        <v>4979</v>
      </c>
      <c r="D182" s="389">
        <v>20</v>
      </c>
      <c r="E182" s="389" t="s">
        <v>4927</v>
      </c>
      <c r="F182" s="390">
        <v>5886</v>
      </c>
      <c r="G182" s="390">
        <v>117720</v>
      </c>
      <c r="H182" s="389">
        <v>0.01</v>
      </c>
      <c r="I182" s="389">
        <v>98.48</v>
      </c>
      <c r="J182" s="389">
        <v>0.01</v>
      </c>
      <c r="K182" s="389">
        <v>54.27</v>
      </c>
    </row>
    <row r="183" spans="1:11" ht="30" hidden="1" x14ac:dyDescent="0.25">
      <c r="A183" s="389" t="s">
        <v>5267</v>
      </c>
      <c r="B183" s="394" t="s">
        <v>5268</v>
      </c>
      <c r="C183" s="389" t="s">
        <v>5044</v>
      </c>
      <c r="D183" s="389">
        <v>187</v>
      </c>
      <c r="E183" s="389" t="s">
        <v>4927</v>
      </c>
      <c r="F183" s="390">
        <v>627.04</v>
      </c>
      <c r="G183" s="390">
        <v>117256.48</v>
      </c>
      <c r="H183" s="389">
        <v>0.01</v>
      </c>
      <c r="I183" s="389">
        <v>98.49</v>
      </c>
      <c r="J183" s="389">
        <v>0.01</v>
      </c>
      <c r="K183" s="389">
        <v>54.28</v>
      </c>
    </row>
    <row r="184" spans="1:11" ht="60" hidden="1" x14ac:dyDescent="0.25">
      <c r="A184" s="389" t="s">
        <v>5269</v>
      </c>
      <c r="B184" s="394" t="s">
        <v>5270</v>
      </c>
      <c r="C184" s="389" t="s">
        <v>5044</v>
      </c>
      <c r="D184" s="389">
        <v>2</v>
      </c>
      <c r="E184" s="389" t="s">
        <v>4927</v>
      </c>
      <c r="F184" s="390">
        <v>58055.15</v>
      </c>
      <c r="G184" s="390">
        <v>116110.3</v>
      </c>
      <c r="H184" s="389">
        <v>0.01</v>
      </c>
      <c r="I184" s="389">
        <v>98.5</v>
      </c>
      <c r="J184" s="389">
        <v>0.01</v>
      </c>
      <c r="K184" s="389">
        <v>54.29</v>
      </c>
    </row>
    <row r="185" spans="1:11" ht="45" hidden="1" x14ac:dyDescent="0.25">
      <c r="A185" s="389" t="s">
        <v>5271</v>
      </c>
      <c r="B185" s="394" t="s">
        <v>5272</v>
      </c>
      <c r="C185" s="389" t="s">
        <v>5044</v>
      </c>
      <c r="D185" s="389">
        <v>2</v>
      </c>
      <c r="E185" s="389" t="s">
        <v>4927</v>
      </c>
      <c r="F185" s="390">
        <v>57450.400000000001</v>
      </c>
      <c r="G185" s="390">
        <v>114900.8</v>
      </c>
      <c r="H185" s="389">
        <v>0.01</v>
      </c>
      <c r="I185" s="389">
        <v>98.51</v>
      </c>
      <c r="J185" s="389">
        <v>0.01</v>
      </c>
      <c r="K185" s="389">
        <v>54.3</v>
      </c>
    </row>
    <row r="186" spans="1:11" hidden="1" x14ac:dyDescent="0.25">
      <c r="A186" s="389" t="s">
        <v>5273</v>
      </c>
      <c r="B186" s="394" t="s">
        <v>5274</v>
      </c>
      <c r="C186" s="389" t="s">
        <v>5044</v>
      </c>
      <c r="D186" s="389">
        <v>4</v>
      </c>
      <c r="E186" s="389" t="s">
        <v>4927</v>
      </c>
      <c r="F186" s="390">
        <v>28631.07</v>
      </c>
      <c r="G186" s="390">
        <v>114524.28</v>
      </c>
      <c r="H186" s="389">
        <v>0.01</v>
      </c>
      <c r="I186" s="389">
        <v>98.52</v>
      </c>
      <c r="J186" s="389">
        <v>0.01</v>
      </c>
      <c r="K186" s="389">
        <v>54.31</v>
      </c>
    </row>
    <row r="187" spans="1:11" hidden="1" x14ac:dyDescent="0.25">
      <c r="A187" s="389" t="s">
        <v>5275</v>
      </c>
      <c r="B187" s="394" t="s">
        <v>5276</v>
      </c>
      <c r="C187" s="389" t="s">
        <v>4979</v>
      </c>
      <c r="D187" s="391">
        <v>13500</v>
      </c>
      <c r="E187" s="389" t="s">
        <v>4927</v>
      </c>
      <c r="F187" s="390">
        <v>8.44</v>
      </c>
      <c r="G187" s="390">
        <v>113940</v>
      </c>
      <c r="H187" s="389">
        <v>0.01</v>
      </c>
      <c r="I187" s="389">
        <v>98.53</v>
      </c>
      <c r="J187" s="389">
        <v>0.01</v>
      </c>
      <c r="K187" s="389">
        <v>54.32</v>
      </c>
    </row>
    <row r="188" spans="1:11" ht="45" hidden="1" x14ac:dyDescent="0.25">
      <c r="A188" s="389" t="s">
        <v>5277</v>
      </c>
      <c r="B188" s="394" t="s">
        <v>5278</v>
      </c>
      <c r="C188" s="389" t="s">
        <v>5164</v>
      </c>
      <c r="D188" s="389">
        <v>68</v>
      </c>
      <c r="E188" s="389" t="s">
        <v>4927</v>
      </c>
      <c r="F188" s="390">
        <v>1672.18</v>
      </c>
      <c r="G188" s="390">
        <v>113708.24</v>
      </c>
      <c r="H188" s="389">
        <v>0.01</v>
      </c>
      <c r="I188" s="389">
        <v>98.54</v>
      </c>
      <c r="J188" s="389">
        <v>0.01</v>
      </c>
      <c r="K188" s="389">
        <v>54.33</v>
      </c>
    </row>
    <row r="189" spans="1:11" ht="60" hidden="1" x14ac:dyDescent="0.25">
      <c r="A189" s="389" t="s">
        <v>5279</v>
      </c>
      <c r="B189" s="394" t="s">
        <v>5280</v>
      </c>
      <c r="C189" s="389" t="s">
        <v>5044</v>
      </c>
      <c r="D189" s="389">
        <v>7</v>
      </c>
      <c r="E189" s="389" t="s">
        <v>4927</v>
      </c>
      <c r="F189" s="390">
        <v>16202.49</v>
      </c>
      <c r="G189" s="390">
        <v>113417.43</v>
      </c>
      <c r="H189" s="389">
        <v>0.01</v>
      </c>
      <c r="I189" s="389">
        <v>98.55</v>
      </c>
      <c r="J189" s="389">
        <v>0.01</v>
      </c>
      <c r="K189" s="389">
        <v>54.34</v>
      </c>
    </row>
    <row r="190" spans="1:11" hidden="1" x14ac:dyDescent="0.25">
      <c r="A190" s="389" t="s">
        <v>5281</v>
      </c>
      <c r="B190" s="394" t="s">
        <v>5282</v>
      </c>
      <c r="C190" s="389" t="s">
        <v>4979</v>
      </c>
      <c r="D190" s="391">
        <v>12470</v>
      </c>
      <c r="E190" s="389" t="s">
        <v>4927</v>
      </c>
      <c r="F190" s="390">
        <v>9.06</v>
      </c>
      <c r="G190" s="390">
        <v>112978.2</v>
      </c>
      <c r="H190" s="389">
        <v>0.01</v>
      </c>
      <c r="I190" s="389">
        <v>98.56</v>
      </c>
      <c r="J190" s="389">
        <v>0.01</v>
      </c>
      <c r="K190" s="389">
        <v>54.35</v>
      </c>
    </row>
    <row r="191" spans="1:11" ht="30" hidden="1" x14ac:dyDescent="0.25">
      <c r="A191" s="389" t="s">
        <v>5283</v>
      </c>
      <c r="B191" s="394" t="s">
        <v>5284</v>
      </c>
      <c r="C191" s="389" t="s">
        <v>4979</v>
      </c>
      <c r="D191" s="391">
        <v>7440</v>
      </c>
      <c r="E191" s="389" t="s">
        <v>4927</v>
      </c>
      <c r="F191" s="390">
        <v>15.17</v>
      </c>
      <c r="G191" s="390">
        <v>112864.8</v>
      </c>
      <c r="H191" s="389">
        <v>0.01</v>
      </c>
      <c r="I191" s="389">
        <v>98.57</v>
      </c>
      <c r="J191" s="389">
        <v>0.01</v>
      </c>
      <c r="K191" s="389">
        <v>54.36</v>
      </c>
    </row>
    <row r="192" spans="1:11" ht="30" hidden="1" x14ac:dyDescent="0.25">
      <c r="A192" s="389" t="s">
        <v>5285</v>
      </c>
      <c r="B192" s="394" t="s">
        <v>5286</v>
      </c>
      <c r="C192" s="389" t="s">
        <v>5044</v>
      </c>
      <c r="D192" s="389">
        <v>12</v>
      </c>
      <c r="E192" s="389" t="s">
        <v>4927</v>
      </c>
      <c r="F192" s="390">
        <v>9401.41</v>
      </c>
      <c r="G192" s="390">
        <v>112816.92</v>
      </c>
      <c r="H192" s="389">
        <v>0.01</v>
      </c>
      <c r="I192" s="389">
        <v>98.58</v>
      </c>
      <c r="J192" s="389">
        <v>0.01</v>
      </c>
      <c r="K192" s="389">
        <v>54.37</v>
      </c>
    </row>
    <row r="193" spans="1:11" hidden="1" x14ac:dyDescent="0.25">
      <c r="A193" s="389" t="s">
        <v>5287</v>
      </c>
      <c r="B193" s="394" t="s">
        <v>5288</v>
      </c>
      <c r="C193" s="389" t="s">
        <v>4956</v>
      </c>
      <c r="D193" s="389">
        <v>3</v>
      </c>
      <c r="E193" s="389" t="s">
        <v>4927</v>
      </c>
      <c r="F193" s="390">
        <v>36650.980000000003</v>
      </c>
      <c r="G193" s="390">
        <v>109952.94</v>
      </c>
      <c r="H193" s="389">
        <v>0.01</v>
      </c>
      <c r="I193" s="389">
        <v>98.59</v>
      </c>
      <c r="J193" s="389">
        <v>0.01</v>
      </c>
      <c r="K193" s="389">
        <v>54.38</v>
      </c>
    </row>
    <row r="194" spans="1:11" hidden="1" x14ac:dyDescent="0.25">
      <c r="A194" s="389" t="s">
        <v>5289</v>
      </c>
      <c r="B194" s="394" t="s">
        <v>5290</v>
      </c>
      <c r="C194" s="389" t="s">
        <v>4979</v>
      </c>
      <c r="D194" s="391">
        <v>19930</v>
      </c>
      <c r="E194" s="389" t="s">
        <v>4927</v>
      </c>
      <c r="F194" s="390">
        <v>5.27</v>
      </c>
      <c r="G194" s="390">
        <v>105031.1</v>
      </c>
      <c r="H194" s="389">
        <v>0.01</v>
      </c>
      <c r="I194" s="389">
        <v>98.6</v>
      </c>
      <c r="J194" s="389">
        <v>0.01</v>
      </c>
      <c r="K194" s="389">
        <v>54.39</v>
      </c>
    </row>
    <row r="195" spans="1:11" hidden="1" x14ac:dyDescent="0.25">
      <c r="A195" s="389" t="s">
        <v>5291</v>
      </c>
      <c r="B195" s="394" t="s">
        <v>5292</v>
      </c>
      <c r="C195" s="389" t="s">
        <v>4934</v>
      </c>
      <c r="D195" s="391">
        <v>7518.42</v>
      </c>
      <c r="E195" s="389" t="s">
        <v>4927</v>
      </c>
      <c r="F195" s="390">
        <v>13.96</v>
      </c>
      <c r="G195" s="390">
        <v>104957.14</v>
      </c>
      <c r="H195" s="389">
        <v>0.01</v>
      </c>
      <c r="I195" s="389">
        <v>98.61</v>
      </c>
      <c r="J195" s="389">
        <v>0.01</v>
      </c>
      <c r="K195" s="389">
        <v>54.4</v>
      </c>
    </row>
    <row r="196" spans="1:11" hidden="1" x14ac:dyDescent="0.25">
      <c r="A196" s="389" t="s">
        <v>5293</v>
      </c>
      <c r="B196" s="394" t="s">
        <v>5294</v>
      </c>
      <c r="C196" s="389" t="s">
        <v>4926</v>
      </c>
      <c r="D196" s="391">
        <v>29840.391524999999</v>
      </c>
      <c r="E196" s="389" t="s">
        <v>4927</v>
      </c>
      <c r="F196" s="390">
        <v>3.48</v>
      </c>
      <c r="G196" s="390">
        <v>104450.37</v>
      </c>
      <c r="H196" s="389">
        <v>0.01</v>
      </c>
      <c r="I196" s="389">
        <v>98.62</v>
      </c>
      <c r="J196" s="389">
        <v>0.01</v>
      </c>
      <c r="K196" s="389">
        <v>54.41</v>
      </c>
    </row>
    <row r="197" spans="1:11" ht="60" hidden="1" x14ac:dyDescent="0.25">
      <c r="A197" s="389" t="s">
        <v>5295</v>
      </c>
      <c r="B197" s="394" t="s">
        <v>5296</v>
      </c>
      <c r="C197" s="389" t="s">
        <v>5044</v>
      </c>
      <c r="D197" s="389">
        <v>2</v>
      </c>
      <c r="E197" s="389" t="s">
        <v>4927</v>
      </c>
      <c r="F197" s="390">
        <v>52007.73</v>
      </c>
      <c r="G197" s="390">
        <v>104015.46</v>
      </c>
      <c r="H197" s="389">
        <v>0.01</v>
      </c>
      <c r="I197" s="389">
        <v>98.63</v>
      </c>
      <c r="J197" s="389">
        <v>0.01</v>
      </c>
      <c r="K197" s="389">
        <v>54.42</v>
      </c>
    </row>
    <row r="198" spans="1:11" ht="30" hidden="1" x14ac:dyDescent="0.25">
      <c r="A198" s="389" t="s">
        <v>5297</v>
      </c>
      <c r="B198" s="394" t="s">
        <v>5298</v>
      </c>
      <c r="C198" s="389" t="s">
        <v>4956</v>
      </c>
      <c r="D198" s="391">
        <v>6120</v>
      </c>
      <c r="E198" s="389" t="s">
        <v>4927</v>
      </c>
      <c r="F198" s="390">
        <v>16.98</v>
      </c>
      <c r="G198" s="390">
        <v>103917.6</v>
      </c>
      <c r="H198" s="389">
        <v>0.01</v>
      </c>
      <c r="I198" s="389">
        <v>98.64</v>
      </c>
      <c r="J198" s="389">
        <v>0.01</v>
      </c>
      <c r="K198" s="389">
        <v>54.43</v>
      </c>
    </row>
    <row r="199" spans="1:11" hidden="1" x14ac:dyDescent="0.25">
      <c r="A199" s="389" t="s">
        <v>5299</v>
      </c>
      <c r="B199" s="394" t="s">
        <v>5300</v>
      </c>
      <c r="C199" s="389" t="s">
        <v>4979</v>
      </c>
      <c r="D199" s="389">
        <v>20</v>
      </c>
      <c r="E199" s="389" t="s">
        <v>4927</v>
      </c>
      <c r="F199" s="390">
        <v>5044.72</v>
      </c>
      <c r="G199" s="390">
        <v>100894.39999999999</v>
      </c>
      <c r="H199" s="389">
        <v>0.01</v>
      </c>
      <c r="I199" s="389">
        <v>98.65</v>
      </c>
      <c r="J199" s="389">
        <v>0.01</v>
      </c>
      <c r="K199" s="389">
        <v>54.44</v>
      </c>
    </row>
    <row r="200" spans="1:11" ht="30" hidden="1" x14ac:dyDescent="0.25">
      <c r="A200" s="389" t="s">
        <v>5301</v>
      </c>
      <c r="B200" s="394" t="s">
        <v>5302</v>
      </c>
      <c r="C200" s="389" t="s">
        <v>5044</v>
      </c>
      <c r="D200" s="389">
        <v>12</v>
      </c>
      <c r="E200" s="389" t="s">
        <v>4927</v>
      </c>
      <c r="F200" s="390">
        <v>8278.61</v>
      </c>
      <c r="G200" s="390">
        <v>99343.32</v>
      </c>
      <c r="H200" s="389">
        <v>0.01</v>
      </c>
      <c r="I200" s="389">
        <v>98.66</v>
      </c>
      <c r="J200" s="389">
        <v>0.01</v>
      </c>
      <c r="K200" s="389">
        <v>54.45</v>
      </c>
    </row>
    <row r="201" spans="1:11" ht="30" hidden="1" x14ac:dyDescent="0.25">
      <c r="A201" s="389" t="s">
        <v>5303</v>
      </c>
      <c r="B201" s="394" t="s">
        <v>5304</v>
      </c>
      <c r="C201" s="389" t="s">
        <v>4972</v>
      </c>
      <c r="D201" s="391">
        <v>1227.9100000000001</v>
      </c>
      <c r="E201" s="389" t="s">
        <v>4927</v>
      </c>
      <c r="F201" s="390">
        <v>78.95</v>
      </c>
      <c r="G201" s="390">
        <v>96943.49</v>
      </c>
      <c r="H201" s="389">
        <v>0.01</v>
      </c>
      <c r="I201" s="389">
        <v>98.67</v>
      </c>
      <c r="J201" s="389">
        <v>0.01</v>
      </c>
      <c r="K201" s="389">
        <v>54.46</v>
      </c>
    </row>
    <row r="202" spans="1:11" hidden="1" x14ac:dyDescent="0.25">
      <c r="A202" s="389" t="s">
        <v>5305</v>
      </c>
      <c r="B202" s="394" t="s">
        <v>5306</v>
      </c>
      <c r="C202" s="389" t="s">
        <v>4934</v>
      </c>
      <c r="D202" s="389">
        <v>24</v>
      </c>
      <c r="E202" s="389" t="s">
        <v>4927</v>
      </c>
      <c r="F202" s="390">
        <v>4031.6</v>
      </c>
      <c r="G202" s="390">
        <v>96758.399999999994</v>
      </c>
      <c r="H202" s="389">
        <v>0.01</v>
      </c>
      <c r="I202" s="389">
        <v>98.68</v>
      </c>
      <c r="J202" s="389">
        <v>0.01</v>
      </c>
      <c r="K202" s="389">
        <v>54.47</v>
      </c>
    </row>
    <row r="203" spans="1:11" ht="30" hidden="1" x14ac:dyDescent="0.25">
      <c r="A203" s="389" t="s">
        <v>5307</v>
      </c>
      <c r="B203" s="394" t="s">
        <v>5308</v>
      </c>
      <c r="C203" s="389" t="s">
        <v>4979</v>
      </c>
      <c r="D203" s="391">
        <v>7720</v>
      </c>
      <c r="E203" s="389" t="s">
        <v>4927</v>
      </c>
      <c r="F203" s="390">
        <v>12.53</v>
      </c>
      <c r="G203" s="390">
        <v>96731.6</v>
      </c>
      <c r="H203" s="389">
        <v>0.01</v>
      </c>
      <c r="I203" s="389">
        <v>98.69</v>
      </c>
      <c r="J203" s="389">
        <v>0.01</v>
      </c>
      <c r="K203" s="389">
        <v>54.48</v>
      </c>
    </row>
    <row r="204" spans="1:11" ht="30" hidden="1" x14ac:dyDescent="0.25">
      <c r="A204" s="389" t="s">
        <v>5309</v>
      </c>
      <c r="B204" s="394" t="s">
        <v>5310</v>
      </c>
      <c r="C204" s="389" t="s">
        <v>5044</v>
      </c>
      <c r="D204" s="389">
        <v>9</v>
      </c>
      <c r="E204" s="389" t="s">
        <v>4927</v>
      </c>
      <c r="F204" s="390">
        <v>10711.1</v>
      </c>
      <c r="G204" s="390">
        <v>96399.9</v>
      </c>
      <c r="H204" s="389">
        <v>0.01</v>
      </c>
      <c r="I204" s="389">
        <v>98.7</v>
      </c>
      <c r="J204" s="389">
        <v>0.01</v>
      </c>
      <c r="K204" s="389">
        <v>54.49</v>
      </c>
    </row>
    <row r="205" spans="1:11" hidden="1" x14ac:dyDescent="0.25">
      <c r="A205" s="389" t="s">
        <v>5311</v>
      </c>
      <c r="B205" s="394" t="s">
        <v>5312</v>
      </c>
      <c r="C205" s="389" t="s">
        <v>4972</v>
      </c>
      <c r="D205" s="391">
        <v>2952</v>
      </c>
      <c r="E205" s="389" t="s">
        <v>4927</v>
      </c>
      <c r="F205" s="390">
        <v>32.54</v>
      </c>
      <c r="G205" s="390">
        <v>96058.08</v>
      </c>
      <c r="H205" s="389">
        <v>0.01</v>
      </c>
      <c r="I205" s="389">
        <v>98.71</v>
      </c>
      <c r="J205" s="389">
        <v>0.01</v>
      </c>
      <c r="K205" s="389">
        <v>54.5</v>
      </c>
    </row>
    <row r="206" spans="1:11" ht="30" hidden="1" x14ac:dyDescent="0.25">
      <c r="A206" s="389" t="s">
        <v>5313</v>
      </c>
      <c r="B206" s="394" t="s">
        <v>5214</v>
      </c>
      <c r="C206" s="389" t="s">
        <v>5044</v>
      </c>
      <c r="D206" s="389">
        <v>12</v>
      </c>
      <c r="E206" s="389" t="s">
        <v>4927</v>
      </c>
      <c r="F206" s="390">
        <v>7916.6</v>
      </c>
      <c r="G206" s="390">
        <v>94999.2</v>
      </c>
      <c r="H206" s="389">
        <v>0.01</v>
      </c>
      <c r="I206" s="389">
        <v>98.72</v>
      </c>
      <c r="J206" s="389">
        <v>0.01</v>
      </c>
      <c r="K206" s="389">
        <v>54.51</v>
      </c>
    </row>
    <row r="207" spans="1:11" ht="30" hidden="1" x14ac:dyDescent="0.25">
      <c r="A207" s="389" t="s">
        <v>5314</v>
      </c>
      <c r="B207" s="394" t="s">
        <v>5268</v>
      </c>
      <c r="C207" s="389" t="s">
        <v>5044</v>
      </c>
      <c r="D207" s="389">
        <v>98</v>
      </c>
      <c r="E207" s="389" t="s">
        <v>4927</v>
      </c>
      <c r="F207" s="390">
        <v>960.54</v>
      </c>
      <c r="G207" s="390">
        <v>94132.92</v>
      </c>
      <c r="H207" s="389">
        <v>0.01</v>
      </c>
      <c r="I207" s="389">
        <v>98.73</v>
      </c>
      <c r="J207" s="389">
        <v>0.01</v>
      </c>
      <c r="K207" s="389">
        <v>54.52</v>
      </c>
    </row>
    <row r="208" spans="1:11" ht="60" hidden="1" x14ac:dyDescent="0.25">
      <c r="A208" s="389" t="s">
        <v>5315</v>
      </c>
      <c r="B208" s="394" t="s">
        <v>5316</v>
      </c>
      <c r="C208" s="389" t="s">
        <v>5044</v>
      </c>
      <c r="D208" s="389">
        <v>3</v>
      </c>
      <c r="E208" s="389" t="s">
        <v>4927</v>
      </c>
      <c r="F208" s="390">
        <v>31353.47</v>
      </c>
      <c r="G208" s="390">
        <v>94060.41</v>
      </c>
      <c r="H208" s="389">
        <v>0.01</v>
      </c>
      <c r="I208" s="389">
        <v>98.74</v>
      </c>
      <c r="J208" s="389">
        <v>0.01</v>
      </c>
      <c r="K208" s="389">
        <v>54.53</v>
      </c>
    </row>
    <row r="209" spans="1:11" ht="30" hidden="1" x14ac:dyDescent="0.25">
      <c r="A209" s="389" t="s">
        <v>5317</v>
      </c>
      <c r="B209" s="394" t="s">
        <v>5310</v>
      </c>
      <c r="C209" s="389" t="s">
        <v>5044</v>
      </c>
      <c r="D209" s="389">
        <v>8</v>
      </c>
      <c r="E209" s="389" t="s">
        <v>4927</v>
      </c>
      <c r="F209" s="390">
        <v>11439.04</v>
      </c>
      <c r="G209" s="390">
        <v>91512.320000000007</v>
      </c>
      <c r="H209" s="389">
        <v>0.01</v>
      </c>
      <c r="I209" s="389">
        <v>98.75</v>
      </c>
      <c r="J209" s="389">
        <v>0.01</v>
      </c>
      <c r="K209" s="389">
        <v>54.54</v>
      </c>
    </row>
    <row r="210" spans="1:11" hidden="1" x14ac:dyDescent="0.25">
      <c r="A210" s="389" t="s">
        <v>5318</v>
      </c>
      <c r="B210" s="394" t="s">
        <v>5319</v>
      </c>
      <c r="C210" s="389" t="s">
        <v>4972</v>
      </c>
      <c r="D210" s="391">
        <v>1920</v>
      </c>
      <c r="E210" s="389" t="s">
        <v>4927</v>
      </c>
      <c r="F210" s="390">
        <v>46.32</v>
      </c>
      <c r="G210" s="390">
        <v>88934.399999999994</v>
      </c>
      <c r="H210" s="389">
        <v>0.01</v>
      </c>
      <c r="I210" s="389">
        <v>98.76</v>
      </c>
      <c r="J210" s="389">
        <v>0.01</v>
      </c>
      <c r="K210" s="389">
        <v>54.55</v>
      </c>
    </row>
    <row r="211" spans="1:11" ht="45" hidden="1" x14ac:dyDescent="0.25">
      <c r="A211" s="389" t="s">
        <v>5320</v>
      </c>
      <c r="B211" s="394" t="s">
        <v>5321</v>
      </c>
      <c r="C211" s="389" t="s">
        <v>5164</v>
      </c>
      <c r="D211" s="389">
        <v>70</v>
      </c>
      <c r="E211" s="389" t="s">
        <v>4927</v>
      </c>
      <c r="F211" s="390">
        <v>1254.1300000000001</v>
      </c>
      <c r="G211" s="390">
        <v>87789.1</v>
      </c>
      <c r="H211" s="389">
        <v>0.01</v>
      </c>
      <c r="I211" s="389">
        <v>98.77</v>
      </c>
      <c r="J211" s="389">
        <v>0.01</v>
      </c>
      <c r="K211" s="389">
        <v>54.56</v>
      </c>
    </row>
    <row r="212" spans="1:11" hidden="1" x14ac:dyDescent="0.25">
      <c r="A212" s="389" t="s">
        <v>5322</v>
      </c>
      <c r="B212" s="394" t="s">
        <v>5323</v>
      </c>
      <c r="C212" s="389" t="s">
        <v>4972</v>
      </c>
      <c r="D212" s="391">
        <v>5327.88</v>
      </c>
      <c r="E212" s="389" t="s">
        <v>4927</v>
      </c>
      <c r="F212" s="390">
        <v>16.170000000000002</v>
      </c>
      <c r="G212" s="390">
        <v>86151.82</v>
      </c>
      <c r="H212" s="389">
        <v>0.01</v>
      </c>
      <c r="I212" s="389">
        <v>98.78</v>
      </c>
      <c r="J212" s="389">
        <v>0.01</v>
      </c>
      <c r="K212" s="389">
        <v>54.57</v>
      </c>
    </row>
    <row r="213" spans="1:11" hidden="1" x14ac:dyDescent="0.25">
      <c r="A213" s="389" t="s">
        <v>5324</v>
      </c>
      <c r="B213" s="394" t="s">
        <v>5325</v>
      </c>
      <c r="C213" s="389" t="s">
        <v>5164</v>
      </c>
      <c r="D213" s="389">
        <v>331</v>
      </c>
      <c r="E213" s="389" t="s">
        <v>4927</v>
      </c>
      <c r="F213" s="390">
        <v>260.17</v>
      </c>
      <c r="G213" s="390">
        <v>86116.27</v>
      </c>
      <c r="H213" s="389">
        <v>0.01</v>
      </c>
      <c r="I213" s="389">
        <v>98.79</v>
      </c>
      <c r="J213" s="389">
        <v>0.01</v>
      </c>
      <c r="K213" s="389">
        <v>54.58</v>
      </c>
    </row>
    <row r="214" spans="1:11" hidden="1" x14ac:dyDescent="0.25">
      <c r="A214" s="389" t="s">
        <v>5326</v>
      </c>
      <c r="B214" s="394" t="s">
        <v>5327</v>
      </c>
      <c r="C214" s="389" t="s">
        <v>4972</v>
      </c>
      <c r="D214" s="389">
        <v>201.02</v>
      </c>
      <c r="E214" s="389" t="s">
        <v>4927</v>
      </c>
      <c r="F214" s="390">
        <v>425.1</v>
      </c>
      <c r="G214" s="390">
        <v>85453.6</v>
      </c>
      <c r="H214" s="389">
        <v>0.01</v>
      </c>
      <c r="I214" s="389">
        <v>98.8</v>
      </c>
      <c r="J214" s="389">
        <v>0.01</v>
      </c>
      <c r="K214" s="389">
        <v>54.59</v>
      </c>
    </row>
    <row r="215" spans="1:11" hidden="1" x14ac:dyDescent="0.25">
      <c r="A215" s="389" t="s">
        <v>5328</v>
      </c>
      <c r="B215" s="394" t="s">
        <v>5329</v>
      </c>
      <c r="C215" s="389" t="s">
        <v>4979</v>
      </c>
      <c r="D215" s="389">
        <v>264</v>
      </c>
      <c r="E215" s="389" t="s">
        <v>4927</v>
      </c>
      <c r="F215" s="390">
        <v>322.06</v>
      </c>
      <c r="G215" s="390">
        <v>85023.84</v>
      </c>
      <c r="H215" s="389">
        <v>0.01</v>
      </c>
      <c r="I215" s="389">
        <v>98.81</v>
      </c>
      <c r="J215" s="389">
        <v>0.01</v>
      </c>
      <c r="K215" s="389">
        <v>54.6</v>
      </c>
    </row>
    <row r="216" spans="1:11" hidden="1" x14ac:dyDescent="0.25">
      <c r="A216" s="389" t="s">
        <v>5330</v>
      </c>
      <c r="B216" s="394" t="s">
        <v>5331</v>
      </c>
      <c r="C216" s="389" t="s">
        <v>5332</v>
      </c>
      <c r="D216" s="391">
        <v>4224</v>
      </c>
      <c r="E216" s="389" t="s">
        <v>4927</v>
      </c>
      <c r="F216" s="390">
        <v>19.77</v>
      </c>
      <c r="G216" s="390">
        <v>83508.479999999996</v>
      </c>
      <c r="H216" s="389">
        <v>0.01</v>
      </c>
      <c r="I216" s="389">
        <v>98.82</v>
      </c>
      <c r="J216" s="389">
        <v>0.01</v>
      </c>
      <c r="K216" s="389">
        <v>54.61</v>
      </c>
    </row>
    <row r="217" spans="1:11" hidden="1" x14ac:dyDescent="0.25">
      <c r="A217" s="389" t="s">
        <v>5333</v>
      </c>
      <c r="B217" s="394" t="s">
        <v>5334</v>
      </c>
      <c r="C217" s="389" t="s">
        <v>5114</v>
      </c>
      <c r="D217" s="391">
        <v>3024</v>
      </c>
      <c r="E217" s="389" t="s">
        <v>4927</v>
      </c>
      <c r="F217" s="390">
        <v>27.51</v>
      </c>
      <c r="G217" s="390">
        <v>83190.240000000005</v>
      </c>
      <c r="H217" s="389">
        <v>0.01</v>
      </c>
      <c r="I217" s="389">
        <v>98.83</v>
      </c>
      <c r="J217" s="389">
        <v>0.01</v>
      </c>
      <c r="K217" s="389">
        <v>54.62</v>
      </c>
    </row>
    <row r="218" spans="1:11" hidden="1" x14ac:dyDescent="0.25">
      <c r="A218" s="389" t="s">
        <v>5335</v>
      </c>
      <c r="B218" s="394" t="s">
        <v>5336</v>
      </c>
      <c r="C218" s="389" t="s">
        <v>4956</v>
      </c>
      <c r="D218" s="389">
        <v>2</v>
      </c>
      <c r="E218" s="389" t="s">
        <v>4927</v>
      </c>
      <c r="F218" s="390">
        <v>40543.89</v>
      </c>
      <c r="G218" s="390">
        <v>81087.78</v>
      </c>
      <c r="H218" s="389">
        <v>0.01</v>
      </c>
      <c r="I218" s="389">
        <v>98.84</v>
      </c>
      <c r="J218" s="389">
        <v>0.01</v>
      </c>
      <c r="K218" s="389">
        <v>54.63</v>
      </c>
    </row>
    <row r="219" spans="1:11" hidden="1" x14ac:dyDescent="0.25">
      <c r="A219" s="389" t="s">
        <v>5337</v>
      </c>
      <c r="B219" s="394" t="s">
        <v>5338</v>
      </c>
      <c r="C219" s="389" t="s">
        <v>4972</v>
      </c>
      <c r="D219" s="391">
        <v>6621</v>
      </c>
      <c r="E219" s="389" t="s">
        <v>4927</v>
      </c>
      <c r="F219" s="390">
        <v>12.13</v>
      </c>
      <c r="G219" s="390">
        <v>80312.73</v>
      </c>
      <c r="H219" s="389">
        <v>0.01</v>
      </c>
      <c r="I219" s="389">
        <v>98.85</v>
      </c>
      <c r="J219" s="389">
        <v>0.01</v>
      </c>
      <c r="K219" s="389">
        <v>54.64</v>
      </c>
    </row>
    <row r="220" spans="1:11" ht="30" hidden="1" x14ac:dyDescent="0.25">
      <c r="A220" s="389" t="s">
        <v>5339</v>
      </c>
      <c r="B220" s="394" t="s">
        <v>5340</v>
      </c>
      <c r="C220" s="389" t="s">
        <v>4926</v>
      </c>
      <c r="D220" s="389">
        <v>945</v>
      </c>
      <c r="E220" s="389" t="s">
        <v>4927</v>
      </c>
      <c r="F220" s="390">
        <v>84.28</v>
      </c>
      <c r="G220" s="390">
        <v>79644.600000000006</v>
      </c>
      <c r="H220" s="389">
        <v>0.01</v>
      </c>
      <c r="I220" s="389">
        <v>98.86</v>
      </c>
      <c r="J220" s="389">
        <v>0.01</v>
      </c>
      <c r="K220" s="389">
        <v>54.65</v>
      </c>
    </row>
    <row r="221" spans="1:11" ht="30" hidden="1" x14ac:dyDescent="0.25">
      <c r="A221" s="389" t="s">
        <v>5341</v>
      </c>
      <c r="B221" s="394" t="s">
        <v>5342</v>
      </c>
      <c r="C221" s="389" t="s">
        <v>4956</v>
      </c>
      <c r="D221" s="389">
        <v>46</v>
      </c>
      <c r="E221" s="389" t="s">
        <v>4927</v>
      </c>
      <c r="F221" s="390">
        <v>1730.76</v>
      </c>
      <c r="G221" s="390">
        <v>79614.960000000006</v>
      </c>
      <c r="H221" s="389">
        <v>0.01</v>
      </c>
      <c r="I221" s="389">
        <v>98.87</v>
      </c>
      <c r="J221" s="389">
        <v>0.01</v>
      </c>
      <c r="K221" s="389">
        <v>54.66</v>
      </c>
    </row>
    <row r="222" spans="1:11" ht="30" hidden="1" x14ac:dyDescent="0.25">
      <c r="A222" s="389" t="s">
        <v>5343</v>
      </c>
      <c r="B222" s="394" t="s">
        <v>5344</v>
      </c>
      <c r="C222" s="389" t="s">
        <v>5044</v>
      </c>
      <c r="D222" s="389">
        <v>10</v>
      </c>
      <c r="E222" s="389" t="s">
        <v>4927</v>
      </c>
      <c r="F222" s="390">
        <v>7916.6</v>
      </c>
      <c r="G222" s="390">
        <v>79166</v>
      </c>
      <c r="H222" s="389">
        <v>0.01</v>
      </c>
      <c r="I222" s="389">
        <v>98.88</v>
      </c>
      <c r="J222" s="389">
        <v>0.01</v>
      </c>
      <c r="K222" s="389">
        <v>54.67</v>
      </c>
    </row>
    <row r="223" spans="1:11" hidden="1" x14ac:dyDescent="0.25">
      <c r="A223" s="389" t="s">
        <v>5345</v>
      </c>
      <c r="B223" s="394" t="s">
        <v>5346</v>
      </c>
      <c r="C223" s="389" t="s">
        <v>4972</v>
      </c>
      <c r="D223" s="389">
        <v>144</v>
      </c>
      <c r="E223" s="389" t="s">
        <v>4927</v>
      </c>
      <c r="F223" s="390">
        <v>547.04</v>
      </c>
      <c r="G223" s="390">
        <v>78773.759999999995</v>
      </c>
      <c r="H223" s="389">
        <v>0.01</v>
      </c>
      <c r="I223" s="389">
        <v>98.89</v>
      </c>
      <c r="J223" s="389">
        <v>0.01</v>
      </c>
      <c r="K223" s="389">
        <v>54.68</v>
      </c>
    </row>
    <row r="224" spans="1:11" hidden="1" x14ac:dyDescent="0.25">
      <c r="A224" s="389" t="s">
        <v>5347</v>
      </c>
      <c r="B224" s="394" t="s">
        <v>5348</v>
      </c>
      <c r="C224" s="389" t="s">
        <v>4956</v>
      </c>
      <c r="D224" s="391">
        <v>2938.26</v>
      </c>
      <c r="E224" s="389" t="s">
        <v>4927</v>
      </c>
      <c r="F224" s="390">
        <v>26.5</v>
      </c>
      <c r="G224" s="390">
        <v>77863.89</v>
      </c>
      <c r="H224" s="389">
        <v>0.01</v>
      </c>
      <c r="I224" s="389">
        <v>98.9</v>
      </c>
      <c r="J224" s="389">
        <v>0.01</v>
      </c>
      <c r="K224" s="389">
        <v>54.69</v>
      </c>
    </row>
    <row r="225" spans="1:11" ht="30" hidden="1" x14ac:dyDescent="0.25">
      <c r="A225" s="389" t="s">
        <v>5349</v>
      </c>
      <c r="B225" s="394" t="s">
        <v>5302</v>
      </c>
      <c r="C225" s="389" t="s">
        <v>5044</v>
      </c>
      <c r="D225" s="389">
        <v>10</v>
      </c>
      <c r="E225" s="389" t="s">
        <v>4927</v>
      </c>
      <c r="F225" s="390">
        <v>7751.79</v>
      </c>
      <c r="G225" s="390">
        <v>77517.899999999994</v>
      </c>
      <c r="H225" s="389">
        <v>0.01</v>
      </c>
      <c r="I225" s="389">
        <v>98.91</v>
      </c>
      <c r="J225" s="389">
        <v>0.01</v>
      </c>
      <c r="K225" s="389">
        <v>54.7</v>
      </c>
    </row>
    <row r="226" spans="1:11" ht="30" hidden="1" x14ac:dyDescent="0.25">
      <c r="A226" s="389" t="s">
        <v>5350</v>
      </c>
      <c r="B226" s="394" t="s">
        <v>5351</v>
      </c>
      <c r="C226" s="389" t="s">
        <v>4956</v>
      </c>
      <c r="D226" s="389">
        <v>264</v>
      </c>
      <c r="E226" s="389" t="s">
        <v>4927</v>
      </c>
      <c r="F226" s="390">
        <v>287.91000000000003</v>
      </c>
      <c r="G226" s="390">
        <v>76008.240000000005</v>
      </c>
      <c r="H226" s="389">
        <v>0.01</v>
      </c>
      <c r="I226" s="389">
        <v>98.92</v>
      </c>
      <c r="J226" s="389">
        <v>0.01</v>
      </c>
      <c r="K226" s="389">
        <v>54.71</v>
      </c>
    </row>
    <row r="227" spans="1:11" ht="45" hidden="1" x14ac:dyDescent="0.25">
      <c r="A227" s="389" t="s">
        <v>5352</v>
      </c>
      <c r="B227" s="394" t="s">
        <v>5353</v>
      </c>
      <c r="C227" s="389" t="s">
        <v>5164</v>
      </c>
      <c r="D227" s="389">
        <v>2</v>
      </c>
      <c r="E227" s="389" t="s">
        <v>4927</v>
      </c>
      <c r="F227" s="390">
        <v>37624.17</v>
      </c>
      <c r="G227" s="390">
        <v>75248.34</v>
      </c>
      <c r="H227" s="389">
        <v>0.01</v>
      </c>
      <c r="I227" s="389">
        <v>98.93</v>
      </c>
      <c r="J227" s="389">
        <v>0.01</v>
      </c>
      <c r="K227" s="389">
        <v>54.72</v>
      </c>
    </row>
    <row r="228" spans="1:11" ht="30" hidden="1" x14ac:dyDescent="0.25">
      <c r="A228" s="389" t="s">
        <v>5354</v>
      </c>
      <c r="B228" s="394" t="s">
        <v>5355</v>
      </c>
      <c r="C228" s="389" t="s">
        <v>4979</v>
      </c>
      <c r="D228" s="389">
        <v>106</v>
      </c>
      <c r="E228" s="389" t="s">
        <v>4927</v>
      </c>
      <c r="F228" s="390">
        <v>708.19</v>
      </c>
      <c r="G228" s="390">
        <v>75068.14</v>
      </c>
      <c r="H228" s="389">
        <v>0.01</v>
      </c>
      <c r="I228" s="389">
        <v>98.94</v>
      </c>
      <c r="J228" s="389">
        <v>0.01</v>
      </c>
      <c r="K228" s="389">
        <v>54.73</v>
      </c>
    </row>
    <row r="229" spans="1:11" hidden="1" x14ac:dyDescent="0.25">
      <c r="A229" s="389" t="s">
        <v>5356</v>
      </c>
      <c r="B229" s="394" t="s">
        <v>5357</v>
      </c>
      <c r="C229" s="389" t="s">
        <v>4979</v>
      </c>
      <c r="D229" s="391">
        <v>1390.116</v>
      </c>
      <c r="E229" s="389" t="s">
        <v>4927</v>
      </c>
      <c r="F229" s="390">
        <v>54</v>
      </c>
      <c r="G229" s="390">
        <v>75066.259999999995</v>
      </c>
      <c r="H229" s="389">
        <v>0.01</v>
      </c>
      <c r="I229" s="389">
        <v>98.95</v>
      </c>
      <c r="J229" s="389">
        <v>0.01</v>
      </c>
      <c r="K229" s="389">
        <v>54.74</v>
      </c>
    </row>
    <row r="230" spans="1:11" ht="30" hidden="1" x14ac:dyDescent="0.25">
      <c r="A230" s="389" t="s">
        <v>5358</v>
      </c>
      <c r="B230" s="394" t="s">
        <v>5359</v>
      </c>
      <c r="C230" s="389" t="s">
        <v>5044</v>
      </c>
      <c r="D230" s="389">
        <v>23</v>
      </c>
      <c r="E230" s="389" t="s">
        <v>4927</v>
      </c>
      <c r="F230" s="390">
        <v>3256.22</v>
      </c>
      <c r="G230" s="390">
        <v>74893.06</v>
      </c>
      <c r="H230" s="389">
        <v>0.01</v>
      </c>
      <c r="I230" s="389">
        <v>98.96</v>
      </c>
      <c r="J230" s="389">
        <v>0.01</v>
      </c>
      <c r="K230" s="389">
        <v>54.75</v>
      </c>
    </row>
    <row r="231" spans="1:11" ht="30" hidden="1" x14ac:dyDescent="0.25">
      <c r="A231" s="389" t="s">
        <v>5360</v>
      </c>
      <c r="B231" s="394" t="s">
        <v>5361</v>
      </c>
      <c r="C231" s="389" t="s">
        <v>4979</v>
      </c>
      <c r="D231" s="391">
        <v>2640</v>
      </c>
      <c r="E231" s="389" t="s">
        <v>4927</v>
      </c>
      <c r="F231" s="390">
        <v>28.36</v>
      </c>
      <c r="G231" s="390">
        <v>74870.399999999994</v>
      </c>
      <c r="H231" s="389">
        <v>0.01</v>
      </c>
      <c r="I231" s="389">
        <v>98.97</v>
      </c>
      <c r="J231" s="389">
        <v>0.01</v>
      </c>
      <c r="K231" s="389">
        <v>54.76</v>
      </c>
    </row>
    <row r="232" spans="1:11" hidden="1" x14ac:dyDescent="0.25">
      <c r="A232" s="389" t="s">
        <v>5362</v>
      </c>
      <c r="B232" s="394" t="s">
        <v>5363</v>
      </c>
      <c r="C232" s="389" t="s">
        <v>4979</v>
      </c>
      <c r="D232" s="389">
        <v>711.6</v>
      </c>
      <c r="E232" s="389" t="s">
        <v>4927</v>
      </c>
      <c r="F232" s="390">
        <v>104</v>
      </c>
      <c r="G232" s="390">
        <v>74006.399999999994</v>
      </c>
      <c r="H232" s="389">
        <v>0.01</v>
      </c>
      <c r="I232" s="389">
        <v>98.98</v>
      </c>
      <c r="J232" s="389">
        <v>0.01</v>
      </c>
      <c r="K232" s="389">
        <v>54.77</v>
      </c>
    </row>
    <row r="233" spans="1:11" hidden="1" x14ac:dyDescent="0.25">
      <c r="A233" s="389" t="s">
        <v>5364</v>
      </c>
      <c r="B233" s="394" t="s">
        <v>5365</v>
      </c>
      <c r="C233" s="389" t="s">
        <v>4926</v>
      </c>
      <c r="D233" s="391">
        <v>51371.81</v>
      </c>
      <c r="E233" s="389" t="s">
        <v>4927</v>
      </c>
      <c r="F233" s="390">
        <v>1.44</v>
      </c>
      <c r="G233" s="390">
        <v>73975.41</v>
      </c>
      <c r="H233" s="389">
        <v>0.01</v>
      </c>
      <c r="I233" s="389">
        <v>98.99</v>
      </c>
      <c r="J233" s="389">
        <v>0.01</v>
      </c>
      <c r="K233" s="389">
        <v>54.78</v>
      </c>
    </row>
    <row r="234" spans="1:11" hidden="1" x14ac:dyDescent="0.25">
      <c r="A234" s="389" t="s">
        <v>387</v>
      </c>
      <c r="B234" s="394" t="s">
        <v>5366</v>
      </c>
      <c r="C234" s="389" t="s">
        <v>4979</v>
      </c>
      <c r="D234" s="391">
        <v>21060.4768</v>
      </c>
      <c r="E234" s="389" t="s">
        <v>4927</v>
      </c>
      <c r="F234" s="390">
        <v>3.43</v>
      </c>
      <c r="G234" s="390">
        <v>72237.429999999993</v>
      </c>
      <c r="H234" s="389">
        <v>0.01</v>
      </c>
      <c r="I234" s="389">
        <v>99</v>
      </c>
      <c r="J234" s="389">
        <v>0.01</v>
      </c>
      <c r="K234" s="389">
        <v>54.79</v>
      </c>
    </row>
    <row r="235" spans="1:11" hidden="1" x14ac:dyDescent="0.25">
      <c r="A235" s="389" t="s">
        <v>450</v>
      </c>
      <c r="B235" s="394" t="s">
        <v>5367</v>
      </c>
      <c r="C235" s="389" t="s">
        <v>4926</v>
      </c>
      <c r="D235" s="391">
        <v>378157.92</v>
      </c>
      <c r="E235" s="389" t="s">
        <v>4927</v>
      </c>
      <c r="F235" s="390">
        <v>0.19</v>
      </c>
      <c r="G235" s="390">
        <v>71850.009999999995</v>
      </c>
      <c r="H235" s="389">
        <v>0.01</v>
      </c>
      <c r="I235" s="389">
        <v>99.01</v>
      </c>
      <c r="J235" s="389">
        <v>0.01</v>
      </c>
      <c r="K235" s="389">
        <v>54.8</v>
      </c>
    </row>
    <row r="236" spans="1:11" hidden="1" x14ac:dyDescent="0.25">
      <c r="A236" s="389" t="s">
        <v>5368</v>
      </c>
      <c r="B236" s="394" t="s">
        <v>5369</v>
      </c>
      <c r="C236" s="389" t="s">
        <v>4979</v>
      </c>
      <c r="D236" s="389">
        <v>20</v>
      </c>
      <c r="E236" s="389" t="s">
        <v>4927</v>
      </c>
      <c r="F236" s="390">
        <v>3552.82</v>
      </c>
      <c r="G236" s="390">
        <v>71056.399999999994</v>
      </c>
      <c r="H236" s="389">
        <v>0.01</v>
      </c>
      <c r="I236" s="389">
        <v>99.02</v>
      </c>
      <c r="J236" s="389">
        <v>0</v>
      </c>
      <c r="K236" s="389">
        <v>54.8</v>
      </c>
    </row>
    <row r="237" spans="1:11" hidden="1" x14ac:dyDescent="0.25">
      <c r="A237" s="389" t="s">
        <v>5370</v>
      </c>
      <c r="B237" s="394" t="s">
        <v>5371</v>
      </c>
      <c r="C237" s="389" t="s">
        <v>5044</v>
      </c>
      <c r="D237" s="389">
        <v>97</v>
      </c>
      <c r="E237" s="389" t="s">
        <v>4927</v>
      </c>
      <c r="F237" s="390">
        <v>725.68</v>
      </c>
      <c r="G237" s="390">
        <v>70390.960000000006</v>
      </c>
      <c r="H237" s="389">
        <v>0.01</v>
      </c>
      <c r="I237" s="389">
        <v>99.03</v>
      </c>
      <c r="J237" s="389">
        <v>0</v>
      </c>
      <c r="K237" s="389">
        <v>54.8</v>
      </c>
    </row>
    <row r="238" spans="1:11" ht="30" hidden="1" x14ac:dyDescent="0.25">
      <c r="A238" s="389" t="s">
        <v>5372</v>
      </c>
      <c r="B238" s="394" t="s">
        <v>5373</v>
      </c>
      <c r="C238" s="389" t="s">
        <v>4956</v>
      </c>
      <c r="D238" s="389">
        <v>105</v>
      </c>
      <c r="E238" s="389" t="s">
        <v>4927</v>
      </c>
      <c r="F238" s="390">
        <v>667.45</v>
      </c>
      <c r="G238" s="390">
        <v>70082.25</v>
      </c>
      <c r="H238" s="389">
        <v>0.01</v>
      </c>
      <c r="I238" s="389">
        <v>99.04</v>
      </c>
      <c r="J238" s="389">
        <v>0</v>
      </c>
      <c r="K238" s="389">
        <v>54.8</v>
      </c>
    </row>
    <row r="239" spans="1:11" hidden="1" x14ac:dyDescent="0.25">
      <c r="A239" s="389" t="s">
        <v>5374</v>
      </c>
      <c r="B239" s="394" t="s">
        <v>5375</v>
      </c>
      <c r="C239" s="389" t="s">
        <v>5044</v>
      </c>
      <c r="D239" s="389">
        <v>30</v>
      </c>
      <c r="E239" s="389" t="s">
        <v>4927</v>
      </c>
      <c r="F239" s="390">
        <v>2317.4499999999998</v>
      </c>
      <c r="G239" s="390">
        <v>69523.5</v>
      </c>
      <c r="H239" s="389">
        <v>0.01</v>
      </c>
      <c r="I239" s="389">
        <v>99.05</v>
      </c>
      <c r="J239" s="389">
        <v>0</v>
      </c>
      <c r="K239" s="389">
        <v>54.8</v>
      </c>
    </row>
    <row r="240" spans="1:11" hidden="1" x14ac:dyDescent="0.25">
      <c r="A240" s="389" t="s">
        <v>5376</v>
      </c>
      <c r="B240" s="394" t="s">
        <v>5377</v>
      </c>
      <c r="C240" s="389" t="s">
        <v>4956</v>
      </c>
      <c r="D240" s="391">
        <v>4520.3999999999996</v>
      </c>
      <c r="E240" s="389" t="s">
        <v>4927</v>
      </c>
      <c r="F240" s="390">
        <v>15.3</v>
      </c>
      <c r="G240" s="390">
        <v>69162.12</v>
      </c>
      <c r="H240" s="389">
        <v>0.01</v>
      </c>
      <c r="I240" s="389">
        <v>99.06</v>
      </c>
      <c r="J240" s="389">
        <v>0</v>
      </c>
      <c r="K240" s="389">
        <v>54.8</v>
      </c>
    </row>
    <row r="241" spans="1:11" hidden="1" x14ac:dyDescent="0.25">
      <c r="A241" s="389" t="s">
        <v>5378</v>
      </c>
      <c r="B241" s="394" t="s">
        <v>5379</v>
      </c>
      <c r="C241" s="389" t="s">
        <v>4979</v>
      </c>
      <c r="D241" s="391">
        <v>3460</v>
      </c>
      <c r="E241" s="389" t="s">
        <v>4927</v>
      </c>
      <c r="F241" s="390">
        <v>19.95</v>
      </c>
      <c r="G241" s="390">
        <v>69027</v>
      </c>
      <c r="H241" s="389">
        <v>0.01</v>
      </c>
      <c r="I241" s="389">
        <v>99.07</v>
      </c>
      <c r="J241" s="389">
        <v>0</v>
      </c>
      <c r="K241" s="389">
        <v>54.8</v>
      </c>
    </row>
    <row r="242" spans="1:11" hidden="1" x14ac:dyDescent="0.25">
      <c r="A242" s="389" t="s">
        <v>5380</v>
      </c>
      <c r="B242" s="394" t="s">
        <v>5381</v>
      </c>
      <c r="C242" s="389" t="s">
        <v>4979</v>
      </c>
      <c r="D242" s="391">
        <v>1740.04</v>
      </c>
      <c r="E242" s="389" t="s">
        <v>4927</v>
      </c>
      <c r="F242" s="390">
        <v>39.04</v>
      </c>
      <c r="G242" s="390">
        <v>67931.16</v>
      </c>
      <c r="H242" s="389">
        <v>0.01</v>
      </c>
      <c r="I242" s="389">
        <v>99.08</v>
      </c>
      <c r="J242" s="389">
        <v>0</v>
      </c>
      <c r="K242" s="389">
        <v>54.8</v>
      </c>
    </row>
    <row r="243" spans="1:11" hidden="1" x14ac:dyDescent="0.25">
      <c r="A243" s="389" t="s">
        <v>5382</v>
      </c>
      <c r="B243" s="394" t="s">
        <v>5383</v>
      </c>
      <c r="C243" s="389" t="s">
        <v>4972</v>
      </c>
      <c r="D243" s="391">
        <v>15669.4</v>
      </c>
      <c r="E243" s="389" t="s">
        <v>4927</v>
      </c>
      <c r="F243" s="390">
        <v>4.3</v>
      </c>
      <c r="G243" s="390">
        <v>67378.42</v>
      </c>
      <c r="H243" s="389">
        <v>0.01</v>
      </c>
      <c r="I243" s="389">
        <v>99.09</v>
      </c>
      <c r="J243" s="389">
        <v>0</v>
      </c>
      <c r="K243" s="389">
        <v>54.8</v>
      </c>
    </row>
    <row r="244" spans="1:11" ht="30" hidden="1" x14ac:dyDescent="0.25">
      <c r="A244" s="389" t="s">
        <v>5384</v>
      </c>
      <c r="B244" s="394" t="s">
        <v>5385</v>
      </c>
      <c r="C244" s="389" t="s">
        <v>4972</v>
      </c>
      <c r="D244" s="391">
        <v>4084.3</v>
      </c>
      <c r="E244" s="389" t="s">
        <v>4927</v>
      </c>
      <c r="F244" s="390">
        <v>16.14</v>
      </c>
      <c r="G244" s="390">
        <v>65920.600000000006</v>
      </c>
      <c r="H244" s="389">
        <v>0.01</v>
      </c>
      <c r="I244" s="389">
        <v>99.1</v>
      </c>
      <c r="J244" s="389">
        <v>0</v>
      </c>
      <c r="K244" s="389">
        <v>54.8</v>
      </c>
    </row>
    <row r="245" spans="1:11" ht="30" hidden="1" x14ac:dyDescent="0.25">
      <c r="A245" s="389" t="s">
        <v>5386</v>
      </c>
      <c r="B245" s="394" t="s">
        <v>5171</v>
      </c>
      <c r="C245" s="389" t="s">
        <v>4979</v>
      </c>
      <c r="D245" s="391">
        <v>17960</v>
      </c>
      <c r="E245" s="389" t="s">
        <v>4927</v>
      </c>
      <c r="F245" s="390">
        <v>3.62</v>
      </c>
      <c r="G245" s="390">
        <v>65015.199999999997</v>
      </c>
      <c r="H245" s="389">
        <v>0.01</v>
      </c>
      <c r="I245" s="389">
        <v>99.11</v>
      </c>
      <c r="J245" s="389">
        <v>0</v>
      </c>
      <c r="K245" s="389">
        <v>54.8</v>
      </c>
    </row>
    <row r="246" spans="1:11" hidden="1" x14ac:dyDescent="0.25">
      <c r="A246" s="389" t="s">
        <v>5387</v>
      </c>
      <c r="B246" s="394" t="s">
        <v>5388</v>
      </c>
      <c r="C246" s="389" t="s">
        <v>4972</v>
      </c>
      <c r="D246" s="391">
        <v>1722</v>
      </c>
      <c r="E246" s="389" t="s">
        <v>4927</v>
      </c>
      <c r="F246" s="390">
        <v>37.200000000000003</v>
      </c>
      <c r="G246" s="390">
        <v>64058.400000000001</v>
      </c>
      <c r="H246" s="389">
        <v>0.01</v>
      </c>
      <c r="I246" s="389">
        <v>99.12</v>
      </c>
      <c r="J246" s="389">
        <v>0</v>
      </c>
      <c r="K246" s="389">
        <v>54.8</v>
      </c>
    </row>
    <row r="247" spans="1:11" ht="45" hidden="1" x14ac:dyDescent="0.25">
      <c r="A247" s="389" t="s">
        <v>5389</v>
      </c>
      <c r="B247" s="394" t="s">
        <v>5390</v>
      </c>
      <c r="C247" s="389" t="s">
        <v>4956</v>
      </c>
      <c r="D247" s="389">
        <v>5</v>
      </c>
      <c r="E247" s="389" t="s">
        <v>4927</v>
      </c>
      <c r="F247" s="390">
        <v>12608.66</v>
      </c>
      <c r="G247" s="390">
        <v>63043.3</v>
      </c>
      <c r="H247" s="389">
        <v>0.01</v>
      </c>
      <c r="I247" s="389">
        <v>99.13</v>
      </c>
      <c r="J247" s="389">
        <v>0</v>
      </c>
      <c r="K247" s="389">
        <v>54.8</v>
      </c>
    </row>
    <row r="248" spans="1:11" hidden="1" x14ac:dyDescent="0.25">
      <c r="A248" s="389" t="s">
        <v>5391</v>
      </c>
      <c r="B248" s="394" t="s">
        <v>5392</v>
      </c>
      <c r="C248" s="389" t="s">
        <v>4979</v>
      </c>
      <c r="D248" s="391">
        <v>2310</v>
      </c>
      <c r="E248" s="389" t="s">
        <v>4927</v>
      </c>
      <c r="F248" s="390">
        <v>27.2</v>
      </c>
      <c r="G248" s="390">
        <v>62832</v>
      </c>
      <c r="H248" s="389">
        <v>0.01</v>
      </c>
      <c r="I248" s="389">
        <v>99.14</v>
      </c>
      <c r="J248" s="389">
        <v>0</v>
      </c>
      <c r="K248" s="389">
        <v>54.8</v>
      </c>
    </row>
    <row r="249" spans="1:11" hidden="1" x14ac:dyDescent="0.25">
      <c r="A249" s="389" t="s">
        <v>5393</v>
      </c>
      <c r="B249" s="394" t="s">
        <v>5276</v>
      </c>
      <c r="C249" s="389" t="s">
        <v>4979</v>
      </c>
      <c r="D249" s="391">
        <v>11870</v>
      </c>
      <c r="E249" s="389" t="s">
        <v>4927</v>
      </c>
      <c r="F249" s="390">
        <v>5.27</v>
      </c>
      <c r="G249" s="390">
        <v>62554.9</v>
      </c>
      <c r="H249" s="389">
        <v>0.01</v>
      </c>
      <c r="I249" s="389">
        <v>99.15</v>
      </c>
      <c r="J249" s="389">
        <v>0</v>
      </c>
      <c r="K249" s="389">
        <v>54.8</v>
      </c>
    </row>
    <row r="250" spans="1:11" hidden="1" x14ac:dyDescent="0.25">
      <c r="A250" s="389" t="s">
        <v>5394</v>
      </c>
      <c r="B250" s="394" t="s">
        <v>5395</v>
      </c>
      <c r="C250" s="389" t="s">
        <v>4972</v>
      </c>
      <c r="D250" s="391">
        <v>1775</v>
      </c>
      <c r="E250" s="389" t="s">
        <v>4927</v>
      </c>
      <c r="F250" s="390">
        <v>34.840000000000003</v>
      </c>
      <c r="G250" s="390">
        <v>61841</v>
      </c>
      <c r="H250" s="389">
        <v>0.01</v>
      </c>
      <c r="I250" s="389">
        <v>99.16</v>
      </c>
      <c r="J250" s="389">
        <v>0</v>
      </c>
      <c r="K250" s="389">
        <v>54.8</v>
      </c>
    </row>
    <row r="251" spans="1:11" ht="30" hidden="1" x14ac:dyDescent="0.25">
      <c r="A251" s="389" t="s">
        <v>5396</v>
      </c>
      <c r="B251" s="394" t="s">
        <v>5397</v>
      </c>
      <c r="C251" s="389" t="s">
        <v>4956</v>
      </c>
      <c r="D251" s="389">
        <v>2</v>
      </c>
      <c r="E251" s="389" t="s">
        <v>4927</v>
      </c>
      <c r="F251" s="390">
        <v>30786.81</v>
      </c>
      <c r="G251" s="390">
        <v>61573.62</v>
      </c>
      <c r="H251" s="389">
        <v>0.01</v>
      </c>
      <c r="I251" s="389">
        <v>99.17</v>
      </c>
      <c r="J251" s="389">
        <v>0</v>
      </c>
      <c r="K251" s="389">
        <v>54.8</v>
      </c>
    </row>
    <row r="252" spans="1:11" hidden="1" x14ac:dyDescent="0.25">
      <c r="A252" s="389" t="s">
        <v>5398</v>
      </c>
      <c r="B252" s="394" t="s">
        <v>5399</v>
      </c>
      <c r="C252" s="389" t="s">
        <v>4986</v>
      </c>
      <c r="D252" s="389">
        <v>33</v>
      </c>
      <c r="E252" s="389" t="s">
        <v>4927</v>
      </c>
      <c r="F252" s="390">
        <v>1845.46</v>
      </c>
      <c r="G252" s="390">
        <v>60900.18</v>
      </c>
      <c r="H252" s="389">
        <v>0.01</v>
      </c>
      <c r="I252" s="389">
        <v>99.18</v>
      </c>
      <c r="J252" s="389">
        <v>0</v>
      </c>
      <c r="K252" s="389">
        <v>54.8</v>
      </c>
    </row>
    <row r="253" spans="1:11" ht="30" hidden="1" x14ac:dyDescent="0.25">
      <c r="A253" s="389" t="s">
        <v>5400</v>
      </c>
      <c r="B253" s="394" t="s">
        <v>5361</v>
      </c>
      <c r="C253" s="389" t="s">
        <v>4979</v>
      </c>
      <c r="D253" s="391">
        <v>2260</v>
      </c>
      <c r="E253" s="389" t="s">
        <v>4927</v>
      </c>
      <c r="F253" s="390">
        <v>26.85</v>
      </c>
      <c r="G253" s="390">
        <v>60681</v>
      </c>
      <c r="H253" s="389">
        <v>0.01</v>
      </c>
      <c r="I253" s="389">
        <v>99.19</v>
      </c>
      <c r="J253" s="389">
        <v>0</v>
      </c>
      <c r="K253" s="389">
        <v>54.8</v>
      </c>
    </row>
    <row r="254" spans="1:11" ht="30" hidden="1" x14ac:dyDescent="0.25">
      <c r="A254" s="389" t="s">
        <v>5401</v>
      </c>
      <c r="B254" s="394" t="s">
        <v>5402</v>
      </c>
      <c r="C254" s="389" t="s">
        <v>4972</v>
      </c>
      <c r="D254" s="389">
        <v>495.4</v>
      </c>
      <c r="E254" s="389" t="s">
        <v>4927</v>
      </c>
      <c r="F254" s="390">
        <v>121.91</v>
      </c>
      <c r="G254" s="390">
        <v>60394.21</v>
      </c>
      <c r="H254" s="389">
        <v>0.01</v>
      </c>
      <c r="I254" s="389">
        <v>99.2</v>
      </c>
      <c r="J254" s="389">
        <v>0</v>
      </c>
      <c r="K254" s="389">
        <v>54.8</v>
      </c>
    </row>
    <row r="255" spans="1:11" ht="45" hidden="1" x14ac:dyDescent="0.25">
      <c r="A255" s="389" t="s">
        <v>5403</v>
      </c>
      <c r="B255" s="394" t="s">
        <v>5404</v>
      </c>
      <c r="C255" s="389" t="s">
        <v>4979</v>
      </c>
      <c r="D255" s="391">
        <v>2840</v>
      </c>
      <c r="E255" s="389" t="s">
        <v>4927</v>
      </c>
      <c r="F255" s="390">
        <v>21.1</v>
      </c>
      <c r="G255" s="390">
        <v>59924</v>
      </c>
      <c r="H255" s="389">
        <v>0.01</v>
      </c>
      <c r="I255" s="389">
        <v>99.21</v>
      </c>
      <c r="J255" s="389">
        <v>0</v>
      </c>
      <c r="K255" s="389">
        <v>54.8</v>
      </c>
    </row>
    <row r="256" spans="1:11" hidden="1" x14ac:dyDescent="0.25">
      <c r="A256" s="389" t="s">
        <v>5405</v>
      </c>
      <c r="B256" s="394" t="s">
        <v>5406</v>
      </c>
      <c r="C256" s="389" t="s">
        <v>4956</v>
      </c>
      <c r="D256" s="389">
        <v>424</v>
      </c>
      <c r="E256" s="389" t="s">
        <v>4927</v>
      </c>
      <c r="F256" s="390">
        <v>138.53</v>
      </c>
      <c r="G256" s="390">
        <v>58736.72</v>
      </c>
      <c r="H256" s="389">
        <v>0.01</v>
      </c>
      <c r="I256" s="389">
        <v>99.22</v>
      </c>
      <c r="J256" s="389">
        <v>0</v>
      </c>
      <c r="K256" s="389">
        <v>54.8</v>
      </c>
    </row>
    <row r="257" spans="1:11" hidden="1" x14ac:dyDescent="0.25">
      <c r="A257" s="389" t="s">
        <v>5407</v>
      </c>
      <c r="B257" s="394" t="s">
        <v>5408</v>
      </c>
      <c r="C257" s="389" t="s">
        <v>4979</v>
      </c>
      <c r="D257" s="391">
        <v>9660</v>
      </c>
      <c r="E257" s="389" t="s">
        <v>4927</v>
      </c>
      <c r="F257" s="390">
        <v>6.04</v>
      </c>
      <c r="G257" s="390">
        <v>58346.400000000001</v>
      </c>
      <c r="H257" s="389">
        <v>0.01</v>
      </c>
      <c r="I257" s="389">
        <v>99.23</v>
      </c>
      <c r="J257" s="389">
        <v>0</v>
      </c>
      <c r="K257" s="389">
        <v>54.8</v>
      </c>
    </row>
    <row r="258" spans="1:11" hidden="1" x14ac:dyDescent="0.25">
      <c r="A258" s="389" t="s">
        <v>5409</v>
      </c>
      <c r="B258" s="394" t="s">
        <v>5410</v>
      </c>
      <c r="C258" s="389" t="s">
        <v>5332</v>
      </c>
      <c r="D258" s="389">
        <v>5.8031579999999998</v>
      </c>
      <c r="E258" s="389" t="s">
        <v>4927</v>
      </c>
      <c r="F258" s="390">
        <v>10000</v>
      </c>
      <c r="G258" s="390">
        <v>58031.58</v>
      </c>
      <c r="H258" s="389">
        <v>0.01</v>
      </c>
      <c r="I258" s="389">
        <v>99.24</v>
      </c>
      <c r="J258" s="389">
        <v>0</v>
      </c>
      <c r="K258" s="389">
        <v>54.8</v>
      </c>
    </row>
    <row r="259" spans="1:11" hidden="1" x14ac:dyDescent="0.25">
      <c r="A259" s="389" t="s">
        <v>5411</v>
      </c>
      <c r="B259" s="394" t="s">
        <v>5412</v>
      </c>
      <c r="C259" s="389" t="s">
        <v>5044</v>
      </c>
      <c r="D259" s="389">
        <v>2</v>
      </c>
      <c r="E259" s="389" t="s">
        <v>4927</v>
      </c>
      <c r="F259" s="390">
        <v>28814.22</v>
      </c>
      <c r="G259" s="390">
        <v>57628.44</v>
      </c>
      <c r="H259" s="389">
        <v>0.01</v>
      </c>
      <c r="I259" s="389">
        <v>99.25</v>
      </c>
      <c r="J259" s="389">
        <v>0</v>
      </c>
      <c r="K259" s="389">
        <v>54.8</v>
      </c>
    </row>
    <row r="260" spans="1:11" hidden="1" x14ac:dyDescent="0.25">
      <c r="A260" s="389" t="s">
        <v>5413</v>
      </c>
      <c r="B260" s="394" t="s">
        <v>5414</v>
      </c>
      <c r="C260" s="389" t="s">
        <v>5044</v>
      </c>
      <c r="D260" s="389">
        <v>193</v>
      </c>
      <c r="E260" s="389" t="s">
        <v>4927</v>
      </c>
      <c r="F260" s="390">
        <v>296.87</v>
      </c>
      <c r="G260" s="390">
        <v>57295.91</v>
      </c>
      <c r="H260" s="389">
        <v>0.01</v>
      </c>
      <c r="I260" s="389">
        <v>99.26</v>
      </c>
      <c r="J260" s="389">
        <v>0</v>
      </c>
      <c r="K260" s="389">
        <v>54.8</v>
      </c>
    </row>
    <row r="261" spans="1:11" ht="30" hidden="1" x14ac:dyDescent="0.25">
      <c r="A261" s="389" t="s">
        <v>5415</v>
      </c>
      <c r="B261" s="394" t="s">
        <v>5416</v>
      </c>
      <c r="C261" s="389" t="s">
        <v>4979</v>
      </c>
      <c r="D261" s="391">
        <v>5410</v>
      </c>
      <c r="E261" s="389" t="s">
        <v>4927</v>
      </c>
      <c r="F261" s="390">
        <v>10.55</v>
      </c>
      <c r="G261" s="390">
        <v>57075.5</v>
      </c>
      <c r="H261" s="389">
        <v>0.01</v>
      </c>
      <c r="I261" s="389">
        <v>99.27</v>
      </c>
      <c r="J261" s="389">
        <v>0</v>
      </c>
      <c r="K261" s="389">
        <v>54.8</v>
      </c>
    </row>
    <row r="262" spans="1:11" hidden="1" x14ac:dyDescent="0.25">
      <c r="A262" s="389" t="s">
        <v>5417</v>
      </c>
      <c r="B262" s="394" t="s">
        <v>5418</v>
      </c>
      <c r="C262" s="389" t="s">
        <v>4979</v>
      </c>
      <c r="D262" s="389">
        <v>456</v>
      </c>
      <c r="E262" s="389" t="s">
        <v>4927</v>
      </c>
      <c r="F262" s="390">
        <v>125.16</v>
      </c>
      <c r="G262" s="390">
        <v>57072.959999999999</v>
      </c>
      <c r="H262" s="389">
        <v>0.01</v>
      </c>
      <c r="I262" s="389">
        <v>99.28</v>
      </c>
      <c r="J262" s="389">
        <v>0</v>
      </c>
      <c r="K262" s="389">
        <v>54.8</v>
      </c>
    </row>
    <row r="263" spans="1:11" ht="60" hidden="1" x14ac:dyDescent="0.25">
      <c r="A263" s="389" t="s">
        <v>5419</v>
      </c>
      <c r="B263" s="394" t="s">
        <v>5420</v>
      </c>
      <c r="C263" s="389" t="s">
        <v>5044</v>
      </c>
      <c r="D263" s="389">
        <v>6</v>
      </c>
      <c r="E263" s="389" t="s">
        <v>4927</v>
      </c>
      <c r="F263" s="390">
        <v>9485.5400000000009</v>
      </c>
      <c r="G263" s="390">
        <v>56913.24</v>
      </c>
      <c r="H263" s="389">
        <v>0.01</v>
      </c>
      <c r="I263" s="389">
        <v>99.29</v>
      </c>
      <c r="J263" s="389">
        <v>0</v>
      </c>
      <c r="K263" s="389">
        <v>54.8</v>
      </c>
    </row>
    <row r="264" spans="1:11" ht="30" hidden="1" x14ac:dyDescent="0.25">
      <c r="A264" s="389" t="s">
        <v>5421</v>
      </c>
      <c r="B264" s="394" t="s">
        <v>5422</v>
      </c>
      <c r="C264" s="389" t="s">
        <v>4979</v>
      </c>
      <c r="D264" s="391">
        <v>6750</v>
      </c>
      <c r="E264" s="389" t="s">
        <v>4927</v>
      </c>
      <c r="F264" s="390">
        <v>8.35</v>
      </c>
      <c r="G264" s="390">
        <v>56362.5</v>
      </c>
      <c r="H264" s="389">
        <v>0.01</v>
      </c>
      <c r="I264" s="389">
        <v>99.3</v>
      </c>
      <c r="J264" s="389">
        <v>0</v>
      </c>
      <c r="K264" s="389">
        <v>54.8</v>
      </c>
    </row>
    <row r="265" spans="1:11" hidden="1" x14ac:dyDescent="0.25">
      <c r="A265" s="389" t="s">
        <v>5423</v>
      </c>
      <c r="B265" s="394" t="s">
        <v>5424</v>
      </c>
      <c r="C265" s="389" t="s">
        <v>5332</v>
      </c>
      <c r="D265" s="391">
        <v>5619.6961769999998</v>
      </c>
      <c r="E265" s="389" t="s">
        <v>4927</v>
      </c>
      <c r="F265" s="390">
        <v>10</v>
      </c>
      <c r="G265" s="390">
        <v>56191.57</v>
      </c>
      <c r="H265" s="389">
        <v>0.01</v>
      </c>
      <c r="I265" s="389">
        <v>99.31</v>
      </c>
      <c r="J265" s="389">
        <v>0</v>
      </c>
      <c r="K265" s="389">
        <v>54.8</v>
      </c>
    </row>
    <row r="266" spans="1:11" ht="60" hidden="1" x14ac:dyDescent="0.25">
      <c r="A266" s="389" t="s">
        <v>5425</v>
      </c>
      <c r="B266" s="394" t="s">
        <v>5426</v>
      </c>
      <c r="C266" s="389" t="s">
        <v>5044</v>
      </c>
      <c r="D266" s="389">
        <v>6</v>
      </c>
      <c r="E266" s="389" t="s">
        <v>4927</v>
      </c>
      <c r="F266" s="390">
        <v>9251.4500000000007</v>
      </c>
      <c r="G266" s="390">
        <v>55508.7</v>
      </c>
      <c r="H266" s="389">
        <v>0.01</v>
      </c>
      <c r="I266" s="389">
        <v>99.32</v>
      </c>
      <c r="J266" s="389">
        <v>0</v>
      </c>
      <c r="K266" s="389">
        <v>54.8</v>
      </c>
    </row>
    <row r="267" spans="1:11" hidden="1" x14ac:dyDescent="0.25">
      <c r="A267" s="389" t="s">
        <v>5427</v>
      </c>
      <c r="B267" s="394" t="s">
        <v>5428</v>
      </c>
      <c r="C267" s="389" t="s">
        <v>5044</v>
      </c>
      <c r="D267" s="389">
        <v>75</v>
      </c>
      <c r="E267" s="389" t="s">
        <v>4927</v>
      </c>
      <c r="F267" s="390">
        <v>725.68</v>
      </c>
      <c r="G267" s="390">
        <v>54426</v>
      </c>
      <c r="H267" s="389">
        <v>0.01</v>
      </c>
      <c r="I267" s="389">
        <v>99.33</v>
      </c>
      <c r="J267" s="389">
        <v>0</v>
      </c>
      <c r="K267" s="389">
        <v>54.8</v>
      </c>
    </row>
    <row r="268" spans="1:11" hidden="1" x14ac:dyDescent="0.25">
      <c r="A268" s="389" t="s">
        <v>5429</v>
      </c>
      <c r="B268" s="394" t="s">
        <v>5430</v>
      </c>
      <c r="C268" s="389" t="s">
        <v>4972</v>
      </c>
      <c r="D268" s="391">
        <v>1220</v>
      </c>
      <c r="E268" s="389" t="s">
        <v>4927</v>
      </c>
      <c r="F268" s="390">
        <v>44.41</v>
      </c>
      <c r="G268" s="390">
        <v>54180.2</v>
      </c>
      <c r="H268" s="389">
        <v>0.01</v>
      </c>
      <c r="I268" s="389">
        <v>99.34</v>
      </c>
      <c r="J268" s="389">
        <v>0</v>
      </c>
      <c r="K268" s="389">
        <v>54.8</v>
      </c>
    </row>
    <row r="269" spans="1:11" ht="45" hidden="1" x14ac:dyDescent="0.25">
      <c r="A269" s="389" t="s">
        <v>5431</v>
      </c>
      <c r="B269" s="394" t="s">
        <v>5432</v>
      </c>
      <c r="C269" s="389" t="s">
        <v>4979</v>
      </c>
      <c r="D269" s="391">
        <v>1610</v>
      </c>
      <c r="E269" s="389" t="s">
        <v>4927</v>
      </c>
      <c r="F269" s="390">
        <v>33.44</v>
      </c>
      <c r="G269" s="390">
        <v>53838.400000000001</v>
      </c>
      <c r="H269" s="389">
        <v>0.01</v>
      </c>
      <c r="I269" s="389">
        <v>99.35</v>
      </c>
      <c r="J269" s="389">
        <v>0</v>
      </c>
      <c r="K269" s="389">
        <v>54.8</v>
      </c>
    </row>
    <row r="270" spans="1:11" hidden="1" x14ac:dyDescent="0.25">
      <c r="A270" s="389" t="s">
        <v>5433</v>
      </c>
      <c r="B270" s="394" t="s">
        <v>5434</v>
      </c>
      <c r="C270" s="389" t="s">
        <v>4979</v>
      </c>
      <c r="D270" s="389">
        <v>84.5</v>
      </c>
      <c r="E270" s="389" t="s">
        <v>4927</v>
      </c>
      <c r="F270" s="390">
        <v>613.45000000000005</v>
      </c>
      <c r="G270" s="390">
        <v>51836.53</v>
      </c>
      <c r="H270" s="389">
        <v>0.01</v>
      </c>
      <c r="I270" s="389">
        <v>99.36</v>
      </c>
      <c r="J270" s="389">
        <v>0</v>
      </c>
      <c r="K270" s="389">
        <v>54.8</v>
      </c>
    </row>
    <row r="271" spans="1:11" ht="30" hidden="1" x14ac:dyDescent="0.25">
      <c r="A271" s="389" t="s">
        <v>5435</v>
      </c>
      <c r="B271" s="394" t="s">
        <v>5436</v>
      </c>
      <c r="C271" s="389" t="s">
        <v>4956</v>
      </c>
      <c r="D271" s="389">
        <v>8</v>
      </c>
      <c r="E271" s="389" t="s">
        <v>4927</v>
      </c>
      <c r="F271" s="390">
        <v>6455.99</v>
      </c>
      <c r="G271" s="390">
        <v>51647.92</v>
      </c>
      <c r="H271" s="389">
        <v>0.01</v>
      </c>
      <c r="I271" s="389">
        <v>99.37</v>
      </c>
      <c r="J271" s="389">
        <v>0</v>
      </c>
      <c r="K271" s="389">
        <v>54.8</v>
      </c>
    </row>
    <row r="272" spans="1:11" ht="30" hidden="1" x14ac:dyDescent="0.25">
      <c r="A272" s="389" t="s">
        <v>5437</v>
      </c>
      <c r="B272" s="394" t="s">
        <v>5438</v>
      </c>
      <c r="C272" s="389" t="s">
        <v>5044</v>
      </c>
      <c r="D272" s="389">
        <v>1</v>
      </c>
      <c r="E272" s="389" t="s">
        <v>4927</v>
      </c>
      <c r="F272" s="390">
        <v>51414.5</v>
      </c>
      <c r="G272" s="390">
        <v>51414.5</v>
      </c>
      <c r="H272" s="389">
        <v>0.01</v>
      </c>
      <c r="I272" s="389">
        <v>99.38</v>
      </c>
      <c r="J272" s="389">
        <v>0</v>
      </c>
      <c r="K272" s="389">
        <v>54.8</v>
      </c>
    </row>
    <row r="273" spans="1:11" ht="60" hidden="1" x14ac:dyDescent="0.25">
      <c r="A273" s="389" t="s">
        <v>5439</v>
      </c>
      <c r="B273" s="394" t="s">
        <v>5260</v>
      </c>
      <c r="C273" s="389" t="s">
        <v>5044</v>
      </c>
      <c r="D273" s="389">
        <v>361</v>
      </c>
      <c r="E273" s="389" t="s">
        <v>4927</v>
      </c>
      <c r="F273" s="390">
        <v>142.1</v>
      </c>
      <c r="G273" s="390">
        <v>51298.1</v>
      </c>
      <c r="H273" s="389">
        <v>0.01</v>
      </c>
      <c r="I273" s="389">
        <v>99.39</v>
      </c>
      <c r="J273" s="389">
        <v>0</v>
      </c>
      <c r="K273" s="389">
        <v>54.8</v>
      </c>
    </row>
    <row r="274" spans="1:11" ht="30" hidden="1" x14ac:dyDescent="0.25">
      <c r="A274" s="389" t="s">
        <v>5440</v>
      </c>
      <c r="B274" s="394" t="s">
        <v>5441</v>
      </c>
      <c r="C274" s="389" t="s">
        <v>5044</v>
      </c>
      <c r="D274" s="389">
        <v>30</v>
      </c>
      <c r="E274" s="389" t="s">
        <v>4927</v>
      </c>
      <c r="F274" s="390">
        <v>1665.2</v>
      </c>
      <c r="G274" s="390">
        <v>49956</v>
      </c>
      <c r="H274" s="389">
        <v>0.01</v>
      </c>
      <c r="I274" s="389">
        <v>99.4</v>
      </c>
      <c r="J274" s="389">
        <v>0</v>
      </c>
      <c r="K274" s="389">
        <v>54.8</v>
      </c>
    </row>
    <row r="275" spans="1:11" hidden="1" x14ac:dyDescent="0.25">
      <c r="A275" s="389" t="s">
        <v>5442</v>
      </c>
      <c r="B275" s="394" t="s">
        <v>5443</v>
      </c>
      <c r="C275" s="389" t="s">
        <v>4972</v>
      </c>
      <c r="D275" s="391">
        <v>9538.92</v>
      </c>
      <c r="E275" s="389" t="s">
        <v>4927</v>
      </c>
      <c r="F275" s="390">
        <v>5.23</v>
      </c>
      <c r="G275" s="390">
        <v>49888.55</v>
      </c>
      <c r="H275" s="389">
        <v>0.01</v>
      </c>
      <c r="I275" s="389">
        <v>99.41</v>
      </c>
      <c r="J275" s="389">
        <v>0</v>
      </c>
      <c r="K275" s="389">
        <v>54.8</v>
      </c>
    </row>
    <row r="276" spans="1:11" ht="30" hidden="1" x14ac:dyDescent="0.25">
      <c r="A276" s="389" t="s">
        <v>5444</v>
      </c>
      <c r="B276" s="394" t="s">
        <v>5445</v>
      </c>
      <c r="C276" s="389" t="s">
        <v>5044</v>
      </c>
      <c r="D276" s="389">
        <v>1</v>
      </c>
      <c r="E276" s="389" t="s">
        <v>4927</v>
      </c>
      <c r="F276" s="390">
        <v>49478.81</v>
      </c>
      <c r="G276" s="390">
        <v>49478.81</v>
      </c>
      <c r="H276" s="389">
        <v>0.01</v>
      </c>
      <c r="I276" s="389">
        <v>99.42</v>
      </c>
      <c r="J276" s="389">
        <v>0</v>
      </c>
      <c r="K276" s="389">
        <v>54.8</v>
      </c>
    </row>
    <row r="277" spans="1:11" hidden="1" x14ac:dyDescent="0.25">
      <c r="A277" s="389" t="s">
        <v>5446</v>
      </c>
      <c r="B277" s="394" t="s">
        <v>5447</v>
      </c>
      <c r="C277" s="389" t="s">
        <v>4972</v>
      </c>
      <c r="D277" s="389">
        <v>87.47</v>
      </c>
      <c r="E277" s="389" t="s">
        <v>4927</v>
      </c>
      <c r="F277" s="390">
        <v>562.33000000000004</v>
      </c>
      <c r="G277" s="390">
        <v>49187.01</v>
      </c>
      <c r="H277" s="389">
        <v>0.01</v>
      </c>
      <c r="I277" s="389">
        <v>99.43</v>
      </c>
      <c r="J277" s="389">
        <v>0</v>
      </c>
      <c r="K277" s="389">
        <v>54.8</v>
      </c>
    </row>
    <row r="278" spans="1:11" hidden="1" x14ac:dyDescent="0.25">
      <c r="A278" s="389" t="s">
        <v>5448</v>
      </c>
      <c r="B278" s="394" t="s">
        <v>5449</v>
      </c>
      <c r="C278" s="389" t="s">
        <v>4956</v>
      </c>
      <c r="D278" s="389">
        <v>1</v>
      </c>
      <c r="E278" s="389" t="s">
        <v>4927</v>
      </c>
      <c r="F278" s="390">
        <v>48458.63</v>
      </c>
      <c r="G278" s="390">
        <v>48458.63</v>
      </c>
      <c r="H278" s="389">
        <v>0.01</v>
      </c>
      <c r="I278" s="389">
        <v>99.44</v>
      </c>
      <c r="J278" s="389">
        <v>0</v>
      </c>
      <c r="K278" s="389">
        <v>54.8</v>
      </c>
    </row>
    <row r="279" spans="1:11" ht="30" hidden="1" x14ac:dyDescent="0.25">
      <c r="A279" s="389" t="s">
        <v>5450</v>
      </c>
      <c r="B279" s="394" t="s">
        <v>5373</v>
      </c>
      <c r="C279" s="389" t="s">
        <v>4956</v>
      </c>
      <c r="D279" s="389">
        <v>75</v>
      </c>
      <c r="E279" s="389" t="s">
        <v>4927</v>
      </c>
      <c r="F279" s="390">
        <v>624.98</v>
      </c>
      <c r="G279" s="390">
        <v>46873.5</v>
      </c>
      <c r="H279" s="389">
        <v>0.01</v>
      </c>
      <c r="I279" s="389">
        <v>99.45</v>
      </c>
      <c r="J279" s="389">
        <v>0</v>
      </c>
      <c r="K279" s="389">
        <v>54.8</v>
      </c>
    </row>
    <row r="280" spans="1:11" hidden="1" x14ac:dyDescent="0.25">
      <c r="A280" s="389" t="s">
        <v>5451</v>
      </c>
      <c r="B280" s="394" t="s">
        <v>5399</v>
      </c>
      <c r="C280" s="389" t="s">
        <v>4986</v>
      </c>
      <c r="D280" s="389">
        <v>30</v>
      </c>
      <c r="E280" s="389" t="s">
        <v>4927</v>
      </c>
      <c r="F280" s="390">
        <v>1551.13</v>
      </c>
      <c r="G280" s="390">
        <v>46533.9</v>
      </c>
      <c r="H280" s="389">
        <v>0.01</v>
      </c>
      <c r="I280" s="389">
        <v>99.46</v>
      </c>
      <c r="J280" s="389">
        <v>0</v>
      </c>
      <c r="K280" s="389">
        <v>54.8</v>
      </c>
    </row>
    <row r="281" spans="1:11" hidden="1" x14ac:dyDescent="0.25">
      <c r="A281" s="389" t="s">
        <v>5452</v>
      </c>
      <c r="B281" s="394" t="s">
        <v>5453</v>
      </c>
      <c r="C281" s="389" t="s">
        <v>4979</v>
      </c>
      <c r="D281" s="391">
        <v>3600</v>
      </c>
      <c r="E281" s="389" t="s">
        <v>4927</v>
      </c>
      <c r="F281" s="390">
        <v>12.4</v>
      </c>
      <c r="G281" s="390">
        <v>44640</v>
      </c>
      <c r="H281" s="389">
        <v>0.01</v>
      </c>
      <c r="I281" s="389">
        <v>99.47</v>
      </c>
      <c r="J281" s="389">
        <v>0</v>
      </c>
      <c r="K281" s="389">
        <v>54.8</v>
      </c>
    </row>
    <row r="282" spans="1:11" hidden="1" x14ac:dyDescent="0.25">
      <c r="A282" s="389" t="s">
        <v>5454</v>
      </c>
      <c r="B282" s="394" t="s">
        <v>5455</v>
      </c>
      <c r="C282" s="389" t="s">
        <v>4956</v>
      </c>
      <c r="D282" s="389">
        <v>21</v>
      </c>
      <c r="E282" s="389" t="s">
        <v>4927</v>
      </c>
      <c r="F282" s="390">
        <v>2115.38</v>
      </c>
      <c r="G282" s="390">
        <v>44422.98</v>
      </c>
      <c r="H282" s="389">
        <v>0.01</v>
      </c>
      <c r="I282" s="389">
        <v>99.48</v>
      </c>
      <c r="J282" s="389">
        <v>0</v>
      </c>
      <c r="K282" s="389">
        <v>54.8</v>
      </c>
    </row>
    <row r="283" spans="1:11" hidden="1" x14ac:dyDescent="0.25">
      <c r="A283" s="389" t="s">
        <v>5456</v>
      </c>
      <c r="B283" s="394" t="s">
        <v>5457</v>
      </c>
      <c r="C283" s="389" t="s">
        <v>4979</v>
      </c>
      <c r="D283" s="389">
        <v>973</v>
      </c>
      <c r="E283" s="389" t="s">
        <v>4927</v>
      </c>
      <c r="F283" s="390">
        <v>45.63</v>
      </c>
      <c r="G283" s="390">
        <v>44397.99</v>
      </c>
      <c r="H283" s="389">
        <v>0.01</v>
      </c>
      <c r="I283" s="389">
        <v>99.49</v>
      </c>
      <c r="J283" s="389">
        <v>0</v>
      </c>
      <c r="K283" s="389">
        <v>54.8</v>
      </c>
    </row>
    <row r="284" spans="1:11" hidden="1" x14ac:dyDescent="0.25">
      <c r="A284" s="389" t="s">
        <v>5458</v>
      </c>
      <c r="B284" s="394" t="s">
        <v>5459</v>
      </c>
      <c r="C284" s="389" t="s">
        <v>4956</v>
      </c>
      <c r="D284" s="389">
        <v>97</v>
      </c>
      <c r="E284" s="389" t="s">
        <v>4927</v>
      </c>
      <c r="F284" s="390">
        <v>450.38</v>
      </c>
      <c r="G284" s="390">
        <v>43686.86</v>
      </c>
      <c r="H284" s="389">
        <v>0.01</v>
      </c>
      <c r="I284" s="389">
        <v>99.5</v>
      </c>
      <c r="J284" s="389">
        <v>0</v>
      </c>
      <c r="K284" s="389">
        <v>54.8</v>
      </c>
    </row>
    <row r="285" spans="1:11" hidden="1" x14ac:dyDescent="0.25">
      <c r="A285" s="389" t="s">
        <v>5460</v>
      </c>
      <c r="B285" s="394" t="s">
        <v>5461</v>
      </c>
      <c r="C285" s="389" t="s">
        <v>4956</v>
      </c>
      <c r="D285" s="391">
        <v>3842.34</v>
      </c>
      <c r="E285" s="389" t="s">
        <v>4927</v>
      </c>
      <c r="F285" s="390">
        <v>11.2</v>
      </c>
      <c r="G285" s="390">
        <v>43034.21</v>
      </c>
      <c r="H285" s="389">
        <v>0.01</v>
      </c>
      <c r="I285" s="389">
        <v>99.51</v>
      </c>
      <c r="J285" s="389">
        <v>0</v>
      </c>
      <c r="K285" s="389">
        <v>54.8</v>
      </c>
    </row>
    <row r="286" spans="1:11" ht="30" hidden="1" x14ac:dyDescent="0.25">
      <c r="A286" s="389" t="s">
        <v>5462</v>
      </c>
      <c r="B286" s="394" t="s">
        <v>5463</v>
      </c>
      <c r="C286" s="389" t="s">
        <v>4979</v>
      </c>
      <c r="D286" s="391">
        <v>10090</v>
      </c>
      <c r="E286" s="389" t="s">
        <v>4927</v>
      </c>
      <c r="F286" s="390">
        <v>4.22</v>
      </c>
      <c r="G286" s="390">
        <v>42579.8</v>
      </c>
      <c r="H286" s="389">
        <v>0.01</v>
      </c>
      <c r="I286" s="389">
        <v>99.52</v>
      </c>
      <c r="J286" s="389">
        <v>0</v>
      </c>
      <c r="K286" s="389">
        <v>54.8</v>
      </c>
    </row>
    <row r="287" spans="1:11" hidden="1" x14ac:dyDescent="0.25">
      <c r="A287" s="389" t="s">
        <v>5464</v>
      </c>
      <c r="B287" s="394" t="s">
        <v>5381</v>
      </c>
      <c r="C287" s="389" t="s">
        <v>4979</v>
      </c>
      <c r="D287" s="391">
        <v>1707.67</v>
      </c>
      <c r="E287" s="389" t="s">
        <v>4927</v>
      </c>
      <c r="F287" s="390">
        <v>24.86</v>
      </c>
      <c r="G287" s="390">
        <v>42452.68</v>
      </c>
      <c r="H287" s="389">
        <v>0.01</v>
      </c>
      <c r="I287" s="389">
        <v>99.53</v>
      </c>
      <c r="J287" s="389">
        <v>0</v>
      </c>
      <c r="K287" s="389">
        <v>54.8</v>
      </c>
    </row>
    <row r="288" spans="1:11" ht="60" hidden="1" x14ac:dyDescent="0.25">
      <c r="A288" s="389" t="s">
        <v>5465</v>
      </c>
      <c r="B288" s="394" t="s">
        <v>5466</v>
      </c>
      <c r="C288" s="389" t="s">
        <v>5044</v>
      </c>
      <c r="D288" s="389">
        <v>1</v>
      </c>
      <c r="E288" s="389" t="s">
        <v>4927</v>
      </c>
      <c r="F288" s="390">
        <v>40919.93</v>
      </c>
      <c r="G288" s="390">
        <v>40919.93</v>
      </c>
      <c r="H288" s="389">
        <v>0.01</v>
      </c>
      <c r="I288" s="389">
        <v>99.54</v>
      </c>
      <c r="J288" s="389">
        <v>0</v>
      </c>
      <c r="K288" s="389">
        <v>54.8</v>
      </c>
    </row>
    <row r="289" spans="1:11" hidden="1" x14ac:dyDescent="0.25">
      <c r="A289" s="389" t="s">
        <v>5467</v>
      </c>
      <c r="B289" s="394" t="s">
        <v>5468</v>
      </c>
      <c r="C289" s="389" t="s">
        <v>4972</v>
      </c>
      <c r="D289" s="389">
        <v>72.650000000000006</v>
      </c>
      <c r="E289" s="389" t="s">
        <v>4927</v>
      </c>
      <c r="F289" s="390">
        <v>562.33000000000004</v>
      </c>
      <c r="G289" s="390">
        <v>40853.269999999997</v>
      </c>
      <c r="H289" s="389">
        <v>0.01</v>
      </c>
      <c r="I289" s="389">
        <v>99.55</v>
      </c>
      <c r="J289" s="389">
        <v>0</v>
      </c>
      <c r="K289" s="389">
        <v>54.8</v>
      </c>
    </row>
    <row r="290" spans="1:11" hidden="1" x14ac:dyDescent="0.25">
      <c r="A290" s="389" t="s">
        <v>5469</v>
      </c>
      <c r="B290" s="394" t="s">
        <v>5470</v>
      </c>
      <c r="C290" s="389" t="s">
        <v>4979</v>
      </c>
      <c r="D290" s="391">
        <v>4000</v>
      </c>
      <c r="E290" s="389" t="s">
        <v>4927</v>
      </c>
      <c r="F290" s="390">
        <v>10.16</v>
      </c>
      <c r="G290" s="390">
        <v>40640</v>
      </c>
      <c r="H290" s="389">
        <v>0.01</v>
      </c>
      <c r="I290" s="389">
        <v>99.56</v>
      </c>
      <c r="J290" s="389">
        <v>0</v>
      </c>
      <c r="K290" s="389">
        <v>54.8</v>
      </c>
    </row>
    <row r="291" spans="1:11" hidden="1" x14ac:dyDescent="0.25">
      <c r="A291" s="389" t="s">
        <v>424</v>
      </c>
      <c r="B291" s="394" t="s">
        <v>5471</v>
      </c>
      <c r="C291" s="389" t="s">
        <v>4926</v>
      </c>
      <c r="D291" s="391">
        <v>11162.002500000001</v>
      </c>
      <c r="E291" s="389" t="s">
        <v>4927</v>
      </c>
      <c r="F291" s="390">
        <v>3.63</v>
      </c>
      <c r="G291" s="390">
        <v>40518.07</v>
      </c>
      <c r="H291" s="389">
        <v>0.01</v>
      </c>
      <c r="I291" s="389">
        <v>99.57</v>
      </c>
      <c r="J291" s="389">
        <v>0</v>
      </c>
      <c r="K291" s="389">
        <v>54.8</v>
      </c>
    </row>
    <row r="292" spans="1:11" hidden="1" x14ac:dyDescent="0.25">
      <c r="A292" s="389" t="s">
        <v>5472</v>
      </c>
      <c r="B292" s="394" t="s">
        <v>5473</v>
      </c>
      <c r="C292" s="389" t="s">
        <v>5044</v>
      </c>
      <c r="D292" s="389">
        <v>1</v>
      </c>
      <c r="E292" s="389" t="s">
        <v>4927</v>
      </c>
      <c r="F292" s="390">
        <v>40288.699999999997</v>
      </c>
      <c r="G292" s="390">
        <v>40288.699999999997</v>
      </c>
      <c r="H292" s="389">
        <v>0.01</v>
      </c>
      <c r="I292" s="389">
        <v>99.58</v>
      </c>
      <c r="J292" s="389">
        <v>0</v>
      </c>
      <c r="K292" s="389">
        <v>54.8</v>
      </c>
    </row>
    <row r="293" spans="1:11" ht="30" hidden="1" x14ac:dyDescent="0.25">
      <c r="A293" s="389" t="s">
        <v>5474</v>
      </c>
      <c r="B293" s="394" t="s">
        <v>5475</v>
      </c>
      <c r="C293" s="389" t="s">
        <v>5044</v>
      </c>
      <c r="D293" s="389">
        <v>1</v>
      </c>
      <c r="E293" s="389" t="s">
        <v>4927</v>
      </c>
      <c r="F293" s="390">
        <v>40076.07</v>
      </c>
      <c r="G293" s="390">
        <v>40076.07</v>
      </c>
      <c r="H293" s="389">
        <v>0.01</v>
      </c>
      <c r="I293" s="389">
        <v>99.59</v>
      </c>
      <c r="J293" s="389">
        <v>0</v>
      </c>
      <c r="K293" s="389">
        <v>54.8</v>
      </c>
    </row>
    <row r="294" spans="1:11" hidden="1" x14ac:dyDescent="0.25">
      <c r="A294" s="389" t="s">
        <v>5476</v>
      </c>
      <c r="B294" s="394" t="s">
        <v>5477</v>
      </c>
      <c r="C294" s="389" t="s">
        <v>4956</v>
      </c>
      <c r="D294" s="389">
        <v>8</v>
      </c>
      <c r="E294" s="389" t="s">
        <v>4927</v>
      </c>
      <c r="F294" s="390">
        <v>4990.1000000000004</v>
      </c>
      <c r="G294" s="390">
        <v>39920.800000000003</v>
      </c>
      <c r="H294" s="389">
        <v>0.01</v>
      </c>
      <c r="I294" s="389">
        <v>99.6</v>
      </c>
      <c r="J294" s="389">
        <v>0</v>
      </c>
      <c r="K294" s="389">
        <v>54.8</v>
      </c>
    </row>
    <row r="295" spans="1:11" ht="45" hidden="1" x14ac:dyDescent="0.25">
      <c r="A295" s="389" t="s">
        <v>5478</v>
      </c>
      <c r="B295" s="394" t="s">
        <v>5479</v>
      </c>
      <c r="C295" s="389" t="s">
        <v>5044</v>
      </c>
      <c r="D295" s="389">
        <v>3</v>
      </c>
      <c r="E295" s="389" t="s">
        <v>4927</v>
      </c>
      <c r="F295" s="390">
        <v>13304.3</v>
      </c>
      <c r="G295" s="390">
        <v>39912.9</v>
      </c>
      <c r="H295" s="389">
        <v>0.01</v>
      </c>
      <c r="I295" s="389">
        <v>99.61</v>
      </c>
      <c r="J295" s="389">
        <v>0</v>
      </c>
      <c r="K295" s="389">
        <v>54.8</v>
      </c>
    </row>
    <row r="296" spans="1:11" ht="45" hidden="1" x14ac:dyDescent="0.25">
      <c r="A296" s="389" t="s">
        <v>5480</v>
      </c>
      <c r="B296" s="394" t="s">
        <v>5481</v>
      </c>
      <c r="C296" s="389" t="s">
        <v>5044</v>
      </c>
      <c r="D296" s="389">
        <v>3</v>
      </c>
      <c r="E296" s="389" t="s">
        <v>4927</v>
      </c>
      <c r="F296" s="390">
        <v>13304.3</v>
      </c>
      <c r="G296" s="390">
        <v>39912.9</v>
      </c>
      <c r="H296" s="389">
        <v>0.01</v>
      </c>
      <c r="I296" s="389">
        <v>99.62</v>
      </c>
      <c r="J296" s="389">
        <v>0</v>
      </c>
      <c r="K296" s="389">
        <v>54.8</v>
      </c>
    </row>
    <row r="297" spans="1:11" hidden="1" x14ac:dyDescent="0.25">
      <c r="A297" s="389" t="s">
        <v>5482</v>
      </c>
      <c r="B297" s="394" t="s">
        <v>5483</v>
      </c>
      <c r="C297" s="389" t="s">
        <v>5044</v>
      </c>
      <c r="D297" s="389">
        <v>1</v>
      </c>
      <c r="E297" s="389" t="s">
        <v>4927</v>
      </c>
      <c r="F297" s="390">
        <v>39583.050000000003</v>
      </c>
      <c r="G297" s="390">
        <v>39583.050000000003</v>
      </c>
      <c r="H297" s="389">
        <v>0.01</v>
      </c>
      <c r="I297" s="389">
        <v>99.63</v>
      </c>
      <c r="J297" s="389">
        <v>0</v>
      </c>
      <c r="K297" s="389">
        <v>54.8</v>
      </c>
    </row>
    <row r="298" spans="1:11" hidden="1" x14ac:dyDescent="0.25">
      <c r="A298" s="389" t="s">
        <v>5484</v>
      </c>
      <c r="B298" s="394" t="s">
        <v>5485</v>
      </c>
      <c r="C298" s="389" t="s">
        <v>4972</v>
      </c>
      <c r="D298" s="391">
        <v>1871.96</v>
      </c>
      <c r="E298" s="389" t="s">
        <v>4927</v>
      </c>
      <c r="F298" s="390">
        <v>21.03</v>
      </c>
      <c r="G298" s="390">
        <v>39367.32</v>
      </c>
      <c r="H298" s="389">
        <v>0</v>
      </c>
      <c r="I298" s="389">
        <v>99.63</v>
      </c>
      <c r="J298" s="389">
        <v>0</v>
      </c>
      <c r="K298" s="389">
        <v>54.8</v>
      </c>
    </row>
    <row r="299" spans="1:11" ht="45" hidden="1" x14ac:dyDescent="0.25">
      <c r="A299" s="389" t="s">
        <v>5486</v>
      </c>
      <c r="B299" s="394" t="s">
        <v>5487</v>
      </c>
      <c r="C299" s="389" t="s">
        <v>4979</v>
      </c>
      <c r="D299" s="391">
        <v>1140</v>
      </c>
      <c r="E299" s="389" t="s">
        <v>4927</v>
      </c>
      <c r="F299" s="390">
        <v>33.44</v>
      </c>
      <c r="G299" s="390">
        <v>38121.599999999999</v>
      </c>
      <c r="H299" s="389">
        <v>0</v>
      </c>
      <c r="I299" s="389">
        <v>99.63</v>
      </c>
      <c r="J299" s="389">
        <v>0</v>
      </c>
      <c r="K299" s="389">
        <v>54.8</v>
      </c>
    </row>
    <row r="300" spans="1:11" hidden="1" x14ac:dyDescent="0.25">
      <c r="A300" s="389" t="s">
        <v>5488</v>
      </c>
      <c r="B300" s="394" t="s">
        <v>5179</v>
      </c>
      <c r="C300" s="389" t="s">
        <v>4979</v>
      </c>
      <c r="D300" s="391">
        <v>5020</v>
      </c>
      <c r="E300" s="389" t="s">
        <v>4927</v>
      </c>
      <c r="F300" s="390">
        <v>7.38</v>
      </c>
      <c r="G300" s="390">
        <v>37047.599999999999</v>
      </c>
      <c r="H300" s="389">
        <v>0</v>
      </c>
      <c r="I300" s="389">
        <v>99.63</v>
      </c>
      <c r="J300" s="389">
        <v>0</v>
      </c>
      <c r="K300" s="389">
        <v>54.8</v>
      </c>
    </row>
    <row r="301" spans="1:11" ht="30" hidden="1" x14ac:dyDescent="0.25">
      <c r="A301" s="389" t="s">
        <v>5489</v>
      </c>
      <c r="B301" s="394" t="s">
        <v>5490</v>
      </c>
      <c r="C301" s="389" t="s">
        <v>4956</v>
      </c>
      <c r="D301" s="389">
        <v>22</v>
      </c>
      <c r="E301" s="389" t="s">
        <v>4927</v>
      </c>
      <c r="F301" s="390">
        <v>1615.38</v>
      </c>
      <c r="G301" s="390">
        <v>35538.36</v>
      </c>
      <c r="H301" s="389">
        <v>0</v>
      </c>
      <c r="I301" s="389">
        <v>99.63</v>
      </c>
      <c r="J301" s="389">
        <v>0</v>
      </c>
      <c r="K301" s="389">
        <v>54.8</v>
      </c>
    </row>
    <row r="302" spans="1:11" ht="45" hidden="1" x14ac:dyDescent="0.25">
      <c r="A302" s="389" t="s">
        <v>5491</v>
      </c>
      <c r="B302" s="394" t="s">
        <v>5492</v>
      </c>
      <c r="C302" s="389" t="s">
        <v>4956</v>
      </c>
      <c r="D302" s="389">
        <v>2</v>
      </c>
      <c r="E302" s="389" t="s">
        <v>4927</v>
      </c>
      <c r="F302" s="390">
        <v>17736.54</v>
      </c>
      <c r="G302" s="390">
        <v>35473.08</v>
      </c>
      <c r="H302" s="389">
        <v>0</v>
      </c>
      <c r="I302" s="389">
        <v>99.63</v>
      </c>
      <c r="J302" s="389">
        <v>0</v>
      </c>
      <c r="K302" s="389">
        <v>54.8</v>
      </c>
    </row>
    <row r="303" spans="1:11" hidden="1" x14ac:dyDescent="0.25">
      <c r="A303" s="389" t="s">
        <v>310</v>
      </c>
      <c r="B303" s="394" t="s">
        <v>5493</v>
      </c>
      <c r="C303" s="389" t="s">
        <v>4926</v>
      </c>
      <c r="D303" s="391">
        <v>7216.889032</v>
      </c>
      <c r="E303" s="389" t="s">
        <v>4927</v>
      </c>
      <c r="F303" s="390">
        <v>4.87</v>
      </c>
      <c r="G303" s="390">
        <v>35146.519999999997</v>
      </c>
      <c r="H303" s="389">
        <v>0</v>
      </c>
      <c r="I303" s="389">
        <v>99.63</v>
      </c>
      <c r="J303" s="389">
        <v>0</v>
      </c>
      <c r="K303" s="389">
        <v>54.8</v>
      </c>
    </row>
    <row r="304" spans="1:11" ht="45" hidden="1" x14ac:dyDescent="0.25">
      <c r="A304" s="389" t="s">
        <v>5494</v>
      </c>
      <c r="B304" s="394" t="s">
        <v>5495</v>
      </c>
      <c r="C304" s="389" t="s">
        <v>5044</v>
      </c>
      <c r="D304" s="389">
        <v>8</v>
      </c>
      <c r="E304" s="389" t="s">
        <v>4927</v>
      </c>
      <c r="F304" s="390">
        <v>4371.17</v>
      </c>
      <c r="G304" s="390">
        <v>34969.360000000001</v>
      </c>
      <c r="H304" s="389">
        <v>0</v>
      </c>
      <c r="I304" s="389">
        <v>99.63</v>
      </c>
      <c r="J304" s="389">
        <v>0</v>
      </c>
      <c r="K304" s="389">
        <v>54.8</v>
      </c>
    </row>
    <row r="305" spans="1:11" hidden="1" x14ac:dyDescent="0.25">
      <c r="A305" s="389" t="s">
        <v>287</v>
      </c>
      <c r="B305" s="394" t="s">
        <v>5496</v>
      </c>
      <c r="C305" s="389" t="s">
        <v>4926</v>
      </c>
      <c r="D305" s="391">
        <v>90817.664000000004</v>
      </c>
      <c r="E305" s="389" t="s">
        <v>4927</v>
      </c>
      <c r="F305" s="390">
        <v>0.38</v>
      </c>
      <c r="G305" s="390">
        <v>34510.71</v>
      </c>
      <c r="H305" s="389">
        <v>0</v>
      </c>
      <c r="I305" s="389">
        <v>99.63</v>
      </c>
      <c r="J305" s="389">
        <v>0</v>
      </c>
      <c r="K305" s="389">
        <v>54.8</v>
      </c>
    </row>
    <row r="306" spans="1:11" ht="45" hidden="1" x14ac:dyDescent="0.25">
      <c r="A306" s="389" t="s">
        <v>5497</v>
      </c>
      <c r="B306" s="394" t="s">
        <v>5498</v>
      </c>
      <c r="C306" s="389" t="s">
        <v>4979</v>
      </c>
      <c r="D306" s="389">
        <v>800</v>
      </c>
      <c r="E306" s="389" t="s">
        <v>4927</v>
      </c>
      <c r="F306" s="390">
        <v>42.87</v>
      </c>
      <c r="G306" s="390">
        <v>34296</v>
      </c>
      <c r="H306" s="389">
        <v>0</v>
      </c>
      <c r="I306" s="389">
        <v>99.63</v>
      </c>
      <c r="J306" s="389">
        <v>0</v>
      </c>
      <c r="K306" s="389">
        <v>54.8</v>
      </c>
    </row>
    <row r="307" spans="1:11" ht="30" hidden="1" x14ac:dyDescent="0.25">
      <c r="A307" s="389" t="s">
        <v>5499</v>
      </c>
      <c r="B307" s="394" t="s">
        <v>5359</v>
      </c>
      <c r="C307" s="389" t="s">
        <v>5044</v>
      </c>
      <c r="D307" s="389">
        <v>54</v>
      </c>
      <c r="E307" s="389" t="s">
        <v>4927</v>
      </c>
      <c r="F307" s="390">
        <v>627.04</v>
      </c>
      <c r="G307" s="390">
        <v>33860.160000000003</v>
      </c>
      <c r="H307" s="389">
        <v>0</v>
      </c>
      <c r="I307" s="389">
        <v>99.63</v>
      </c>
      <c r="J307" s="389">
        <v>0</v>
      </c>
      <c r="K307" s="389">
        <v>54.8</v>
      </c>
    </row>
    <row r="308" spans="1:11" ht="30" hidden="1" x14ac:dyDescent="0.25">
      <c r="A308" s="389" t="s">
        <v>5500</v>
      </c>
      <c r="B308" s="394" t="s">
        <v>5501</v>
      </c>
      <c r="C308" s="389" t="s">
        <v>5044</v>
      </c>
      <c r="D308" s="389">
        <v>4</v>
      </c>
      <c r="E308" s="389" t="s">
        <v>4927</v>
      </c>
      <c r="F308" s="390">
        <v>8454.6299999999992</v>
      </c>
      <c r="G308" s="390">
        <v>33818.519999999997</v>
      </c>
      <c r="H308" s="389">
        <v>0</v>
      </c>
      <c r="I308" s="389">
        <v>99.63</v>
      </c>
      <c r="J308" s="389">
        <v>0</v>
      </c>
      <c r="K308" s="389">
        <v>54.8</v>
      </c>
    </row>
    <row r="309" spans="1:11" ht="30" hidden="1" x14ac:dyDescent="0.25">
      <c r="A309" s="389" t="s">
        <v>5502</v>
      </c>
      <c r="B309" s="394" t="s">
        <v>5503</v>
      </c>
      <c r="C309" s="389" t="s">
        <v>5044</v>
      </c>
      <c r="D309" s="389">
        <v>2</v>
      </c>
      <c r="E309" s="389" t="s">
        <v>4927</v>
      </c>
      <c r="F309" s="390">
        <v>16897.560000000001</v>
      </c>
      <c r="G309" s="390">
        <v>33795.120000000003</v>
      </c>
      <c r="H309" s="389">
        <v>0</v>
      </c>
      <c r="I309" s="389">
        <v>99.63</v>
      </c>
      <c r="J309" s="389">
        <v>0</v>
      </c>
      <c r="K309" s="389">
        <v>54.8</v>
      </c>
    </row>
    <row r="310" spans="1:11" ht="45" hidden="1" x14ac:dyDescent="0.25">
      <c r="A310" s="389" t="s">
        <v>5504</v>
      </c>
      <c r="B310" s="394" t="s">
        <v>5505</v>
      </c>
      <c r="C310" s="389" t="s">
        <v>4926</v>
      </c>
      <c r="D310" s="391">
        <v>1140</v>
      </c>
      <c r="E310" s="389" t="s">
        <v>4927</v>
      </c>
      <c r="F310" s="390">
        <v>28.3</v>
      </c>
      <c r="G310" s="390">
        <v>32262</v>
      </c>
      <c r="H310" s="389">
        <v>0</v>
      </c>
      <c r="I310" s="389">
        <v>99.63</v>
      </c>
      <c r="J310" s="389">
        <v>0</v>
      </c>
      <c r="K310" s="389">
        <v>54.8</v>
      </c>
    </row>
    <row r="311" spans="1:11" hidden="1" x14ac:dyDescent="0.25">
      <c r="A311" s="389" t="s">
        <v>5506</v>
      </c>
      <c r="B311" s="394" t="s">
        <v>5507</v>
      </c>
      <c r="C311" s="389" t="s">
        <v>5508</v>
      </c>
      <c r="D311" s="389">
        <v>452.04</v>
      </c>
      <c r="E311" s="389" t="s">
        <v>4927</v>
      </c>
      <c r="F311" s="390">
        <v>70</v>
      </c>
      <c r="G311" s="390">
        <v>31642.799999999999</v>
      </c>
      <c r="H311" s="389">
        <v>0</v>
      </c>
      <c r="I311" s="389">
        <v>99.63</v>
      </c>
      <c r="J311" s="389">
        <v>0</v>
      </c>
      <c r="K311" s="389">
        <v>54.8</v>
      </c>
    </row>
    <row r="312" spans="1:11" ht="45" hidden="1" x14ac:dyDescent="0.25">
      <c r="A312" s="389" t="s">
        <v>5509</v>
      </c>
      <c r="B312" s="394" t="s">
        <v>5510</v>
      </c>
      <c r="C312" s="389" t="s">
        <v>4956</v>
      </c>
      <c r="D312" s="389">
        <v>2</v>
      </c>
      <c r="E312" s="389" t="s">
        <v>4927</v>
      </c>
      <c r="F312" s="390">
        <v>15723.26</v>
      </c>
      <c r="G312" s="390">
        <v>31446.52</v>
      </c>
      <c r="H312" s="389">
        <v>0</v>
      </c>
      <c r="I312" s="389">
        <v>99.63</v>
      </c>
      <c r="J312" s="389">
        <v>0</v>
      </c>
      <c r="K312" s="389">
        <v>54.8</v>
      </c>
    </row>
    <row r="313" spans="1:11" ht="30" hidden="1" x14ac:dyDescent="0.25">
      <c r="A313" s="389" t="s">
        <v>5511</v>
      </c>
      <c r="B313" s="394" t="s">
        <v>5512</v>
      </c>
      <c r="C313" s="389" t="s">
        <v>5044</v>
      </c>
      <c r="D313" s="389">
        <v>7</v>
      </c>
      <c r="E313" s="389" t="s">
        <v>4927</v>
      </c>
      <c r="F313" s="390">
        <v>4486.1000000000004</v>
      </c>
      <c r="G313" s="390">
        <v>31402.7</v>
      </c>
      <c r="H313" s="389">
        <v>0</v>
      </c>
      <c r="I313" s="389">
        <v>99.63</v>
      </c>
      <c r="J313" s="389">
        <v>0</v>
      </c>
      <c r="K313" s="389">
        <v>54.8</v>
      </c>
    </row>
    <row r="314" spans="1:11" ht="30" hidden="1" x14ac:dyDescent="0.25">
      <c r="A314" s="389" t="s">
        <v>5513</v>
      </c>
      <c r="B314" s="394" t="s">
        <v>5514</v>
      </c>
      <c r="C314" s="389" t="s">
        <v>5044</v>
      </c>
      <c r="D314" s="389">
        <v>9</v>
      </c>
      <c r="E314" s="389" t="s">
        <v>4927</v>
      </c>
      <c r="F314" s="390">
        <v>3317.51</v>
      </c>
      <c r="G314" s="390">
        <v>29857.59</v>
      </c>
      <c r="H314" s="389">
        <v>0</v>
      </c>
      <c r="I314" s="389">
        <v>99.63</v>
      </c>
      <c r="J314" s="389">
        <v>0</v>
      </c>
      <c r="K314" s="389">
        <v>54.8</v>
      </c>
    </row>
    <row r="315" spans="1:11" hidden="1" x14ac:dyDescent="0.25">
      <c r="A315" s="389" t="s">
        <v>5515</v>
      </c>
      <c r="B315" s="394" t="s">
        <v>5516</v>
      </c>
      <c r="C315" s="389" t="s">
        <v>5044</v>
      </c>
      <c r="D315" s="389">
        <v>1</v>
      </c>
      <c r="E315" s="389" t="s">
        <v>4927</v>
      </c>
      <c r="F315" s="390">
        <v>29555.34</v>
      </c>
      <c r="G315" s="390">
        <v>29555.34</v>
      </c>
      <c r="H315" s="389">
        <v>0</v>
      </c>
      <c r="I315" s="389">
        <v>99.63</v>
      </c>
      <c r="J315" s="389">
        <v>0</v>
      </c>
      <c r="K315" s="389">
        <v>54.8</v>
      </c>
    </row>
    <row r="316" spans="1:11" hidden="1" x14ac:dyDescent="0.25">
      <c r="A316" s="389" t="s">
        <v>5517</v>
      </c>
      <c r="B316" s="394" t="s">
        <v>5470</v>
      </c>
      <c r="C316" s="389" t="s">
        <v>4979</v>
      </c>
      <c r="D316" s="391">
        <v>3650</v>
      </c>
      <c r="E316" s="389" t="s">
        <v>4927</v>
      </c>
      <c r="F316" s="390">
        <v>8.08</v>
      </c>
      <c r="G316" s="390">
        <v>29492</v>
      </c>
      <c r="H316" s="389">
        <v>0</v>
      </c>
      <c r="I316" s="389">
        <v>99.63</v>
      </c>
      <c r="J316" s="389">
        <v>0</v>
      </c>
      <c r="K316" s="389">
        <v>54.8</v>
      </c>
    </row>
    <row r="317" spans="1:11" ht="45" hidden="1" x14ac:dyDescent="0.25">
      <c r="A317" s="389" t="s">
        <v>5518</v>
      </c>
      <c r="B317" s="394" t="s">
        <v>5519</v>
      </c>
      <c r="C317" s="389" t="s">
        <v>4979</v>
      </c>
      <c r="D317" s="389">
        <v>287</v>
      </c>
      <c r="E317" s="389" t="s">
        <v>4927</v>
      </c>
      <c r="F317" s="390">
        <v>102.24</v>
      </c>
      <c r="G317" s="390">
        <v>29342.880000000001</v>
      </c>
      <c r="H317" s="389">
        <v>0</v>
      </c>
      <c r="I317" s="389">
        <v>99.63</v>
      </c>
      <c r="J317" s="389">
        <v>0</v>
      </c>
      <c r="K317" s="389">
        <v>54.8</v>
      </c>
    </row>
    <row r="318" spans="1:11" ht="45" hidden="1" x14ac:dyDescent="0.25">
      <c r="A318" s="389" t="s">
        <v>5520</v>
      </c>
      <c r="B318" s="394" t="s">
        <v>5492</v>
      </c>
      <c r="C318" s="389" t="s">
        <v>4956</v>
      </c>
      <c r="D318" s="389">
        <v>2</v>
      </c>
      <c r="E318" s="389" t="s">
        <v>4927</v>
      </c>
      <c r="F318" s="390">
        <v>14513.78</v>
      </c>
      <c r="G318" s="390">
        <v>29027.56</v>
      </c>
      <c r="H318" s="389">
        <v>0</v>
      </c>
      <c r="I318" s="389">
        <v>99.63</v>
      </c>
      <c r="J318" s="389">
        <v>0</v>
      </c>
      <c r="K318" s="389">
        <v>54.8</v>
      </c>
    </row>
    <row r="319" spans="1:11" ht="45" hidden="1" x14ac:dyDescent="0.25">
      <c r="A319" s="389" t="s">
        <v>5521</v>
      </c>
      <c r="B319" s="394" t="s">
        <v>5522</v>
      </c>
      <c r="C319" s="389" t="s">
        <v>5044</v>
      </c>
      <c r="D319" s="389">
        <v>140</v>
      </c>
      <c r="E319" s="389" t="s">
        <v>4927</v>
      </c>
      <c r="F319" s="390">
        <v>206.09</v>
      </c>
      <c r="G319" s="390">
        <v>28852.6</v>
      </c>
      <c r="H319" s="389">
        <v>0</v>
      </c>
      <c r="I319" s="389">
        <v>99.63</v>
      </c>
      <c r="J319" s="389">
        <v>0</v>
      </c>
      <c r="K319" s="389">
        <v>54.8</v>
      </c>
    </row>
    <row r="320" spans="1:11" hidden="1" x14ac:dyDescent="0.25">
      <c r="A320" s="389" t="s">
        <v>5523</v>
      </c>
      <c r="B320" s="394" t="s">
        <v>5524</v>
      </c>
      <c r="C320" s="389" t="s">
        <v>4979</v>
      </c>
      <c r="D320" s="389">
        <v>256</v>
      </c>
      <c r="E320" s="389" t="s">
        <v>4927</v>
      </c>
      <c r="F320" s="390">
        <v>112</v>
      </c>
      <c r="G320" s="390">
        <v>28672</v>
      </c>
      <c r="H320" s="389">
        <v>0</v>
      </c>
      <c r="I320" s="389">
        <v>99.63</v>
      </c>
      <c r="J320" s="389">
        <v>0</v>
      </c>
      <c r="K320" s="389">
        <v>54.8</v>
      </c>
    </row>
    <row r="321" spans="1:11" hidden="1" x14ac:dyDescent="0.25">
      <c r="A321" s="389" t="s">
        <v>334</v>
      </c>
      <c r="B321" s="394" t="s">
        <v>5525</v>
      </c>
      <c r="C321" s="389" t="s">
        <v>4956</v>
      </c>
      <c r="D321" s="391">
        <v>1331.6335999999999</v>
      </c>
      <c r="E321" s="389" t="s">
        <v>4927</v>
      </c>
      <c r="F321" s="390">
        <v>21.47</v>
      </c>
      <c r="G321" s="390">
        <v>28590.17</v>
      </c>
      <c r="H321" s="389">
        <v>0</v>
      </c>
      <c r="I321" s="389">
        <v>99.63</v>
      </c>
      <c r="J321" s="389">
        <v>0</v>
      </c>
      <c r="K321" s="389">
        <v>54.8</v>
      </c>
    </row>
    <row r="322" spans="1:11" ht="30" hidden="1" x14ac:dyDescent="0.25">
      <c r="A322" s="389" t="s">
        <v>5526</v>
      </c>
      <c r="B322" s="394" t="s">
        <v>5527</v>
      </c>
      <c r="C322" s="389" t="s">
        <v>5044</v>
      </c>
      <c r="D322" s="389">
        <v>752</v>
      </c>
      <c r="E322" s="389" t="s">
        <v>4927</v>
      </c>
      <c r="F322" s="390">
        <v>37.61</v>
      </c>
      <c r="G322" s="390">
        <v>28282.720000000001</v>
      </c>
      <c r="H322" s="389">
        <v>0</v>
      </c>
      <c r="I322" s="389">
        <v>99.63</v>
      </c>
      <c r="J322" s="389">
        <v>0</v>
      </c>
      <c r="K322" s="389">
        <v>54.8</v>
      </c>
    </row>
    <row r="323" spans="1:11" hidden="1" x14ac:dyDescent="0.25">
      <c r="A323" s="389" t="s">
        <v>5528</v>
      </c>
      <c r="B323" s="394" t="s">
        <v>5529</v>
      </c>
      <c r="C323" s="389" t="s">
        <v>4979</v>
      </c>
      <c r="D323" s="389">
        <v>353.05</v>
      </c>
      <c r="E323" s="389" t="s">
        <v>4927</v>
      </c>
      <c r="F323" s="390">
        <v>80</v>
      </c>
      <c r="G323" s="390">
        <v>28244</v>
      </c>
      <c r="H323" s="389">
        <v>0</v>
      </c>
      <c r="I323" s="389">
        <v>99.63</v>
      </c>
      <c r="J323" s="389">
        <v>0</v>
      </c>
      <c r="K323" s="389">
        <v>54.8</v>
      </c>
    </row>
    <row r="324" spans="1:11" hidden="1" x14ac:dyDescent="0.25">
      <c r="A324" s="389" t="s">
        <v>5530</v>
      </c>
      <c r="B324" s="394" t="s">
        <v>5531</v>
      </c>
      <c r="C324" s="389" t="s">
        <v>4956</v>
      </c>
      <c r="D324" s="389">
        <v>14</v>
      </c>
      <c r="E324" s="389" t="s">
        <v>4927</v>
      </c>
      <c r="F324" s="390">
        <v>2000</v>
      </c>
      <c r="G324" s="390">
        <v>28000</v>
      </c>
      <c r="H324" s="389">
        <v>0</v>
      </c>
      <c r="I324" s="389">
        <v>99.63</v>
      </c>
      <c r="J324" s="389">
        <v>0</v>
      </c>
      <c r="K324" s="389">
        <v>54.8</v>
      </c>
    </row>
    <row r="325" spans="1:11" ht="30" hidden="1" x14ac:dyDescent="0.25">
      <c r="A325" s="389" t="s">
        <v>5532</v>
      </c>
      <c r="B325" s="394" t="s">
        <v>5533</v>
      </c>
      <c r="C325" s="389" t="s">
        <v>4956</v>
      </c>
      <c r="D325" s="389">
        <v>17</v>
      </c>
      <c r="E325" s="389" t="s">
        <v>4927</v>
      </c>
      <c r="F325" s="390">
        <v>1630.76</v>
      </c>
      <c r="G325" s="390">
        <v>27722.92</v>
      </c>
      <c r="H325" s="389">
        <v>0</v>
      </c>
      <c r="I325" s="389">
        <v>99.63</v>
      </c>
      <c r="J325" s="389">
        <v>0</v>
      </c>
      <c r="K325" s="389">
        <v>54.8</v>
      </c>
    </row>
    <row r="326" spans="1:11" ht="30" hidden="1" x14ac:dyDescent="0.25">
      <c r="A326" s="389" t="s">
        <v>5534</v>
      </c>
      <c r="B326" s="394" t="s">
        <v>5535</v>
      </c>
      <c r="C326" s="389" t="s">
        <v>5044</v>
      </c>
      <c r="D326" s="389">
        <v>15</v>
      </c>
      <c r="E326" s="389" t="s">
        <v>4927</v>
      </c>
      <c r="F326" s="390">
        <v>1847.2</v>
      </c>
      <c r="G326" s="390">
        <v>27708</v>
      </c>
      <c r="H326" s="389">
        <v>0</v>
      </c>
      <c r="I326" s="389">
        <v>99.63</v>
      </c>
      <c r="J326" s="389">
        <v>0</v>
      </c>
      <c r="K326" s="389">
        <v>54.8</v>
      </c>
    </row>
    <row r="327" spans="1:11" ht="45" hidden="1" x14ac:dyDescent="0.25">
      <c r="A327" s="389" t="s">
        <v>5536</v>
      </c>
      <c r="B327" s="394" t="s">
        <v>5537</v>
      </c>
      <c r="C327" s="389" t="s">
        <v>4986</v>
      </c>
      <c r="D327" s="389">
        <v>33</v>
      </c>
      <c r="E327" s="389" t="s">
        <v>4927</v>
      </c>
      <c r="F327" s="390">
        <v>834.27</v>
      </c>
      <c r="G327" s="390">
        <v>27530.91</v>
      </c>
      <c r="H327" s="389">
        <v>0</v>
      </c>
      <c r="I327" s="389">
        <v>99.63</v>
      </c>
      <c r="J327" s="389">
        <v>0</v>
      </c>
      <c r="K327" s="389">
        <v>54.8</v>
      </c>
    </row>
    <row r="328" spans="1:11" hidden="1" x14ac:dyDescent="0.25">
      <c r="A328" s="389" t="s">
        <v>5538</v>
      </c>
      <c r="B328" s="394" t="s">
        <v>5539</v>
      </c>
      <c r="C328" s="389" t="s">
        <v>4934</v>
      </c>
      <c r="D328" s="389">
        <v>27.5</v>
      </c>
      <c r="E328" s="389" t="s">
        <v>4927</v>
      </c>
      <c r="F328" s="390">
        <v>1000</v>
      </c>
      <c r="G328" s="390">
        <v>27500</v>
      </c>
      <c r="H328" s="389">
        <v>0</v>
      </c>
      <c r="I328" s="389">
        <v>99.63</v>
      </c>
      <c r="J328" s="389">
        <v>0</v>
      </c>
      <c r="K328" s="389">
        <v>54.8</v>
      </c>
    </row>
    <row r="329" spans="1:11" hidden="1" x14ac:dyDescent="0.25">
      <c r="A329" s="389" t="s">
        <v>5540</v>
      </c>
      <c r="B329" s="394" t="s">
        <v>5541</v>
      </c>
      <c r="C329" s="389" t="s">
        <v>5114</v>
      </c>
      <c r="D329" s="391">
        <v>4320</v>
      </c>
      <c r="E329" s="389" t="s">
        <v>4927</v>
      </c>
      <c r="F329" s="390">
        <v>6.35</v>
      </c>
      <c r="G329" s="390">
        <v>27432</v>
      </c>
      <c r="H329" s="389">
        <v>0</v>
      </c>
      <c r="I329" s="389">
        <v>99.63</v>
      </c>
      <c r="J329" s="389">
        <v>0</v>
      </c>
      <c r="K329" s="389">
        <v>54.8</v>
      </c>
    </row>
    <row r="330" spans="1:11" ht="45" hidden="1" x14ac:dyDescent="0.25">
      <c r="A330" s="389" t="s">
        <v>5542</v>
      </c>
      <c r="B330" s="394" t="s">
        <v>5543</v>
      </c>
      <c r="C330" s="389" t="s">
        <v>4956</v>
      </c>
      <c r="D330" s="389">
        <v>15</v>
      </c>
      <c r="E330" s="389" t="s">
        <v>4927</v>
      </c>
      <c r="F330" s="390">
        <v>1824.05</v>
      </c>
      <c r="G330" s="390">
        <v>27360.75</v>
      </c>
      <c r="H330" s="389">
        <v>0</v>
      </c>
      <c r="I330" s="389">
        <v>99.63</v>
      </c>
      <c r="J330" s="389">
        <v>0</v>
      </c>
      <c r="K330" s="389">
        <v>54.8</v>
      </c>
    </row>
    <row r="331" spans="1:11" hidden="1" x14ac:dyDescent="0.25">
      <c r="A331" s="389" t="s">
        <v>5544</v>
      </c>
      <c r="B331" s="394" t="s">
        <v>5545</v>
      </c>
      <c r="C331" s="389" t="s">
        <v>5508</v>
      </c>
      <c r="D331" s="389">
        <v>452.04</v>
      </c>
      <c r="E331" s="389" t="s">
        <v>4927</v>
      </c>
      <c r="F331" s="390">
        <v>60</v>
      </c>
      <c r="G331" s="390">
        <v>27122.400000000001</v>
      </c>
      <c r="H331" s="389">
        <v>0</v>
      </c>
      <c r="I331" s="389">
        <v>99.63</v>
      </c>
      <c r="J331" s="389">
        <v>0</v>
      </c>
      <c r="K331" s="389">
        <v>54.8</v>
      </c>
    </row>
    <row r="332" spans="1:11" hidden="1" x14ac:dyDescent="0.25">
      <c r="A332" s="389" t="s">
        <v>5546</v>
      </c>
      <c r="B332" s="394" t="s">
        <v>5547</v>
      </c>
      <c r="C332" s="389" t="s">
        <v>5044</v>
      </c>
      <c r="D332" s="389">
        <v>5</v>
      </c>
      <c r="E332" s="389" t="s">
        <v>4927</v>
      </c>
      <c r="F332" s="390">
        <v>5396.74</v>
      </c>
      <c r="G332" s="390">
        <v>26983.7</v>
      </c>
      <c r="H332" s="389">
        <v>0</v>
      </c>
      <c r="I332" s="389">
        <v>99.63</v>
      </c>
      <c r="J332" s="389">
        <v>0</v>
      </c>
      <c r="K332" s="389">
        <v>54.8</v>
      </c>
    </row>
    <row r="333" spans="1:11" hidden="1" x14ac:dyDescent="0.25">
      <c r="A333" s="389" t="s">
        <v>5548</v>
      </c>
      <c r="B333" s="394" t="s">
        <v>5549</v>
      </c>
      <c r="C333" s="389" t="s">
        <v>5164</v>
      </c>
      <c r="D333" s="389">
        <v>308</v>
      </c>
      <c r="E333" s="389" t="s">
        <v>4927</v>
      </c>
      <c r="F333" s="390">
        <v>87.29</v>
      </c>
      <c r="G333" s="390">
        <v>26885.32</v>
      </c>
      <c r="H333" s="389">
        <v>0</v>
      </c>
      <c r="I333" s="389">
        <v>99.63</v>
      </c>
      <c r="J333" s="389">
        <v>0</v>
      </c>
      <c r="K333" s="389">
        <v>54.8</v>
      </c>
    </row>
    <row r="334" spans="1:11" hidden="1" x14ac:dyDescent="0.25">
      <c r="A334" s="389" t="s">
        <v>5550</v>
      </c>
      <c r="B334" s="394" t="s">
        <v>5551</v>
      </c>
      <c r="C334" s="389" t="s">
        <v>4972</v>
      </c>
      <c r="D334" s="389">
        <v>766.5</v>
      </c>
      <c r="E334" s="389" t="s">
        <v>4927</v>
      </c>
      <c r="F334" s="390">
        <v>34.83</v>
      </c>
      <c r="G334" s="390">
        <v>26697.200000000001</v>
      </c>
      <c r="H334" s="389">
        <v>0</v>
      </c>
      <c r="I334" s="389">
        <v>99.63</v>
      </c>
      <c r="J334" s="389">
        <v>0</v>
      </c>
      <c r="K334" s="389">
        <v>54.8</v>
      </c>
    </row>
    <row r="335" spans="1:11" hidden="1" x14ac:dyDescent="0.25">
      <c r="A335" s="389" t="s">
        <v>394</v>
      </c>
      <c r="B335" s="394" t="s">
        <v>5552</v>
      </c>
      <c r="C335" s="389" t="s">
        <v>4979</v>
      </c>
      <c r="D335" s="389">
        <v>683.17499999999995</v>
      </c>
      <c r="E335" s="389" t="s">
        <v>4927</v>
      </c>
      <c r="F335" s="390">
        <v>38.979999999999997</v>
      </c>
      <c r="G335" s="390">
        <v>26630.16</v>
      </c>
      <c r="H335" s="389">
        <v>0</v>
      </c>
      <c r="I335" s="389">
        <v>99.63</v>
      </c>
      <c r="J335" s="389">
        <v>0</v>
      </c>
      <c r="K335" s="389">
        <v>54.8</v>
      </c>
    </row>
    <row r="336" spans="1:11" ht="45" hidden="1" x14ac:dyDescent="0.25">
      <c r="A336" s="389" t="s">
        <v>5553</v>
      </c>
      <c r="B336" s="394" t="s">
        <v>5554</v>
      </c>
      <c r="C336" s="389" t="s">
        <v>5044</v>
      </c>
      <c r="D336" s="389">
        <v>2</v>
      </c>
      <c r="E336" s="389" t="s">
        <v>4927</v>
      </c>
      <c r="F336" s="390">
        <v>13304.3</v>
      </c>
      <c r="G336" s="390">
        <v>26608.6</v>
      </c>
      <c r="H336" s="389">
        <v>0</v>
      </c>
      <c r="I336" s="389">
        <v>99.63</v>
      </c>
      <c r="J336" s="389">
        <v>0</v>
      </c>
      <c r="K336" s="389">
        <v>54.8</v>
      </c>
    </row>
    <row r="337" spans="1:11" ht="45" hidden="1" x14ac:dyDescent="0.25">
      <c r="A337" s="389" t="s">
        <v>5555</v>
      </c>
      <c r="B337" s="394" t="s">
        <v>5556</v>
      </c>
      <c r="C337" s="389" t="s">
        <v>5044</v>
      </c>
      <c r="D337" s="389">
        <v>2</v>
      </c>
      <c r="E337" s="389" t="s">
        <v>4927</v>
      </c>
      <c r="F337" s="390">
        <v>13304.3</v>
      </c>
      <c r="G337" s="390">
        <v>26608.6</v>
      </c>
      <c r="H337" s="389">
        <v>0</v>
      </c>
      <c r="I337" s="389">
        <v>99.63</v>
      </c>
      <c r="J337" s="389">
        <v>0</v>
      </c>
      <c r="K337" s="389">
        <v>54.8</v>
      </c>
    </row>
    <row r="338" spans="1:11" ht="45" hidden="1" x14ac:dyDescent="0.25">
      <c r="A338" s="389" t="s">
        <v>5557</v>
      </c>
      <c r="B338" s="394" t="s">
        <v>5558</v>
      </c>
      <c r="C338" s="389" t="s">
        <v>5044</v>
      </c>
      <c r="D338" s="389">
        <v>4</v>
      </c>
      <c r="E338" s="389" t="s">
        <v>4927</v>
      </c>
      <c r="F338" s="390">
        <v>6480.99</v>
      </c>
      <c r="G338" s="390">
        <v>25923.96</v>
      </c>
      <c r="H338" s="389">
        <v>0</v>
      </c>
      <c r="I338" s="389">
        <v>99.63</v>
      </c>
      <c r="J338" s="389">
        <v>0</v>
      </c>
      <c r="K338" s="389">
        <v>54.8</v>
      </c>
    </row>
    <row r="339" spans="1:11" ht="45" hidden="1" x14ac:dyDescent="0.25">
      <c r="A339" s="389" t="s">
        <v>5559</v>
      </c>
      <c r="B339" s="394" t="s">
        <v>5560</v>
      </c>
      <c r="C339" s="389" t="s">
        <v>5044</v>
      </c>
      <c r="D339" s="389">
        <v>4</v>
      </c>
      <c r="E339" s="389" t="s">
        <v>4927</v>
      </c>
      <c r="F339" s="390">
        <v>6480.99</v>
      </c>
      <c r="G339" s="390">
        <v>25923.96</v>
      </c>
      <c r="H339" s="389">
        <v>0</v>
      </c>
      <c r="I339" s="389">
        <v>99.63</v>
      </c>
      <c r="J339" s="389">
        <v>0</v>
      </c>
      <c r="K339" s="389">
        <v>54.8</v>
      </c>
    </row>
    <row r="340" spans="1:11" hidden="1" x14ac:dyDescent="0.25">
      <c r="A340" s="389" t="s">
        <v>5561</v>
      </c>
      <c r="B340" s="394" t="s">
        <v>5562</v>
      </c>
      <c r="C340" s="389" t="s">
        <v>4956</v>
      </c>
      <c r="D340" s="389">
        <v>60</v>
      </c>
      <c r="E340" s="389" t="s">
        <v>4927</v>
      </c>
      <c r="F340" s="390">
        <v>430</v>
      </c>
      <c r="G340" s="390">
        <v>25800</v>
      </c>
      <c r="H340" s="389">
        <v>0</v>
      </c>
      <c r="I340" s="389">
        <v>99.63</v>
      </c>
      <c r="J340" s="389">
        <v>0</v>
      </c>
      <c r="K340" s="389">
        <v>54.8</v>
      </c>
    </row>
    <row r="341" spans="1:11" hidden="1" x14ac:dyDescent="0.25">
      <c r="A341" s="389" t="s">
        <v>5563</v>
      </c>
      <c r="B341" s="394" t="s">
        <v>5564</v>
      </c>
      <c r="C341" s="389" t="s">
        <v>4986</v>
      </c>
      <c r="D341" s="389">
        <v>74</v>
      </c>
      <c r="E341" s="389" t="s">
        <v>4927</v>
      </c>
      <c r="F341" s="390">
        <v>346.37</v>
      </c>
      <c r="G341" s="390">
        <v>25631.38</v>
      </c>
      <c r="H341" s="389">
        <v>0</v>
      </c>
      <c r="I341" s="389">
        <v>99.63</v>
      </c>
      <c r="J341" s="389">
        <v>0</v>
      </c>
      <c r="K341" s="389">
        <v>54.8</v>
      </c>
    </row>
    <row r="342" spans="1:11" hidden="1" x14ac:dyDescent="0.25">
      <c r="A342" s="389" t="s">
        <v>5565</v>
      </c>
      <c r="B342" s="394" t="s">
        <v>5566</v>
      </c>
      <c r="C342" s="389" t="s">
        <v>4979</v>
      </c>
      <c r="D342" s="391">
        <v>2200</v>
      </c>
      <c r="E342" s="389" t="s">
        <v>4927</v>
      </c>
      <c r="F342" s="390">
        <v>11.6</v>
      </c>
      <c r="G342" s="390">
        <v>25520</v>
      </c>
      <c r="H342" s="389">
        <v>0</v>
      </c>
      <c r="I342" s="389">
        <v>99.63</v>
      </c>
      <c r="J342" s="389">
        <v>0</v>
      </c>
      <c r="K342" s="389">
        <v>54.8</v>
      </c>
    </row>
    <row r="343" spans="1:11" hidden="1" x14ac:dyDescent="0.25">
      <c r="A343" s="389" t="s">
        <v>5567</v>
      </c>
      <c r="B343" s="394" t="s">
        <v>5568</v>
      </c>
      <c r="C343" s="389" t="s">
        <v>4956</v>
      </c>
      <c r="D343" s="391">
        <v>2703</v>
      </c>
      <c r="E343" s="389" t="s">
        <v>4927</v>
      </c>
      <c r="F343" s="390">
        <v>9.42</v>
      </c>
      <c r="G343" s="390">
        <v>25462.26</v>
      </c>
      <c r="H343" s="389">
        <v>0</v>
      </c>
      <c r="I343" s="389">
        <v>99.63</v>
      </c>
      <c r="J343" s="389">
        <v>0</v>
      </c>
      <c r="K343" s="389">
        <v>54.8</v>
      </c>
    </row>
    <row r="344" spans="1:11" ht="30" hidden="1" x14ac:dyDescent="0.25">
      <c r="A344" s="389" t="s">
        <v>5569</v>
      </c>
      <c r="B344" s="394" t="s">
        <v>5570</v>
      </c>
      <c r="C344" s="389" t="s">
        <v>5044</v>
      </c>
      <c r="D344" s="389">
        <v>2</v>
      </c>
      <c r="E344" s="389" t="s">
        <v>4927</v>
      </c>
      <c r="F344" s="390">
        <v>12499.44</v>
      </c>
      <c r="G344" s="390">
        <v>24998.880000000001</v>
      </c>
      <c r="H344" s="389">
        <v>0</v>
      </c>
      <c r="I344" s="389">
        <v>99.63</v>
      </c>
      <c r="J344" s="389">
        <v>0</v>
      </c>
      <c r="K344" s="389">
        <v>54.8</v>
      </c>
    </row>
    <row r="345" spans="1:11" hidden="1" x14ac:dyDescent="0.25">
      <c r="A345" s="389" t="s">
        <v>5571</v>
      </c>
      <c r="B345" s="394" t="s">
        <v>5453</v>
      </c>
      <c r="C345" s="389" t="s">
        <v>4979</v>
      </c>
      <c r="D345" s="391">
        <v>2610</v>
      </c>
      <c r="E345" s="389" t="s">
        <v>4927</v>
      </c>
      <c r="F345" s="390">
        <v>9.57</v>
      </c>
      <c r="G345" s="390">
        <v>24977.7</v>
      </c>
      <c r="H345" s="389">
        <v>0</v>
      </c>
      <c r="I345" s="389">
        <v>99.63</v>
      </c>
      <c r="J345" s="389">
        <v>0</v>
      </c>
      <c r="K345" s="389">
        <v>54.8</v>
      </c>
    </row>
    <row r="346" spans="1:11" hidden="1" x14ac:dyDescent="0.25">
      <c r="A346" s="389" t="s">
        <v>5572</v>
      </c>
      <c r="B346" s="394" t="s">
        <v>5573</v>
      </c>
      <c r="C346" s="389" t="s">
        <v>4979</v>
      </c>
      <c r="D346" s="389">
        <v>32.5</v>
      </c>
      <c r="E346" s="389" t="s">
        <v>4927</v>
      </c>
      <c r="F346" s="390">
        <v>766.82</v>
      </c>
      <c r="G346" s="390">
        <v>24921.65</v>
      </c>
      <c r="H346" s="389">
        <v>0</v>
      </c>
      <c r="I346" s="389">
        <v>99.63</v>
      </c>
      <c r="J346" s="389">
        <v>0</v>
      </c>
      <c r="K346" s="389">
        <v>54.8</v>
      </c>
    </row>
    <row r="347" spans="1:11" hidden="1" x14ac:dyDescent="0.25">
      <c r="A347" s="389" t="s">
        <v>5574</v>
      </c>
      <c r="B347" s="394" t="s">
        <v>5575</v>
      </c>
      <c r="C347" s="389" t="s">
        <v>4972</v>
      </c>
      <c r="D347" s="389">
        <v>777.29</v>
      </c>
      <c r="E347" s="389" t="s">
        <v>4927</v>
      </c>
      <c r="F347" s="390">
        <v>31.92</v>
      </c>
      <c r="G347" s="390">
        <v>24811.1</v>
      </c>
      <c r="H347" s="389">
        <v>0</v>
      </c>
      <c r="I347" s="389">
        <v>99.63</v>
      </c>
      <c r="J347" s="389">
        <v>0</v>
      </c>
      <c r="K347" s="389">
        <v>54.8</v>
      </c>
    </row>
    <row r="348" spans="1:11" hidden="1" x14ac:dyDescent="0.25">
      <c r="A348" s="389" t="s">
        <v>5576</v>
      </c>
      <c r="B348" s="394" t="s">
        <v>5577</v>
      </c>
      <c r="C348" s="389" t="s">
        <v>5164</v>
      </c>
      <c r="D348" s="389">
        <v>55</v>
      </c>
      <c r="E348" s="389" t="s">
        <v>4927</v>
      </c>
      <c r="F348" s="390">
        <v>450.38</v>
      </c>
      <c r="G348" s="390">
        <v>24770.9</v>
      </c>
      <c r="H348" s="389">
        <v>0</v>
      </c>
      <c r="I348" s="389">
        <v>99.63</v>
      </c>
      <c r="J348" s="389">
        <v>0</v>
      </c>
      <c r="K348" s="389">
        <v>54.8</v>
      </c>
    </row>
    <row r="349" spans="1:11" ht="30" hidden="1" x14ac:dyDescent="0.25">
      <c r="A349" s="389" t="s">
        <v>5578</v>
      </c>
      <c r="B349" s="394" t="s">
        <v>5501</v>
      </c>
      <c r="C349" s="389" t="s">
        <v>5044</v>
      </c>
      <c r="D349" s="389">
        <v>5</v>
      </c>
      <c r="E349" s="389" t="s">
        <v>4927</v>
      </c>
      <c r="F349" s="390">
        <v>4947.88</v>
      </c>
      <c r="G349" s="390">
        <v>24739.4</v>
      </c>
      <c r="H349" s="389">
        <v>0</v>
      </c>
      <c r="I349" s="389">
        <v>99.63</v>
      </c>
      <c r="J349" s="389">
        <v>0</v>
      </c>
      <c r="K349" s="389">
        <v>54.8</v>
      </c>
    </row>
    <row r="350" spans="1:11" hidden="1" x14ac:dyDescent="0.25">
      <c r="A350" s="389" t="s">
        <v>5579</v>
      </c>
      <c r="B350" s="394" t="s">
        <v>5580</v>
      </c>
      <c r="C350" s="389" t="s">
        <v>4972</v>
      </c>
      <c r="D350" s="389">
        <v>210</v>
      </c>
      <c r="E350" s="389" t="s">
        <v>4927</v>
      </c>
      <c r="F350" s="390">
        <v>114.79</v>
      </c>
      <c r="G350" s="390">
        <v>24105.9</v>
      </c>
      <c r="H350" s="389">
        <v>0</v>
      </c>
      <c r="I350" s="389">
        <v>99.63</v>
      </c>
      <c r="J350" s="389">
        <v>0</v>
      </c>
      <c r="K350" s="389">
        <v>54.8</v>
      </c>
    </row>
    <row r="351" spans="1:11" hidden="1" x14ac:dyDescent="0.25">
      <c r="A351" s="389" t="s">
        <v>5581</v>
      </c>
      <c r="B351" s="394" t="s">
        <v>5582</v>
      </c>
      <c r="C351" s="389" t="s">
        <v>4956</v>
      </c>
      <c r="D351" s="389">
        <v>48</v>
      </c>
      <c r="E351" s="389" t="s">
        <v>4927</v>
      </c>
      <c r="F351" s="390">
        <v>496.04</v>
      </c>
      <c r="G351" s="390">
        <v>23809.919999999998</v>
      </c>
      <c r="H351" s="389">
        <v>0</v>
      </c>
      <c r="I351" s="389">
        <v>99.63</v>
      </c>
      <c r="J351" s="389">
        <v>0</v>
      </c>
      <c r="K351" s="389">
        <v>54.8</v>
      </c>
    </row>
    <row r="352" spans="1:11" hidden="1" x14ac:dyDescent="0.25">
      <c r="A352" s="389" t="s">
        <v>5583</v>
      </c>
      <c r="B352" s="394" t="s">
        <v>5584</v>
      </c>
      <c r="C352" s="389" t="s">
        <v>4972</v>
      </c>
      <c r="D352" s="389">
        <v>130</v>
      </c>
      <c r="E352" s="389" t="s">
        <v>4927</v>
      </c>
      <c r="F352" s="390">
        <v>182.87</v>
      </c>
      <c r="G352" s="390">
        <v>23773.1</v>
      </c>
      <c r="H352" s="389">
        <v>0</v>
      </c>
      <c r="I352" s="389">
        <v>99.63</v>
      </c>
      <c r="J352" s="389">
        <v>0</v>
      </c>
      <c r="K352" s="389">
        <v>54.8</v>
      </c>
    </row>
    <row r="353" spans="1:11" ht="45" hidden="1" x14ac:dyDescent="0.25">
      <c r="A353" s="389" t="s">
        <v>5585</v>
      </c>
      <c r="B353" s="394" t="s">
        <v>5543</v>
      </c>
      <c r="C353" s="389" t="s">
        <v>4956</v>
      </c>
      <c r="D353" s="389">
        <v>30</v>
      </c>
      <c r="E353" s="389" t="s">
        <v>4927</v>
      </c>
      <c r="F353" s="390">
        <v>791.65</v>
      </c>
      <c r="G353" s="390">
        <v>23749.5</v>
      </c>
      <c r="H353" s="389">
        <v>0</v>
      </c>
      <c r="I353" s="389">
        <v>99.63</v>
      </c>
      <c r="J353" s="389">
        <v>0</v>
      </c>
      <c r="K353" s="389">
        <v>54.8</v>
      </c>
    </row>
    <row r="354" spans="1:11" ht="45" hidden="1" x14ac:dyDescent="0.25">
      <c r="A354" s="389" t="s">
        <v>5586</v>
      </c>
      <c r="B354" s="394" t="s">
        <v>5587</v>
      </c>
      <c r="C354" s="389" t="s">
        <v>5044</v>
      </c>
      <c r="D354" s="389">
        <v>2</v>
      </c>
      <c r="E354" s="389" t="s">
        <v>4927</v>
      </c>
      <c r="F354" s="390">
        <v>11770.68</v>
      </c>
      <c r="G354" s="390">
        <v>23541.360000000001</v>
      </c>
      <c r="H354" s="389">
        <v>0</v>
      </c>
      <c r="I354" s="389">
        <v>99.63</v>
      </c>
      <c r="J354" s="389">
        <v>0</v>
      </c>
      <c r="K354" s="389">
        <v>54.8</v>
      </c>
    </row>
    <row r="355" spans="1:11" ht="30" hidden="1" x14ac:dyDescent="0.25">
      <c r="A355" s="389" t="s">
        <v>5588</v>
      </c>
      <c r="B355" s="394" t="s">
        <v>5589</v>
      </c>
      <c r="C355" s="389" t="s">
        <v>4956</v>
      </c>
      <c r="D355" s="389">
        <v>40</v>
      </c>
      <c r="E355" s="389" t="s">
        <v>4927</v>
      </c>
      <c r="F355" s="390">
        <v>584.5</v>
      </c>
      <c r="G355" s="390">
        <v>23380</v>
      </c>
      <c r="H355" s="389">
        <v>0</v>
      </c>
      <c r="I355" s="389">
        <v>99.63</v>
      </c>
      <c r="J355" s="389">
        <v>0</v>
      </c>
      <c r="K355" s="389">
        <v>54.8</v>
      </c>
    </row>
    <row r="356" spans="1:11" hidden="1" x14ac:dyDescent="0.25">
      <c r="A356" s="389" t="s">
        <v>5590</v>
      </c>
      <c r="B356" s="394" t="s">
        <v>5591</v>
      </c>
      <c r="C356" s="389" t="s">
        <v>4956</v>
      </c>
      <c r="D356" s="391">
        <v>2712.24</v>
      </c>
      <c r="E356" s="389" t="s">
        <v>4927</v>
      </c>
      <c r="F356" s="390">
        <v>8.6</v>
      </c>
      <c r="G356" s="390">
        <v>23325.26</v>
      </c>
      <c r="H356" s="389">
        <v>0</v>
      </c>
      <c r="I356" s="389">
        <v>99.63</v>
      </c>
      <c r="J356" s="389">
        <v>0</v>
      </c>
      <c r="K356" s="389">
        <v>54.8</v>
      </c>
    </row>
    <row r="357" spans="1:11" hidden="1" x14ac:dyDescent="0.25">
      <c r="A357" s="389" t="s">
        <v>5592</v>
      </c>
      <c r="B357" s="394" t="s">
        <v>5593</v>
      </c>
      <c r="C357" s="389" t="s">
        <v>4979</v>
      </c>
      <c r="D357" s="389">
        <v>256</v>
      </c>
      <c r="E357" s="389" t="s">
        <v>4927</v>
      </c>
      <c r="F357" s="390">
        <v>90</v>
      </c>
      <c r="G357" s="390">
        <v>23040</v>
      </c>
      <c r="H357" s="389">
        <v>0</v>
      </c>
      <c r="I357" s="389">
        <v>99.63</v>
      </c>
      <c r="J357" s="389">
        <v>0</v>
      </c>
      <c r="K357" s="389">
        <v>54.8</v>
      </c>
    </row>
    <row r="358" spans="1:11" hidden="1" x14ac:dyDescent="0.25">
      <c r="A358" s="389" t="s">
        <v>5594</v>
      </c>
      <c r="B358" s="394" t="s">
        <v>5595</v>
      </c>
      <c r="C358" s="389" t="s">
        <v>4979</v>
      </c>
      <c r="D358" s="391">
        <v>1650</v>
      </c>
      <c r="E358" s="389" t="s">
        <v>4927</v>
      </c>
      <c r="F358" s="390">
        <v>13.9</v>
      </c>
      <c r="G358" s="390">
        <v>22935</v>
      </c>
      <c r="H358" s="389">
        <v>0</v>
      </c>
      <c r="I358" s="389">
        <v>99.63</v>
      </c>
      <c r="J358" s="389">
        <v>0</v>
      </c>
      <c r="K358" s="389">
        <v>54.8</v>
      </c>
    </row>
    <row r="359" spans="1:11" hidden="1" x14ac:dyDescent="0.25">
      <c r="A359" s="389" t="s">
        <v>5596</v>
      </c>
      <c r="B359" s="394" t="s">
        <v>5597</v>
      </c>
      <c r="C359" s="389" t="s">
        <v>4956</v>
      </c>
      <c r="D359" s="389">
        <v>14</v>
      </c>
      <c r="E359" s="389" t="s">
        <v>4927</v>
      </c>
      <c r="F359" s="390">
        <v>1615.38</v>
      </c>
      <c r="G359" s="390">
        <v>22615.32</v>
      </c>
      <c r="H359" s="389">
        <v>0</v>
      </c>
      <c r="I359" s="389">
        <v>99.63</v>
      </c>
      <c r="J359" s="389">
        <v>0</v>
      </c>
      <c r="K359" s="389">
        <v>54.8</v>
      </c>
    </row>
    <row r="360" spans="1:11" hidden="1" x14ac:dyDescent="0.25">
      <c r="A360" s="389" t="s">
        <v>5598</v>
      </c>
      <c r="B360" s="394" t="s">
        <v>5599</v>
      </c>
      <c r="C360" s="389" t="s">
        <v>5508</v>
      </c>
      <c r="D360" s="389">
        <v>452.04</v>
      </c>
      <c r="E360" s="389" t="s">
        <v>4927</v>
      </c>
      <c r="F360" s="390">
        <v>50</v>
      </c>
      <c r="G360" s="390">
        <v>22602</v>
      </c>
      <c r="H360" s="389">
        <v>0</v>
      </c>
      <c r="I360" s="389">
        <v>99.63</v>
      </c>
      <c r="J360" s="389">
        <v>0</v>
      </c>
      <c r="K360" s="389">
        <v>54.8</v>
      </c>
    </row>
    <row r="361" spans="1:11" hidden="1" x14ac:dyDescent="0.25">
      <c r="A361" s="389" t="s">
        <v>5600</v>
      </c>
      <c r="B361" s="394" t="s">
        <v>5601</v>
      </c>
      <c r="C361" s="389" t="s">
        <v>4972</v>
      </c>
      <c r="D361" s="391">
        <v>5400</v>
      </c>
      <c r="E361" s="389" t="s">
        <v>4927</v>
      </c>
      <c r="F361" s="390">
        <v>4.1500000000000004</v>
      </c>
      <c r="G361" s="390">
        <v>22410</v>
      </c>
      <c r="H361" s="389">
        <v>0</v>
      </c>
      <c r="I361" s="389">
        <v>99.63</v>
      </c>
      <c r="J361" s="389">
        <v>0</v>
      </c>
      <c r="K361" s="389">
        <v>54.8</v>
      </c>
    </row>
    <row r="362" spans="1:11" hidden="1" x14ac:dyDescent="0.25">
      <c r="A362" s="389" t="s">
        <v>5602</v>
      </c>
      <c r="B362" s="394" t="s">
        <v>5603</v>
      </c>
      <c r="C362" s="389" t="s">
        <v>4979</v>
      </c>
      <c r="D362" s="389">
        <v>668.23</v>
      </c>
      <c r="E362" s="389" t="s">
        <v>4927</v>
      </c>
      <c r="F362" s="390">
        <v>33.49</v>
      </c>
      <c r="G362" s="390">
        <v>22379.02</v>
      </c>
      <c r="H362" s="389">
        <v>0</v>
      </c>
      <c r="I362" s="389">
        <v>99.63</v>
      </c>
      <c r="J362" s="389">
        <v>0</v>
      </c>
      <c r="K362" s="389">
        <v>54.8</v>
      </c>
    </row>
    <row r="363" spans="1:11" hidden="1" x14ac:dyDescent="0.25">
      <c r="A363" s="389" t="s">
        <v>381</v>
      </c>
      <c r="B363" s="394" t="s">
        <v>5604</v>
      </c>
      <c r="C363" s="389" t="s">
        <v>4979</v>
      </c>
      <c r="D363" s="391">
        <v>2732.7</v>
      </c>
      <c r="E363" s="389" t="s">
        <v>4927</v>
      </c>
      <c r="F363" s="390">
        <v>7.94</v>
      </c>
      <c r="G363" s="390">
        <v>21697.64</v>
      </c>
      <c r="H363" s="389">
        <v>0</v>
      </c>
      <c r="I363" s="389">
        <v>99.63</v>
      </c>
      <c r="J363" s="389">
        <v>0</v>
      </c>
      <c r="K363" s="389">
        <v>54.8</v>
      </c>
    </row>
    <row r="364" spans="1:11" hidden="1" x14ac:dyDescent="0.25">
      <c r="A364" s="389" t="s">
        <v>5605</v>
      </c>
      <c r="B364" s="394" t="s">
        <v>5606</v>
      </c>
      <c r="C364" s="389" t="s">
        <v>5044</v>
      </c>
      <c r="D364" s="389">
        <v>786</v>
      </c>
      <c r="E364" s="389" t="s">
        <v>4927</v>
      </c>
      <c r="F364" s="390">
        <v>27.6</v>
      </c>
      <c r="G364" s="390">
        <v>21693.599999999999</v>
      </c>
      <c r="H364" s="389">
        <v>0</v>
      </c>
      <c r="I364" s="389">
        <v>99.63</v>
      </c>
      <c r="J364" s="389">
        <v>0</v>
      </c>
      <c r="K364" s="389">
        <v>54.8</v>
      </c>
    </row>
    <row r="365" spans="1:11" hidden="1" x14ac:dyDescent="0.25">
      <c r="A365" s="389" t="s">
        <v>5607</v>
      </c>
      <c r="B365" s="394" t="s">
        <v>5566</v>
      </c>
      <c r="C365" s="389" t="s">
        <v>4979</v>
      </c>
      <c r="D365" s="391">
        <v>2235</v>
      </c>
      <c r="E365" s="389" t="s">
        <v>4927</v>
      </c>
      <c r="F365" s="390">
        <v>9.57</v>
      </c>
      <c r="G365" s="390">
        <v>21388.95</v>
      </c>
      <c r="H365" s="389">
        <v>0</v>
      </c>
      <c r="I365" s="389">
        <v>99.63</v>
      </c>
      <c r="J365" s="389">
        <v>0</v>
      </c>
      <c r="K365" s="389">
        <v>54.8</v>
      </c>
    </row>
    <row r="366" spans="1:11" hidden="1" x14ac:dyDescent="0.25">
      <c r="A366" s="389" t="s">
        <v>5608</v>
      </c>
      <c r="B366" s="394" t="s">
        <v>5609</v>
      </c>
      <c r="C366" s="389" t="s">
        <v>4979</v>
      </c>
      <c r="D366" s="389">
        <v>640</v>
      </c>
      <c r="E366" s="389" t="s">
        <v>4927</v>
      </c>
      <c r="F366" s="390">
        <v>33.25</v>
      </c>
      <c r="G366" s="390">
        <v>21280</v>
      </c>
      <c r="H366" s="389">
        <v>0</v>
      </c>
      <c r="I366" s="389">
        <v>99.63</v>
      </c>
      <c r="J366" s="389">
        <v>0</v>
      </c>
      <c r="K366" s="389">
        <v>54.8</v>
      </c>
    </row>
    <row r="367" spans="1:11" ht="45" hidden="1" x14ac:dyDescent="0.25">
      <c r="A367" s="389" t="s">
        <v>5610</v>
      </c>
      <c r="B367" s="394" t="s">
        <v>5537</v>
      </c>
      <c r="C367" s="389" t="s">
        <v>4986</v>
      </c>
      <c r="D367" s="389">
        <v>30</v>
      </c>
      <c r="E367" s="389" t="s">
        <v>4927</v>
      </c>
      <c r="F367" s="390">
        <v>701.22</v>
      </c>
      <c r="G367" s="390">
        <v>21036.6</v>
      </c>
      <c r="H367" s="389">
        <v>0</v>
      </c>
      <c r="I367" s="389">
        <v>99.63</v>
      </c>
      <c r="J367" s="389">
        <v>0</v>
      </c>
      <c r="K367" s="389">
        <v>54.8</v>
      </c>
    </row>
    <row r="368" spans="1:11" ht="30" hidden="1" x14ac:dyDescent="0.25">
      <c r="A368" s="389" t="s">
        <v>5611</v>
      </c>
      <c r="B368" s="394" t="s">
        <v>5612</v>
      </c>
      <c r="C368" s="389" t="s">
        <v>4979</v>
      </c>
      <c r="D368" s="391">
        <v>2120</v>
      </c>
      <c r="E368" s="389" t="s">
        <v>4927</v>
      </c>
      <c r="F368" s="390">
        <v>9.89</v>
      </c>
      <c r="G368" s="390">
        <v>20966.8</v>
      </c>
      <c r="H368" s="389">
        <v>0</v>
      </c>
      <c r="I368" s="389">
        <v>99.63</v>
      </c>
      <c r="J368" s="389">
        <v>0</v>
      </c>
      <c r="K368" s="389">
        <v>54.8</v>
      </c>
    </row>
    <row r="369" spans="1:11" hidden="1" x14ac:dyDescent="0.25">
      <c r="A369" s="389" t="s">
        <v>5613</v>
      </c>
      <c r="B369" s="394" t="s">
        <v>5614</v>
      </c>
      <c r="C369" s="389" t="s">
        <v>4956</v>
      </c>
      <c r="D369" s="389">
        <v>4</v>
      </c>
      <c r="E369" s="389" t="s">
        <v>4927</v>
      </c>
      <c r="F369" s="390">
        <v>5230.76</v>
      </c>
      <c r="G369" s="390">
        <v>20923.04</v>
      </c>
      <c r="H369" s="389">
        <v>0</v>
      </c>
      <c r="I369" s="389">
        <v>99.63</v>
      </c>
      <c r="J369" s="389">
        <v>0</v>
      </c>
      <c r="K369" s="389">
        <v>54.8</v>
      </c>
    </row>
    <row r="370" spans="1:11" ht="30" hidden="1" x14ac:dyDescent="0.25">
      <c r="A370" s="389" t="s">
        <v>5615</v>
      </c>
      <c r="B370" s="394" t="s">
        <v>5616</v>
      </c>
      <c r="C370" s="389" t="s">
        <v>5044</v>
      </c>
      <c r="D370" s="389">
        <v>2</v>
      </c>
      <c r="E370" s="389" t="s">
        <v>4927</v>
      </c>
      <c r="F370" s="390">
        <v>10432.32</v>
      </c>
      <c r="G370" s="390">
        <v>20864.64</v>
      </c>
      <c r="H370" s="389">
        <v>0</v>
      </c>
      <c r="I370" s="389">
        <v>99.63</v>
      </c>
      <c r="J370" s="389">
        <v>0</v>
      </c>
      <c r="K370" s="389">
        <v>54.8</v>
      </c>
    </row>
    <row r="371" spans="1:11" ht="30" hidden="1" x14ac:dyDescent="0.25">
      <c r="A371" s="389" t="s">
        <v>5617</v>
      </c>
      <c r="B371" s="394" t="s">
        <v>5195</v>
      </c>
      <c r="C371" s="389" t="s">
        <v>5044</v>
      </c>
      <c r="D371" s="389">
        <v>33</v>
      </c>
      <c r="E371" s="389" t="s">
        <v>4927</v>
      </c>
      <c r="F371" s="390">
        <v>627.04</v>
      </c>
      <c r="G371" s="390">
        <v>20692.32</v>
      </c>
      <c r="H371" s="389">
        <v>0</v>
      </c>
      <c r="I371" s="389">
        <v>99.63</v>
      </c>
      <c r="J371" s="389">
        <v>0</v>
      </c>
      <c r="K371" s="389">
        <v>54.8</v>
      </c>
    </row>
    <row r="372" spans="1:11" hidden="1" x14ac:dyDescent="0.25">
      <c r="A372" s="389" t="s">
        <v>5618</v>
      </c>
      <c r="B372" s="394" t="s">
        <v>5601</v>
      </c>
      <c r="C372" s="389" t="s">
        <v>4972</v>
      </c>
      <c r="D372" s="391">
        <v>20592</v>
      </c>
      <c r="E372" s="389" t="s">
        <v>4927</v>
      </c>
      <c r="F372" s="390">
        <v>1</v>
      </c>
      <c r="G372" s="390">
        <v>20592</v>
      </c>
      <c r="H372" s="389">
        <v>0</v>
      </c>
      <c r="I372" s="389">
        <v>99.63</v>
      </c>
      <c r="J372" s="389">
        <v>0</v>
      </c>
      <c r="K372" s="389">
        <v>54.8</v>
      </c>
    </row>
    <row r="373" spans="1:11" hidden="1" x14ac:dyDescent="0.25">
      <c r="A373" s="389" t="s">
        <v>5619</v>
      </c>
      <c r="B373" s="394" t="s">
        <v>5620</v>
      </c>
      <c r="C373" s="389" t="s">
        <v>4979</v>
      </c>
      <c r="D373" s="389">
        <v>123</v>
      </c>
      <c r="E373" s="389" t="s">
        <v>4927</v>
      </c>
      <c r="F373" s="390">
        <v>165</v>
      </c>
      <c r="G373" s="390">
        <v>20295</v>
      </c>
      <c r="H373" s="389">
        <v>0</v>
      </c>
      <c r="I373" s="389">
        <v>99.63</v>
      </c>
      <c r="J373" s="389">
        <v>0</v>
      </c>
      <c r="K373" s="389">
        <v>54.8</v>
      </c>
    </row>
    <row r="374" spans="1:11" hidden="1" x14ac:dyDescent="0.25">
      <c r="A374" s="389" t="s">
        <v>5621</v>
      </c>
      <c r="B374" s="394" t="s">
        <v>5622</v>
      </c>
      <c r="C374" s="389" t="s">
        <v>4956</v>
      </c>
      <c r="D374" s="389">
        <v>1</v>
      </c>
      <c r="E374" s="389" t="s">
        <v>4927</v>
      </c>
      <c r="F374" s="390">
        <v>20231.330000000002</v>
      </c>
      <c r="G374" s="390">
        <v>20231.330000000002</v>
      </c>
      <c r="H374" s="389">
        <v>0</v>
      </c>
      <c r="I374" s="389">
        <v>99.63</v>
      </c>
      <c r="J374" s="389">
        <v>0</v>
      </c>
      <c r="K374" s="389">
        <v>54.8</v>
      </c>
    </row>
    <row r="375" spans="1:11" hidden="1" x14ac:dyDescent="0.25">
      <c r="A375" s="389" t="s">
        <v>5623</v>
      </c>
      <c r="B375" s="394" t="s">
        <v>5624</v>
      </c>
      <c r="C375" s="389" t="s">
        <v>4956</v>
      </c>
      <c r="D375" s="389">
        <v>105</v>
      </c>
      <c r="E375" s="389" t="s">
        <v>4927</v>
      </c>
      <c r="F375" s="390">
        <v>192.38</v>
      </c>
      <c r="G375" s="390">
        <v>20199.900000000001</v>
      </c>
      <c r="H375" s="389">
        <v>0</v>
      </c>
      <c r="I375" s="389">
        <v>99.63</v>
      </c>
      <c r="J375" s="389">
        <v>0</v>
      </c>
      <c r="K375" s="389">
        <v>54.8</v>
      </c>
    </row>
    <row r="376" spans="1:11" hidden="1" x14ac:dyDescent="0.25">
      <c r="A376" s="389" t="s">
        <v>5625</v>
      </c>
      <c r="B376" s="394" t="s">
        <v>5626</v>
      </c>
      <c r="C376" s="389" t="s">
        <v>4972</v>
      </c>
      <c r="D376" s="389">
        <v>160.12</v>
      </c>
      <c r="E376" s="389" t="s">
        <v>4927</v>
      </c>
      <c r="F376" s="390">
        <v>125.97</v>
      </c>
      <c r="G376" s="390">
        <v>20170.32</v>
      </c>
      <c r="H376" s="389">
        <v>0</v>
      </c>
      <c r="I376" s="389">
        <v>99.63</v>
      </c>
      <c r="J376" s="389">
        <v>0</v>
      </c>
      <c r="K376" s="389">
        <v>54.8</v>
      </c>
    </row>
    <row r="377" spans="1:11" hidden="1" x14ac:dyDescent="0.25">
      <c r="A377" s="389" t="s">
        <v>5627</v>
      </c>
      <c r="B377" s="394" t="s">
        <v>5628</v>
      </c>
      <c r="C377" s="389" t="s">
        <v>4926</v>
      </c>
      <c r="D377" s="389">
        <v>755</v>
      </c>
      <c r="E377" s="389" t="s">
        <v>4927</v>
      </c>
      <c r="F377" s="390">
        <v>26.65</v>
      </c>
      <c r="G377" s="390">
        <v>20120.75</v>
      </c>
      <c r="H377" s="389">
        <v>0</v>
      </c>
      <c r="I377" s="389">
        <v>99.63</v>
      </c>
      <c r="J377" s="389">
        <v>0</v>
      </c>
      <c r="K377" s="389">
        <v>54.8</v>
      </c>
    </row>
    <row r="378" spans="1:11" hidden="1" x14ac:dyDescent="0.25">
      <c r="A378" s="389" t="s">
        <v>5629</v>
      </c>
      <c r="B378" s="394" t="s">
        <v>5312</v>
      </c>
      <c r="C378" s="389" t="s">
        <v>4972</v>
      </c>
      <c r="D378" s="389">
        <v>609</v>
      </c>
      <c r="E378" s="389" t="s">
        <v>4927</v>
      </c>
      <c r="F378" s="390">
        <v>32.54</v>
      </c>
      <c r="G378" s="390">
        <v>19816.86</v>
      </c>
      <c r="H378" s="389">
        <v>0</v>
      </c>
      <c r="I378" s="389">
        <v>99.63</v>
      </c>
      <c r="J378" s="389">
        <v>0</v>
      </c>
      <c r="K378" s="389">
        <v>54.8</v>
      </c>
    </row>
    <row r="379" spans="1:11" hidden="1" x14ac:dyDescent="0.25">
      <c r="A379" s="389" t="s">
        <v>388</v>
      </c>
      <c r="B379" s="394" t="s">
        <v>5630</v>
      </c>
      <c r="C379" s="389" t="s">
        <v>4979</v>
      </c>
      <c r="D379" s="391">
        <v>2759.5981040000001</v>
      </c>
      <c r="E379" s="389" t="s">
        <v>4927</v>
      </c>
      <c r="F379" s="390">
        <v>6.86</v>
      </c>
      <c r="G379" s="390">
        <v>18930.84</v>
      </c>
      <c r="H379" s="389">
        <v>0</v>
      </c>
      <c r="I379" s="389">
        <v>99.63</v>
      </c>
      <c r="J379" s="389">
        <v>0</v>
      </c>
      <c r="K379" s="389">
        <v>54.8</v>
      </c>
    </row>
    <row r="380" spans="1:11" ht="30" hidden="1" x14ac:dyDescent="0.25">
      <c r="A380" s="389" t="s">
        <v>5631</v>
      </c>
      <c r="B380" s="394" t="s">
        <v>5632</v>
      </c>
      <c r="C380" s="389" t="s">
        <v>4986</v>
      </c>
      <c r="D380" s="389">
        <v>16</v>
      </c>
      <c r="E380" s="389" t="s">
        <v>4927</v>
      </c>
      <c r="F380" s="390">
        <v>1175.32</v>
      </c>
      <c r="G380" s="390">
        <v>18805.12</v>
      </c>
      <c r="H380" s="389">
        <v>0</v>
      </c>
      <c r="I380" s="389">
        <v>99.63</v>
      </c>
      <c r="J380" s="389">
        <v>0</v>
      </c>
      <c r="K380" s="389">
        <v>54.8</v>
      </c>
    </row>
    <row r="381" spans="1:11" hidden="1" x14ac:dyDescent="0.25">
      <c r="A381" s="389" t="s">
        <v>5633</v>
      </c>
      <c r="B381" s="394" t="s">
        <v>5628</v>
      </c>
      <c r="C381" s="389" t="s">
        <v>4926</v>
      </c>
      <c r="D381" s="389">
        <v>700</v>
      </c>
      <c r="E381" s="389" t="s">
        <v>4927</v>
      </c>
      <c r="F381" s="390">
        <v>26.65</v>
      </c>
      <c r="G381" s="390">
        <v>18655</v>
      </c>
      <c r="H381" s="389">
        <v>0</v>
      </c>
      <c r="I381" s="389">
        <v>99.63</v>
      </c>
      <c r="J381" s="389">
        <v>0</v>
      </c>
      <c r="K381" s="389">
        <v>54.8</v>
      </c>
    </row>
    <row r="382" spans="1:11" hidden="1" x14ac:dyDescent="0.25">
      <c r="A382" s="389" t="s">
        <v>5634</v>
      </c>
      <c r="B382" s="394" t="s">
        <v>5274</v>
      </c>
      <c r="C382" s="389" t="s">
        <v>5044</v>
      </c>
      <c r="D382" s="389">
        <v>5</v>
      </c>
      <c r="E382" s="389" t="s">
        <v>4927</v>
      </c>
      <c r="F382" s="390">
        <v>3725.41</v>
      </c>
      <c r="G382" s="390">
        <v>18627.05</v>
      </c>
      <c r="H382" s="389">
        <v>0</v>
      </c>
      <c r="I382" s="389">
        <v>99.63</v>
      </c>
      <c r="J382" s="389">
        <v>0</v>
      </c>
      <c r="K382" s="389">
        <v>54.8</v>
      </c>
    </row>
    <row r="383" spans="1:11" hidden="1" x14ac:dyDescent="0.25">
      <c r="A383" s="389" t="s">
        <v>5635</v>
      </c>
      <c r="B383" s="394" t="s">
        <v>5636</v>
      </c>
      <c r="C383" s="389" t="s">
        <v>5044</v>
      </c>
      <c r="D383" s="389">
        <v>8</v>
      </c>
      <c r="E383" s="389" t="s">
        <v>4927</v>
      </c>
      <c r="F383" s="390">
        <v>2317.4499999999998</v>
      </c>
      <c r="G383" s="390">
        <v>18539.599999999999</v>
      </c>
      <c r="H383" s="389">
        <v>0</v>
      </c>
      <c r="I383" s="389">
        <v>99.63</v>
      </c>
      <c r="J383" s="389">
        <v>0</v>
      </c>
      <c r="K383" s="389">
        <v>54.8</v>
      </c>
    </row>
    <row r="384" spans="1:11" ht="30" hidden="1" x14ac:dyDescent="0.25">
      <c r="A384" s="389" t="s">
        <v>5637</v>
      </c>
      <c r="B384" s="394" t="s">
        <v>5120</v>
      </c>
      <c r="C384" s="389" t="s">
        <v>4972</v>
      </c>
      <c r="D384" s="391">
        <v>1703</v>
      </c>
      <c r="E384" s="389" t="s">
        <v>4927</v>
      </c>
      <c r="F384" s="390">
        <v>10.84</v>
      </c>
      <c r="G384" s="390">
        <v>18460.52</v>
      </c>
      <c r="H384" s="389">
        <v>0</v>
      </c>
      <c r="I384" s="389">
        <v>99.63</v>
      </c>
      <c r="J384" s="389">
        <v>0</v>
      </c>
      <c r="K384" s="389">
        <v>54.8</v>
      </c>
    </row>
    <row r="385" spans="1:11" ht="30" hidden="1" x14ac:dyDescent="0.25">
      <c r="A385" s="389" t="s">
        <v>5638</v>
      </c>
      <c r="B385" s="394" t="s">
        <v>5639</v>
      </c>
      <c r="C385" s="389" t="s">
        <v>5164</v>
      </c>
      <c r="D385" s="389">
        <v>399</v>
      </c>
      <c r="E385" s="389" t="s">
        <v>4927</v>
      </c>
      <c r="F385" s="390">
        <v>45.95</v>
      </c>
      <c r="G385" s="390">
        <v>18334.05</v>
      </c>
      <c r="H385" s="389">
        <v>0</v>
      </c>
      <c r="I385" s="389">
        <v>99.63</v>
      </c>
      <c r="J385" s="389">
        <v>0</v>
      </c>
      <c r="K385" s="389">
        <v>54.8</v>
      </c>
    </row>
    <row r="386" spans="1:11" hidden="1" x14ac:dyDescent="0.25">
      <c r="A386" s="389" t="s">
        <v>5640</v>
      </c>
      <c r="B386" s="394" t="s">
        <v>5641</v>
      </c>
      <c r="C386" s="389" t="s">
        <v>4979</v>
      </c>
      <c r="D386" s="389">
        <v>46</v>
      </c>
      <c r="E386" s="389" t="s">
        <v>4927</v>
      </c>
      <c r="F386" s="390">
        <v>397.73</v>
      </c>
      <c r="G386" s="390">
        <v>18295.580000000002</v>
      </c>
      <c r="H386" s="389">
        <v>0</v>
      </c>
      <c r="I386" s="389">
        <v>99.63</v>
      </c>
      <c r="J386" s="389">
        <v>0</v>
      </c>
      <c r="K386" s="389">
        <v>54.8</v>
      </c>
    </row>
    <row r="387" spans="1:11" hidden="1" x14ac:dyDescent="0.25">
      <c r="A387" s="389" t="s">
        <v>5642</v>
      </c>
      <c r="B387" s="394" t="s">
        <v>5643</v>
      </c>
      <c r="C387" s="389" t="s">
        <v>4979</v>
      </c>
      <c r="D387" s="391">
        <v>2310</v>
      </c>
      <c r="E387" s="389" t="s">
        <v>4927</v>
      </c>
      <c r="F387" s="390">
        <v>7.9</v>
      </c>
      <c r="G387" s="390">
        <v>18249</v>
      </c>
      <c r="H387" s="389">
        <v>0</v>
      </c>
      <c r="I387" s="389">
        <v>99.63</v>
      </c>
      <c r="J387" s="389">
        <v>0</v>
      </c>
      <c r="K387" s="389">
        <v>54.8</v>
      </c>
    </row>
    <row r="388" spans="1:11" hidden="1" x14ac:dyDescent="0.25">
      <c r="A388" s="389" t="s">
        <v>5644</v>
      </c>
      <c r="B388" s="394" t="s">
        <v>5645</v>
      </c>
      <c r="C388" s="389" t="s">
        <v>4979</v>
      </c>
      <c r="D388" s="389">
        <v>68</v>
      </c>
      <c r="E388" s="389" t="s">
        <v>4927</v>
      </c>
      <c r="F388" s="390">
        <v>267</v>
      </c>
      <c r="G388" s="390">
        <v>18156</v>
      </c>
      <c r="H388" s="389">
        <v>0</v>
      </c>
      <c r="I388" s="389">
        <v>99.63</v>
      </c>
      <c r="J388" s="389">
        <v>0</v>
      </c>
      <c r="K388" s="389">
        <v>54.8</v>
      </c>
    </row>
    <row r="389" spans="1:11" ht="30" hidden="1" x14ac:dyDescent="0.25">
      <c r="A389" s="389" t="s">
        <v>5646</v>
      </c>
      <c r="B389" s="394" t="s">
        <v>5647</v>
      </c>
      <c r="C389" s="389" t="s">
        <v>5044</v>
      </c>
      <c r="D389" s="389">
        <v>6</v>
      </c>
      <c r="E389" s="389" t="s">
        <v>4927</v>
      </c>
      <c r="F389" s="390">
        <v>3023.7</v>
      </c>
      <c r="G389" s="390">
        <v>18142.2</v>
      </c>
      <c r="H389" s="389">
        <v>0</v>
      </c>
      <c r="I389" s="389">
        <v>99.63</v>
      </c>
      <c r="J389" s="389">
        <v>0</v>
      </c>
      <c r="K389" s="389">
        <v>54.8</v>
      </c>
    </row>
    <row r="390" spans="1:11" hidden="1" x14ac:dyDescent="0.25">
      <c r="A390" s="389" t="s">
        <v>5648</v>
      </c>
      <c r="B390" s="394" t="s">
        <v>5063</v>
      </c>
      <c r="C390" s="389" t="s">
        <v>4972</v>
      </c>
      <c r="D390" s="389">
        <v>130</v>
      </c>
      <c r="E390" s="389" t="s">
        <v>4927</v>
      </c>
      <c r="F390" s="390">
        <v>139.32</v>
      </c>
      <c r="G390" s="390">
        <v>18111.599999999999</v>
      </c>
      <c r="H390" s="389">
        <v>0</v>
      </c>
      <c r="I390" s="389">
        <v>99.63</v>
      </c>
      <c r="J390" s="389">
        <v>0</v>
      </c>
      <c r="K390" s="389">
        <v>54.8</v>
      </c>
    </row>
    <row r="391" spans="1:11" hidden="1" x14ac:dyDescent="0.25">
      <c r="A391" s="389" t="s">
        <v>5649</v>
      </c>
      <c r="B391" s="394" t="s">
        <v>5650</v>
      </c>
      <c r="C391" s="389" t="s">
        <v>4972</v>
      </c>
      <c r="D391" s="389">
        <v>74.59</v>
      </c>
      <c r="E391" s="389" t="s">
        <v>4927</v>
      </c>
      <c r="F391" s="390">
        <v>242.38</v>
      </c>
      <c r="G391" s="390">
        <v>18079.12</v>
      </c>
      <c r="H391" s="389">
        <v>0</v>
      </c>
      <c r="I391" s="389">
        <v>99.63</v>
      </c>
      <c r="J391" s="389">
        <v>0</v>
      </c>
      <c r="K391" s="389">
        <v>54.8</v>
      </c>
    </row>
    <row r="392" spans="1:11" hidden="1" x14ac:dyDescent="0.25">
      <c r="A392" s="389" t="s">
        <v>5651</v>
      </c>
      <c r="B392" s="394" t="s">
        <v>5338</v>
      </c>
      <c r="C392" s="389" t="s">
        <v>4972</v>
      </c>
      <c r="D392" s="391">
        <v>1479</v>
      </c>
      <c r="E392" s="389" t="s">
        <v>4927</v>
      </c>
      <c r="F392" s="390">
        <v>12.13</v>
      </c>
      <c r="G392" s="390">
        <v>17940.27</v>
      </c>
      <c r="H392" s="389">
        <v>0</v>
      </c>
      <c r="I392" s="389">
        <v>99.63</v>
      </c>
      <c r="J392" s="389">
        <v>0</v>
      </c>
      <c r="K392" s="389">
        <v>54.8</v>
      </c>
    </row>
    <row r="393" spans="1:11" hidden="1" x14ac:dyDescent="0.25">
      <c r="A393" s="389" t="s">
        <v>5652</v>
      </c>
      <c r="B393" s="394" t="s">
        <v>5653</v>
      </c>
      <c r="C393" s="389" t="s">
        <v>4956</v>
      </c>
      <c r="D393" s="389">
        <v>1</v>
      </c>
      <c r="E393" s="389" t="s">
        <v>4927</v>
      </c>
      <c r="F393" s="390">
        <v>17861.189999999999</v>
      </c>
      <c r="G393" s="390">
        <v>17861.189999999999</v>
      </c>
      <c r="H393" s="389">
        <v>0</v>
      </c>
      <c r="I393" s="389">
        <v>99.63</v>
      </c>
      <c r="J393" s="389">
        <v>0</v>
      </c>
      <c r="K393" s="389">
        <v>54.8</v>
      </c>
    </row>
    <row r="394" spans="1:11" hidden="1" x14ac:dyDescent="0.25">
      <c r="A394" s="389" t="s">
        <v>5654</v>
      </c>
      <c r="B394" s="394" t="s">
        <v>5655</v>
      </c>
      <c r="C394" s="389" t="s">
        <v>4956</v>
      </c>
      <c r="D394" s="389">
        <v>1</v>
      </c>
      <c r="E394" s="389" t="s">
        <v>4927</v>
      </c>
      <c r="F394" s="390">
        <v>17861.189999999999</v>
      </c>
      <c r="G394" s="390">
        <v>17861.189999999999</v>
      </c>
      <c r="H394" s="389">
        <v>0</v>
      </c>
      <c r="I394" s="389">
        <v>99.63</v>
      </c>
      <c r="J394" s="389">
        <v>0</v>
      </c>
      <c r="K394" s="389">
        <v>54.8</v>
      </c>
    </row>
    <row r="395" spans="1:11" ht="30" hidden="1" x14ac:dyDescent="0.25">
      <c r="A395" s="389" t="s">
        <v>5656</v>
      </c>
      <c r="B395" s="394" t="s">
        <v>5657</v>
      </c>
      <c r="C395" s="389" t="s">
        <v>4956</v>
      </c>
      <c r="D395" s="389">
        <v>40</v>
      </c>
      <c r="E395" s="389" t="s">
        <v>4927</v>
      </c>
      <c r="F395" s="390">
        <v>445.3</v>
      </c>
      <c r="G395" s="390">
        <v>17812</v>
      </c>
      <c r="H395" s="389">
        <v>0</v>
      </c>
      <c r="I395" s="389">
        <v>99.63</v>
      </c>
      <c r="J395" s="389">
        <v>0</v>
      </c>
      <c r="K395" s="389">
        <v>54.8</v>
      </c>
    </row>
    <row r="396" spans="1:11" hidden="1" x14ac:dyDescent="0.25">
      <c r="A396" s="389" t="s">
        <v>5658</v>
      </c>
      <c r="B396" s="394" t="s">
        <v>5659</v>
      </c>
      <c r="C396" s="389" t="s">
        <v>4972</v>
      </c>
      <c r="D396" s="389">
        <v>49.48</v>
      </c>
      <c r="E396" s="389" t="s">
        <v>4927</v>
      </c>
      <c r="F396" s="390">
        <v>357.84</v>
      </c>
      <c r="G396" s="390">
        <v>17705.919999999998</v>
      </c>
      <c r="H396" s="389">
        <v>0</v>
      </c>
      <c r="I396" s="389">
        <v>99.63</v>
      </c>
      <c r="J396" s="389">
        <v>0</v>
      </c>
      <c r="K396" s="389">
        <v>54.8</v>
      </c>
    </row>
    <row r="397" spans="1:11" hidden="1" x14ac:dyDescent="0.25">
      <c r="A397" s="389" t="s">
        <v>5660</v>
      </c>
      <c r="B397" s="394" t="s">
        <v>5661</v>
      </c>
      <c r="C397" s="389" t="s">
        <v>4972</v>
      </c>
      <c r="D397" s="389">
        <v>492</v>
      </c>
      <c r="E397" s="389" t="s">
        <v>4927</v>
      </c>
      <c r="F397" s="390">
        <v>35.72</v>
      </c>
      <c r="G397" s="390">
        <v>17574.240000000002</v>
      </c>
      <c r="H397" s="389">
        <v>0</v>
      </c>
      <c r="I397" s="389">
        <v>99.63</v>
      </c>
      <c r="J397" s="389">
        <v>0</v>
      </c>
      <c r="K397" s="389">
        <v>54.8</v>
      </c>
    </row>
    <row r="398" spans="1:11" hidden="1" x14ac:dyDescent="0.25">
      <c r="A398" s="389" t="s">
        <v>5662</v>
      </c>
      <c r="B398" s="394" t="s">
        <v>5663</v>
      </c>
      <c r="C398" s="389" t="s">
        <v>4956</v>
      </c>
      <c r="D398" s="389">
        <v>64</v>
      </c>
      <c r="E398" s="389" t="s">
        <v>4927</v>
      </c>
      <c r="F398" s="390">
        <v>270</v>
      </c>
      <c r="G398" s="390">
        <v>17280</v>
      </c>
      <c r="H398" s="389">
        <v>0</v>
      </c>
      <c r="I398" s="389">
        <v>99.63</v>
      </c>
      <c r="J398" s="389">
        <v>0</v>
      </c>
      <c r="K398" s="389">
        <v>54.8</v>
      </c>
    </row>
    <row r="399" spans="1:11" ht="30" hidden="1" x14ac:dyDescent="0.25">
      <c r="A399" s="389" t="s">
        <v>5664</v>
      </c>
      <c r="B399" s="394" t="s">
        <v>5665</v>
      </c>
      <c r="C399" s="389" t="s">
        <v>4972</v>
      </c>
      <c r="D399" s="391">
        <v>5327.88</v>
      </c>
      <c r="E399" s="389" t="s">
        <v>4927</v>
      </c>
      <c r="F399" s="390">
        <v>3.19</v>
      </c>
      <c r="G399" s="390">
        <v>16995.939999999999</v>
      </c>
      <c r="H399" s="389">
        <v>0</v>
      </c>
      <c r="I399" s="389">
        <v>99.63</v>
      </c>
      <c r="J399" s="389">
        <v>0</v>
      </c>
      <c r="K399" s="389">
        <v>54.8</v>
      </c>
    </row>
    <row r="400" spans="1:11" ht="30" hidden="1" x14ac:dyDescent="0.25">
      <c r="A400" s="389" t="s">
        <v>5666</v>
      </c>
      <c r="B400" s="394" t="s">
        <v>5667</v>
      </c>
      <c r="C400" s="389" t="s">
        <v>5044</v>
      </c>
      <c r="D400" s="389">
        <v>5</v>
      </c>
      <c r="E400" s="389" t="s">
        <v>4927</v>
      </c>
      <c r="F400" s="390">
        <v>3378.8</v>
      </c>
      <c r="G400" s="390">
        <v>16894</v>
      </c>
      <c r="H400" s="389">
        <v>0</v>
      </c>
      <c r="I400" s="389">
        <v>99.63</v>
      </c>
      <c r="J400" s="389">
        <v>0</v>
      </c>
      <c r="K400" s="389">
        <v>54.8</v>
      </c>
    </row>
    <row r="401" spans="1:11" hidden="1" x14ac:dyDescent="0.25">
      <c r="A401" s="389" t="s">
        <v>5668</v>
      </c>
      <c r="B401" s="394" t="s">
        <v>5669</v>
      </c>
      <c r="C401" s="389" t="s">
        <v>4979</v>
      </c>
      <c r="D401" s="389">
        <v>480</v>
      </c>
      <c r="E401" s="389" t="s">
        <v>4927</v>
      </c>
      <c r="F401" s="390">
        <v>35.06</v>
      </c>
      <c r="G401" s="390">
        <v>16828.8</v>
      </c>
      <c r="H401" s="389">
        <v>0</v>
      </c>
      <c r="I401" s="389">
        <v>99.63</v>
      </c>
      <c r="J401" s="389">
        <v>0</v>
      </c>
      <c r="K401" s="389">
        <v>54.8</v>
      </c>
    </row>
    <row r="402" spans="1:11" hidden="1" x14ac:dyDescent="0.25">
      <c r="A402" s="389" t="s">
        <v>5670</v>
      </c>
      <c r="B402" s="394" t="s">
        <v>5671</v>
      </c>
      <c r="C402" s="389" t="s">
        <v>4972</v>
      </c>
      <c r="D402" s="389">
        <v>599.79</v>
      </c>
      <c r="E402" s="389" t="s">
        <v>4927</v>
      </c>
      <c r="F402" s="390">
        <v>27.52</v>
      </c>
      <c r="G402" s="390">
        <v>16506.22</v>
      </c>
      <c r="H402" s="389">
        <v>0</v>
      </c>
      <c r="I402" s="389">
        <v>99.63</v>
      </c>
      <c r="J402" s="389">
        <v>0</v>
      </c>
      <c r="K402" s="389">
        <v>54.8</v>
      </c>
    </row>
    <row r="403" spans="1:11" hidden="1" x14ac:dyDescent="0.25">
      <c r="A403" s="389" t="s">
        <v>335</v>
      </c>
      <c r="B403" s="394" t="s">
        <v>5672</v>
      </c>
      <c r="C403" s="389" t="s">
        <v>4956</v>
      </c>
      <c r="D403" s="389">
        <v>77.93083</v>
      </c>
      <c r="E403" s="389" t="s">
        <v>4927</v>
      </c>
      <c r="F403" s="390">
        <v>210.3</v>
      </c>
      <c r="G403" s="390">
        <v>16388.93</v>
      </c>
      <c r="H403" s="389">
        <v>0</v>
      </c>
      <c r="I403" s="389">
        <v>99.63</v>
      </c>
      <c r="J403" s="389">
        <v>0</v>
      </c>
      <c r="K403" s="389">
        <v>54.8</v>
      </c>
    </row>
    <row r="404" spans="1:11" ht="30" hidden="1" x14ac:dyDescent="0.25">
      <c r="A404" s="389" t="s">
        <v>5673</v>
      </c>
      <c r="B404" s="394" t="s">
        <v>5674</v>
      </c>
      <c r="C404" s="389" t="s">
        <v>4986</v>
      </c>
      <c r="D404" s="389">
        <v>33</v>
      </c>
      <c r="E404" s="389" t="s">
        <v>4927</v>
      </c>
      <c r="F404" s="390">
        <v>491.25</v>
      </c>
      <c r="G404" s="390">
        <v>16211.25</v>
      </c>
      <c r="H404" s="389">
        <v>0</v>
      </c>
      <c r="I404" s="389">
        <v>99.63</v>
      </c>
      <c r="J404" s="389">
        <v>0</v>
      </c>
      <c r="K404" s="389">
        <v>54.8</v>
      </c>
    </row>
    <row r="405" spans="1:11" hidden="1" x14ac:dyDescent="0.25">
      <c r="A405" s="389" t="s">
        <v>5675</v>
      </c>
      <c r="B405" s="394" t="s">
        <v>5676</v>
      </c>
      <c r="C405" s="389" t="s">
        <v>4979</v>
      </c>
      <c r="D405" s="389">
        <v>178</v>
      </c>
      <c r="E405" s="389" t="s">
        <v>4927</v>
      </c>
      <c r="F405" s="390">
        <v>91</v>
      </c>
      <c r="G405" s="390">
        <v>16198</v>
      </c>
      <c r="H405" s="389">
        <v>0</v>
      </c>
      <c r="I405" s="389">
        <v>99.63</v>
      </c>
      <c r="J405" s="389">
        <v>0</v>
      </c>
      <c r="K405" s="389">
        <v>54.8</v>
      </c>
    </row>
    <row r="406" spans="1:11" ht="30" hidden="1" x14ac:dyDescent="0.25">
      <c r="A406" s="389" t="s">
        <v>5677</v>
      </c>
      <c r="B406" s="394" t="s">
        <v>5678</v>
      </c>
      <c r="C406" s="389" t="s">
        <v>4956</v>
      </c>
      <c r="D406" s="389">
        <v>25</v>
      </c>
      <c r="E406" s="389" t="s">
        <v>4927</v>
      </c>
      <c r="F406" s="390">
        <v>636.41</v>
      </c>
      <c r="G406" s="390">
        <v>15910.25</v>
      </c>
      <c r="H406" s="389">
        <v>0</v>
      </c>
      <c r="I406" s="389">
        <v>99.63</v>
      </c>
      <c r="J406" s="389">
        <v>0</v>
      </c>
      <c r="K406" s="389">
        <v>54.8</v>
      </c>
    </row>
    <row r="407" spans="1:11" hidden="1" x14ac:dyDescent="0.25">
      <c r="A407" s="389" t="s">
        <v>5679</v>
      </c>
      <c r="B407" s="394" t="s">
        <v>5680</v>
      </c>
      <c r="C407" s="389" t="s">
        <v>4934</v>
      </c>
      <c r="D407" s="389">
        <v>39.739199999999997</v>
      </c>
      <c r="E407" s="389" t="s">
        <v>4927</v>
      </c>
      <c r="F407" s="390">
        <v>400</v>
      </c>
      <c r="G407" s="390">
        <v>15895.68</v>
      </c>
      <c r="H407" s="389">
        <v>0</v>
      </c>
      <c r="I407" s="389">
        <v>99.63</v>
      </c>
      <c r="J407" s="389">
        <v>0</v>
      </c>
      <c r="K407" s="389">
        <v>54.8</v>
      </c>
    </row>
    <row r="408" spans="1:11" ht="45" hidden="1" x14ac:dyDescent="0.25">
      <c r="A408" s="389" t="s">
        <v>5681</v>
      </c>
      <c r="B408" s="394" t="s">
        <v>5682</v>
      </c>
      <c r="C408" s="389" t="s">
        <v>4956</v>
      </c>
      <c r="D408" s="389">
        <v>1</v>
      </c>
      <c r="E408" s="389" t="s">
        <v>4927</v>
      </c>
      <c r="F408" s="390">
        <v>15723.26</v>
      </c>
      <c r="G408" s="390">
        <v>15723.26</v>
      </c>
      <c r="H408" s="389">
        <v>0</v>
      </c>
      <c r="I408" s="389">
        <v>99.63</v>
      </c>
      <c r="J408" s="389">
        <v>0</v>
      </c>
      <c r="K408" s="389">
        <v>54.8</v>
      </c>
    </row>
    <row r="409" spans="1:11" ht="45" hidden="1" x14ac:dyDescent="0.25">
      <c r="A409" s="389" t="s">
        <v>5683</v>
      </c>
      <c r="B409" s="394" t="s">
        <v>5404</v>
      </c>
      <c r="C409" s="389" t="s">
        <v>4979</v>
      </c>
      <c r="D409" s="391">
        <v>1030</v>
      </c>
      <c r="E409" s="389" t="s">
        <v>4927</v>
      </c>
      <c r="F409" s="390">
        <v>15.11</v>
      </c>
      <c r="G409" s="390">
        <v>15563.3</v>
      </c>
      <c r="H409" s="389">
        <v>0</v>
      </c>
      <c r="I409" s="389">
        <v>99.63</v>
      </c>
      <c r="J409" s="389">
        <v>0</v>
      </c>
      <c r="K409" s="389">
        <v>54.8</v>
      </c>
    </row>
    <row r="410" spans="1:11" ht="30" hidden="1" x14ac:dyDescent="0.25">
      <c r="A410" s="389" t="s">
        <v>5684</v>
      </c>
      <c r="B410" s="394" t="s">
        <v>5685</v>
      </c>
      <c r="C410" s="389" t="s">
        <v>4979</v>
      </c>
      <c r="D410" s="389">
        <v>150.5</v>
      </c>
      <c r="E410" s="389" t="s">
        <v>4927</v>
      </c>
      <c r="F410" s="390">
        <v>102.24</v>
      </c>
      <c r="G410" s="390">
        <v>15387.12</v>
      </c>
      <c r="H410" s="389">
        <v>0</v>
      </c>
      <c r="I410" s="389">
        <v>99.63</v>
      </c>
      <c r="J410" s="389">
        <v>0</v>
      </c>
      <c r="K410" s="389">
        <v>54.8</v>
      </c>
    </row>
    <row r="411" spans="1:11" hidden="1" x14ac:dyDescent="0.25">
      <c r="A411" s="389" t="s">
        <v>5686</v>
      </c>
      <c r="B411" s="394" t="s">
        <v>5687</v>
      </c>
      <c r="C411" s="389" t="s">
        <v>5044</v>
      </c>
      <c r="D411" s="389">
        <v>7</v>
      </c>
      <c r="E411" s="389" t="s">
        <v>4927</v>
      </c>
      <c r="F411" s="390">
        <v>2191.0100000000002</v>
      </c>
      <c r="G411" s="390">
        <v>15337.07</v>
      </c>
      <c r="H411" s="389">
        <v>0</v>
      </c>
      <c r="I411" s="389">
        <v>99.63</v>
      </c>
      <c r="J411" s="389">
        <v>0</v>
      </c>
      <c r="K411" s="389">
        <v>54.8</v>
      </c>
    </row>
    <row r="412" spans="1:11" ht="30" hidden="1" x14ac:dyDescent="0.25">
      <c r="A412" s="389" t="s">
        <v>5688</v>
      </c>
      <c r="B412" s="394" t="s">
        <v>5689</v>
      </c>
      <c r="C412" s="389" t="s">
        <v>5044</v>
      </c>
      <c r="D412" s="389">
        <v>5</v>
      </c>
      <c r="E412" s="389" t="s">
        <v>4927</v>
      </c>
      <c r="F412" s="390">
        <v>3023.7</v>
      </c>
      <c r="G412" s="390">
        <v>15118.5</v>
      </c>
      <c r="H412" s="389">
        <v>0</v>
      </c>
      <c r="I412" s="389">
        <v>99.63</v>
      </c>
      <c r="J412" s="389">
        <v>0</v>
      </c>
      <c r="K412" s="389">
        <v>54.8</v>
      </c>
    </row>
    <row r="413" spans="1:11" ht="30" hidden="1" x14ac:dyDescent="0.25">
      <c r="A413" s="389" t="s">
        <v>5690</v>
      </c>
      <c r="B413" s="394" t="s">
        <v>5691</v>
      </c>
      <c r="C413" s="389" t="s">
        <v>4986</v>
      </c>
      <c r="D413" s="389">
        <v>30</v>
      </c>
      <c r="E413" s="389" t="s">
        <v>4927</v>
      </c>
      <c r="F413" s="390">
        <v>502.3</v>
      </c>
      <c r="G413" s="390">
        <v>15069</v>
      </c>
      <c r="H413" s="389">
        <v>0</v>
      </c>
      <c r="I413" s="389">
        <v>99.63</v>
      </c>
      <c r="J413" s="389">
        <v>0</v>
      </c>
      <c r="K413" s="389">
        <v>54.8</v>
      </c>
    </row>
    <row r="414" spans="1:11" hidden="1" x14ac:dyDescent="0.25">
      <c r="A414" s="389" t="s">
        <v>5692</v>
      </c>
      <c r="B414" s="394" t="s">
        <v>5693</v>
      </c>
      <c r="C414" s="389" t="s">
        <v>4972</v>
      </c>
      <c r="D414" s="389">
        <v>297</v>
      </c>
      <c r="E414" s="389" t="s">
        <v>4927</v>
      </c>
      <c r="F414" s="390">
        <v>50.38</v>
      </c>
      <c r="G414" s="390">
        <v>14962.86</v>
      </c>
      <c r="H414" s="389">
        <v>0</v>
      </c>
      <c r="I414" s="389">
        <v>99.63</v>
      </c>
      <c r="J414" s="389">
        <v>0</v>
      </c>
      <c r="K414" s="389">
        <v>54.8</v>
      </c>
    </row>
    <row r="415" spans="1:11" hidden="1" x14ac:dyDescent="0.25">
      <c r="A415" s="389" t="s">
        <v>5694</v>
      </c>
      <c r="B415" s="394" t="s">
        <v>5695</v>
      </c>
      <c r="C415" s="389" t="s">
        <v>4956</v>
      </c>
      <c r="D415" s="389">
        <v>278.93</v>
      </c>
      <c r="E415" s="389" t="s">
        <v>4927</v>
      </c>
      <c r="F415" s="390">
        <v>53.43</v>
      </c>
      <c r="G415" s="390">
        <v>14903.23</v>
      </c>
      <c r="H415" s="389">
        <v>0</v>
      </c>
      <c r="I415" s="389">
        <v>99.63</v>
      </c>
      <c r="J415" s="389">
        <v>0</v>
      </c>
      <c r="K415" s="389">
        <v>54.8</v>
      </c>
    </row>
    <row r="416" spans="1:11" hidden="1" x14ac:dyDescent="0.25">
      <c r="A416" s="389" t="s">
        <v>5696</v>
      </c>
      <c r="B416" s="394" t="s">
        <v>5697</v>
      </c>
      <c r="C416" s="389" t="s">
        <v>5044</v>
      </c>
      <c r="D416" s="389">
        <v>8</v>
      </c>
      <c r="E416" s="389" t="s">
        <v>4927</v>
      </c>
      <c r="F416" s="390">
        <v>1847.2</v>
      </c>
      <c r="G416" s="390">
        <v>14777.6</v>
      </c>
      <c r="H416" s="389">
        <v>0</v>
      </c>
      <c r="I416" s="389">
        <v>99.63</v>
      </c>
      <c r="J416" s="389">
        <v>0</v>
      </c>
      <c r="K416" s="389">
        <v>54.8</v>
      </c>
    </row>
    <row r="417" spans="1:11" ht="45" hidden="1" x14ac:dyDescent="0.25">
      <c r="A417" s="389" t="s">
        <v>5698</v>
      </c>
      <c r="B417" s="394" t="s">
        <v>5699</v>
      </c>
      <c r="C417" s="389" t="s">
        <v>5044</v>
      </c>
      <c r="D417" s="389">
        <v>3</v>
      </c>
      <c r="E417" s="389" t="s">
        <v>4927</v>
      </c>
      <c r="F417" s="390">
        <v>4860.74</v>
      </c>
      <c r="G417" s="390">
        <v>14582.22</v>
      </c>
      <c r="H417" s="389">
        <v>0</v>
      </c>
      <c r="I417" s="389">
        <v>99.63</v>
      </c>
      <c r="J417" s="389">
        <v>0</v>
      </c>
      <c r="K417" s="389">
        <v>54.8</v>
      </c>
    </row>
    <row r="418" spans="1:11" ht="45" hidden="1" x14ac:dyDescent="0.25">
      <c r="A418" s="389" t="s">
        <v>5700</v>
      </c>
      <c r="B418" s="394" t="s">
        <v>5701</v>
      </c>
      <c r="C418" s="389" t="s">
        <v>5044</v>
      </c>
      <c r="D418" s="389">
        <v>3</v>
      </c>
      <c r="E418" s="389" t="s">
        <v>4927</v>
      </c>
      <c r="F418" s="390">
        <v>4860.74</v>
      </c>
      <c r="G418" s="390">
        <v>14582.22</v>
      </c>
      <c r="H418" s="389">
        <v>0</v>
      </c>
      <c r="I418" s="389">
        <v>99.63</v>
      </c>
      <c r="J418" s="389">
        <v>0</v>
      </c>
      <c r="K418" s="389">
        <v>54.8</v>
      </c>
    </row>
    <row r="419" spans="1:11" hidden="1" x14ac:dyDescent="0.25">
      <c r="A419" s="389" t="s">
        <v>5702</v>
      </c>
      <c r="B419" s="394" t="s">
        <v>5703</v>
      </c>
      <c r="C419" s="389" t="s">
        <v>4979</v>
      </c>
      <c r="D419" s="391">
        <v>5160</v>
      </c>
      <c r="E419" s="389" t="s">
        <v>4927</v>
      </c>
      <c r="F419" s="390">
        <v>2.8</v>
      </c>
      <c r="G419" s="390">
        <v>14448</v>
      </c>
      <c r="H419" s="389">
        <v>0</v>
      </c>
      <c r="I419" s="389">
        <v>99.63</v>
      </c>
      <c r="J419" s="389">
        <v>0</v>
      </c>
      <c r="K419" s="389">
        <v>54.8</v>
      </c>
    </row>
    <row r="420" spans="1:11" ht="30" hidden="1" x14ac:dyDescent="0.25">
      <c r="A420" s="389" t="s">
        <v>5704</v>
      </c>
      <c r="B420" s="394" t="s">
        <v>5667</v>
      </c>
      <c r="C420" s="389" t="s">
        <v>5044</v>
      </c>
      <c r="D420" s="389">
        <v>4</v>
      </c>
      <c r="E420" s="389" t="s">
        <v>4927</v>
      </c>
      <c r="F420" s="390">
        <v>3608.42</v>
      </c>
      <c r="G420" s="390">
        <v>14433.68</v>
      </c>
      <c r="H420" s="389">
        <v>0</v>
      </c>
      <c r="I420" s="389">
        <v>99.63</v>
      </c>
      <c r="J420" s="389">
        <v>0</v>
      </c>
      <c r="K420" s="389">
        <v>54.8</v>
      </c>
    </row>
    <row r="421" spans="1:11" hidden="1" x14ac:dyDescent="0.25">
      <c r="A421" s="389" t="s">
        <v>506</v>
      </c>
      <c r="B421" s="394" t="s">
        <v>5705</v>
      </c>
      <c r="C421" s="389" t="s">
        <v>4979</v>
      </c>
      <c r="D421" s="391">
        <v>12352.616099999999</v>
      </c>
      <c r="E421" s="389" t="s">
        <v>4927</v>
      </c>
      <c r="F421" s="390">
        <v>1.1200000000000001</v>
      </c>
      <c r="G421" s="390">
        <v>13834.93</v>
      </c>
      <c r="H421" s="389">
        <v>0</v>
      </c>
      <c r="I421" s="389">
        <v>99.63</v>
      </c>
      <c r="J421" s="389">
        <v>0</v>
      </c>
      <c r="K421" s="389">
        <v>54.8</v>
      </c>
    </row>
    <row r="422" spans="1:11" ht="30" hidden="1" x14ac:dyDescent="0.25">
      <c r="A422" s="389" t="s">
        <v>5706</v>
      </c>
      <c r="B422" s="394" t="s">
        <v>5707</v>
      </c>
      <c r="C422" s="389" t="s">
        <v>4979</v>
      </c>
      <c r="D422" s="391">
        <v>7600</v>
      </c>
      <c r="E422" s="389" t="s">
        <v>4927</v>
      </c>
      <c r="F422" s="390">
        <v>1.8</v>
      </c>
      <c r="G422" s="390">
        <v>13680</v>
      </c>
      <c r="H422" s="389">
        <v>0</v>
      </c>
      <c r="I422" s="389">
        <v>99.63</v>
      </c>
      <c r="J422" s="389">
        <v>0</v>
      </c>
      <c r="K422" s="389">
        <v>54.8</v>
      </c>
    </row>
    <row r="423" spans="1:11" hidden="1" x14ac:dyDescent="0.25">
      <c r="A423" s="389" t="s">
        <v>5708</v>
      </c>
      <c r="B423" s="394" t="s">
        <v>5709</v>
      </c>
      <c r="C423" s="389" t="s">
        <v>4979</v>
      </c>
      <c r="D423" s="389">
        <v>273</v>
      </c>
      <c r="E423" s="389" t="s">
        <v>4927</v>
      </c>
      <c r="F423" s="390">
        <v>49.85</v>
      </c>
      <c r="G423" s="390">
        <v>13609.05</v>
      </c>
      <c r="H423" s="389">
        <v>0</v>
      </c>
      <c r="I423" s="389">
        <v>99.63</v>
      </c>
      <c r="J423" s="389">
        <v>0</v>
      </c>
      <c r="K423" s="389">
        <v>54.8</v>
      </c>
    </row>
    <row r="424" spans="1:11" ht="30" hidden="1" x14ac:dyDescent="0.25">
      <c r="A424" s="389" t="s">
        <v>5710</v>
      </c>
      <c r="B424" s="394" t="s">
        <v>5711</v>
      </c>
      <c r="C424" s="389" t="s">
        <v>4972</v>
      </c>
      <c r="D424" s="389">
        <v>424.6</v>
      </c>
      <c r="E424" s="389" t="s">
        <v>4927</v>
      </c>
      <c r="F424" s="390">
        <v>31.92</v>
      </c>
      <c r="G424" s="390">
        <v>13553.23</v>
      </c>
      <c r="H424" s="389">
        <v>0</v>
      </c>
      <c r="I424" s="389">
        <v>99.63</v>
      </c>
      <c r="J424" s="389">
        <v>0</v>
      </c>
      <c r="K424" s="389">
        <v>54.8</v>
      </c>
    </row>
    <row r="425" spans="1:11" hidden="1" x14ac:dyDescent="0.25">
      <c r="A425" s="389" t="s">
        <v>5712</v>
      </c>
      <c r="B425" s="394" t="s">
        <v>5713</v>
      </c>
      <c r="C425" s="389" t="s">
        <v>4956</v>
      </c>
      <c r="D425" s="389">
        <v>336</v>
      </c>
      <c r="E425" s="389" t="s">
        <v>4927</v>
      </c>
      <c r="F425" s="390">
        <v>39.380000000000003</v>
      </c>
      <c r="G425" s="390">
        <v>13231.68</v>
      </c>
      <c r="H425" s="389">
        <v>0</v>
      </c>
      <c r="I425" s="389">
        <v>99.63</v>
      </c>
      <c r="J425" s="389">
        <v>0</v>
      </c>
      <c r="K425" s="389">
        <v>54.8</v>
      </c>
    </row>
    <row r="426" spans="1:11" hidden="1" x14ac:dyDescent="0.25">
      <c r="A426" s="389" t="s">
        <v>5714</v>
      </c>
      <c r="B426" s="394" t="s">
        <v>5715</v>
      </c>
      <c r="C426" s="389" t="s">
        <v>4956</v>
      </c>
      <c r="D426" s="391">
        <v>1808.16</v>
      </c>
      <c r="E426" s="389" t="s">
        <v>4927</v>
      </c>
      <c r="F426" s="390">
        <v>7.3</v>
      </c>
      <c r="G426" s="390">
        <v>13199.57</v>
      </c>
      <c r="H426" s="389">
        <v>0</v>
      </c>
      <c r="I426" s="389">
        <v>99.63</v>
      </c>
      <c r="J426" s="389">
        <v>0</v>
      </c>
      <c r="K426" s="389">
        <v>54.8</v>
      </c>
    </row>
    <row r="427" spans="1:11" ht="30" hidden="1" x14ac:dyDescent="0.25">
      <c r="A427" s="389" t="s">
        <v>5716</v>
      </c>
      <c r="B427" s="394" t="s">
        <v>5717</v>
      </c>
      <c r="C427" s="389" t="s">
        <v>5044</v>
      </c>
      <c r="D427" s="389">
        <v>67</v>
      </c>
      <c r="E427" s="389" t="s">
        <v>4927</v>
      </c>
      <c r="F427" s="390">
        <v>193.51</v>
      </c>
      <c r="G427" s="390">
        <v>12965.17</v>
      </c>
      <c r="H427" s="389">
        <v>0</v>
      </c>
      <c r="I427" s="389">
        <v>99.63</v>
      </c>
      <c r="J427" s="389">
        <v>0</v>
      </c>
      <c r="K427" s="389">
        <v>54.8</v>
      </c>
    </row>
    <row r="428" spans="1:11" hidden="1" x14ac:dyDescent="0.25">
      <c r="A428" s="389" t="s">
        <v>5718</v>
      </c>
      <c r="B428" s="394" t="s">
        <v>5719</v>
      </c>
      <c r="C428" s="389" t="s">
        <v>4979</v>
      </c>
      <c r="D428" s="389">
        <v>178</v>
      </c>
      <c r="E428" s="389" t="s">
        <v>4927</v>
      </c>
      <c r="F428" s="390">
        <v>72</v>
      </c>
      <c r="G428" s="390">
        <v>12816</v>
      </c>
      <c r="H428" s="389">
        <v>0</v>
      </c>
      <c r="I428" s="389">
        <v>99.63</v>
      </c>
      <c r="J428" s="389">
        <v>0</v>
      </c>
      <c r="K428" s="389">
        <v>54.8</v>
      </c>
    </row>
    <row r="429" spans="1:11" hidden="1" x14ac:dyDescent="0.25">
      <c r="A429" s="389" t="s">
        <v>5720</v>
      </c>
      <c r="B429" s="394" t="s">
        <v>5721</v>
      </c>
      <c r="C429" s="389" t="s">
        <v>4972</v>
      </c>
      <c r="D429" s="391">
        <v>3323</v>
      </c>
      <c r="E429" s="389" t="s">
        <v>4927</v>
      </c>
      <c r="F429" s="390">
        <v>3.83</v>
      </c>
      <c r="G429" s="390">
        <v>12727.09</v>
      </c>
      <c r="H429" s="389">
        <v>0</v>
      </c>
      <c r="I429" s="389">
        <v>99.63</v>
      </c>
      <c r="J429" s="389">
        <v>0</v>
      </c>
      <c r="K429" s="389">
        <v>54.8</v>
      </c>
    </row>
    <row r="430" spans="1:11" ht="30" hidden="1" x14ac:dyDescent="0.25">
      <c r="A430" s="389" t="s">
        <v>5722</v>
      </c>
      <c r="B430" s="394" t="s">
        <v>5441</v>
      </c>
      <c r="C430" s="389" t="s">
        <v>5044</v>
      </c>
      <c r="D430" s="389">
        <v>8</v>
      </c>
      <c r="E430" s="389" t="s">
        <v>4927</v>
      </c>
      <c r="F430" s="390">
        <v>1559.23</v>
      </c>
      <c r="G430" s="390">
        <v>12473.84</v>
      </c>
      <c r="H430" s="389">
        <v>0</v>
      </c>
      <c r="I430" s="389">
        <v>99.63</v>
      </c>
      <c r="J430" s="389">
        <v>0</v>
      </c>
      <c r="K430" s="389">
        <v>54.8</v>
      </c>
    </row>
    <row r="431" spans="1:11" hidden="1" x14ac:dyDescent="0.25">
      <c r="A431" s="389" t="s">
        <v>5723</v>
      </c>
      <c r="B431" s="394" t="s">
        <v>5724</v>
      </c>
      <c r="C431" s="389" t="s">
        <v>4956</v>
      </c>
      <c r="D431" s="389">
        <v>88</v>
      </c>
      <c r="E431" s="389" t="s">
        <v>4927</v>
      </c>
      <c r="F431" s="390">
        <v>138.53</v>
      </c>
      <c r="G431" s="390">
        <v>12190.64</v>
      </c>
      <c r="H431" s="389">
        <v>0</v>
      </c>
      <c r="I431" s="389">
        <v>99.63</v>
      </c>
      <c r="J431" s="389">
        <v>0</v>
      </c>
      <c r="K431" s="389">
        <v>54.8</v>
      </c>
    </row>
    <row r="432" spans="1:11" hidden="1" x14ac:dyDescent="0.25">
      <c r="A432" s="389" t="s">
        <v>5725</v>
      </c>
      <c r="B432" s="394" t="s">
        <v>5726</v>
      </c>
      <c r="C432" s="389" t="s">
        <v>4979</v>
      </c>
      <c r="D432" s="391">
        <v>2860</v>
      </c>
      <c r="E432" s="389" t="s">
        <v>4927</v>
      </c>
      <c r="F432" s="390">
        <v>4.22</v>
      </c>
      <c r="G432" s="390">
        <v>12069.2</v>
      </c>
      <c r="H432" s="389">
        <v>0</v>
      </c>
      <c r="I432" s="389">
        <v>99.63</v>
      </c>
      <c r="J432" s="389">
        <v>0</v>
      </c>
      <c r="K432" s="389">
        <v>54.8</v>
      </c>
    </row>
    <row r="433" spans="1:11" hidden="1" x14ac:dyDescent="0.25">
      <c r="A433" s="389" t="s">
        <v>5727</v>
      </c>
      <c r="B433" s="394" t="s">
        <v>5728</v>
      </c>
      <c r="C433" s="389" t="s">
        <v>4979</v>
      </c>
      <c r="D433" s="389">
        <v>4</v>
      </c>
      <c r="E433" s="389" t="s">
        <v>4927</v>
      </c>
      <c r="F433" s="390">
        <v>3005</v>
      </c>
      <c r="G433" s="390">
        <v>12020</v>
      </c>
      <c r="H433" s="389">
        <v>0</v>
      </c>
      <c r="I433" s="389">
        <v>99.63</v>
      </c>
      <c r="J433" s="389">
        <v>0</v>
      </c>
      <c r="K433" s="389">
        <v>54.8</v>
      </c>
    </row>
    <row r="434" spans="1:11" hidden="1" x14ac:dyDescent="0.25">
      <c r="A434" s="389" t="s">
        <v>5729</v>
      </c>
      <c r="B434" s="394" t="s">
        <v>5730</v>
      </c>
      <c r="C434" s="389" t="s">
        <v>4979</v>
      </c>
      <c r="D434" s="389">
        <v>291</v>
      </c>
      <c r="E434" s="389" t="s">
        <v>4927</v>
      </c>
      <c r="F434" s="390">
        <v>40.630000000000003</v>
      </c>
      <c r="G434" s="390">
        <v>11823.33</v>
      </c>
      <c r="H434" s="389">
        <v>0</v>
      </c>
      <c r="I434" s="389">
        <v>99.63</v>
      </c>
      <c r="J434" s="389">
        <v>0</v>
      </c>
      <c r="K434" s="389">
        <v>54.8</v>
      </c>
    </row>
    <row r="435" spans="1:11" ht="30" hidden="1" x14ac:dyDescent="0.25">
      <c r="A435" s="389" t="s">
        <v>5731</v>
      </c>
      <c r="B435" s="394" t="s">
        <v>5732</v>
      </c>
      <c r="C435" s="389" t="s">
        <v>4972</v>
      </c>
      <c r="D435" s="391">
        <v>1920</v>
      </c>
      <c r="E435" s="389" t="s">
        <v>4927</v>
      </c>
      <c r="F435" s="390">
        <v>6.08</v>
      </c>
      <c r="G435" s="390">
        <v>11673.6</v>
      </c>
      <c r="H435" s="389">
        <v>0</v>
      </c>
      <c r="I435" s="389">
        <v>99.63</v>
      </c>
      <c r="J435" s="389">
        <v>0</v>
      </c>
      <c r="K435" s="389">
        <v>54.8</v>
      </c>
    </row>
    <row r="436" spans="1:11" ht="45" hidden="1" x14ac:dyDescent="0.25">
      <c r="A436" s="389" t="s">
        <v>5733</v>
      </c>
      <c r="B436" s="394" t="s">
        <v>5734</v>
      </c>
      <c r="C436" s="389" t="s">
        <v>4979</v>
      </c>
      <c r="D436" s="389">
        <v>445</v>
      </c>
      <c r="E436" s="389" t="s">
        <v>4927</v>
      </c>
      <c r="F436" s="390">
        <v>26.12</v>
      </c>
      <c r="G436" s="390">
        <v>11623.4</v>
      </c>
      <c r="H436" s="389">
        <v>0</v>
      </c>
      <c r="I436" s="389">
        <v>99.63</v>
      </c>
      <c r="J436" s="389">
        <v>0</v>
      </c>
      <c r="K436" s="389">
        <v>54.8</v>
      </c>
    </row>
    <row r="437" spans="1:11" ht="30" hidden="1" x14ac:dyDescent="0.25">
      <c r="A437" s="389" t="s">
        <v>5735</v>
      </c>
      <c r="B437" s="394" t="s">
        <v>5736</v>
      </c>
      <c r="C437" s="389" t="s">
        <v>5044</v>
      </c>
      <c r="D437" s="389">
        <v>2</v>
      </c>
      <c r="E437" s="389" t="s">
        <v>4927</v>
      </c>
      <c r="F437" s="390">
        <v>5782.41</v>
      </c>
      <c r="G437" s="390">
        <v>11564.82</v>
      </c>
      <c r="H437" s="389">
        <v>0</v>
      </c>
      <c r="I437" s="389">
        <v>99.63</v>
      </c>
      <c r="J437" s="389">
        <v>0</v>
      </c>
      <c r="K437" s="389">
        <v>54.8</v>
      </c>
    </row>
    <row r="438" spans="1:11" hidden="1" x14ac:dyDescent="0.25">
      <c r="A438" s="389" t="s">
        <v>5737</v>
      </c>
      <c r="B438" s="394" t="s">
        <v>5738</v>
      </c>
      <c r="C438" s="389" t="s">
        <v>4956</v>
      </c>
      <c r="D438" s="389">
        <v>30</v>
      </c>
      <c r="E438" s="389" t="s">
        <v>4927</v>
      </c>
      <c r="F438" s="390">
        <v>382.9</v>
      </c>
      <c r="G438" s="390">
        <v>11487</v>
      </c>
      <c r="H438" s="389">
        <v>0</v>
      </c>
      <c r="I438" s="389">
        <v>99.63</v>
      </c>
      <c r="J438" s="389">
        <v>0</v>
      </c>
      <c r="K438" s="389">
        <v>54.8</v>
      </c>
    </row>
    <row r="439" spans="1:11" hidden="1" x14ac:dyDescent="0.25">
      <c r="A439" s="389" t="s">
        <v>5739</v>
      </c>
      <c r="B439" s="394" t="s">
        <v>5740</v>
      </c>
      <c r="C439" s="389" t="s">
        <v>4956</v>
      </c>
      <c r="D439" s="389">
        <v>8</v>
      </c>
      <c r="E439" s="389" t="s">
        <v>4927</v>
      </c>
      <c r="F439" s="390">
        <v>1422.34</v>
      </c>
      <c r="G439" s="390">
        <v>11378.72</v>
      </c>
      <c r="H439" s="389">
        <v>0</v>
      </c>
      <c r="I439" s="389">
        <v>99.63</v>
      </c>
      <c r="J439" s="389">
        <v>0</v>
      </c>
      <c r="K439" s="389">
        <v>54.8</v>
      </c>
    </row>
    <row r="440" spans="1:11" hidden="1" x14ac:dyDescent="0.25">
      <c r="A440" s="389" t="s">
        <v>363</v>
      </c>
      <c r="B440" s="394" t="s">
        <v>5741</v>
      </c>
      <c r="C440" s="389" t="s">
        <v>4956</v>
      </c>
      <c r="D440" s="389">
        <v>12.86237</v>
      </c>
      <c r="E440" s="389" t="s">
        <v>4927</v>
      </c>
      <c r="F440" s="390">
        <v>871.71</v>
      </c>
      <c r="G440" s="390">
        <v>11212.2</v>
      </c>
      <c r="H440" s="389">
        <v>0</v>
      </c>
      <c r="I440" s="389">
        <v>99.63</v>
      </c>
      <c r="J440" s="389">
        <v>0</v>
      </c>
      <c r="K440" s="389">
        <v>54.8</v>
      </c>
    </row>
    <row r="441" spans="1:11" ht="30" hidden="1" x14ac:dyDescent="0.25">
      <c r="A441" s="389" t="s">
        <v>5742</v>
      </c>
      <c r="B441" s="394" t="s">
        <v>5743</v>
      </c>
      <c r="C441" s="389" t="s">
        <v>4979</v>
      </c>
      <c r="D441" s="389">
        <v>42</v>
      </c>
      <c r="E441" s="389" t="s">
        <v>4927</v>
      </c>
      <c r="F441" s="390">
        <v>266.77999999999997</v>
      </c>
      <c r="G441" s="390">
        <v>11204.76</v>
      </c>
      <c r="H441" s="389">
        <v>0</v>
      </c>
      <c r="I441" s="389">
        <v>99.63</v>
      </c>
      <c r="J441" s="389">
        <v>0</v>
      </c>
      <c r="K441" s="389">
        <v>54.8</v>
      </c>
    </row>
    <row r="442" spans="1:11" ht="45" hidden="1" x14ac:dyDescent="0.25">
      <c r="A442" s="389" t="s">
        <v>5744</v>
      </c>
      <c r="B442" s="394" t="s">
        <v>5734</v>
      </c>
      <c r="C442" s="389" t="s">
        <v>4979</v>
      </c>
      <c r="D442" s="389">
        <v>530</v>
      </c>
      <c r="E442" s="389" t="s">
        <v>4927</v>
      </c>
      <c r="F442" s="390">
        <v>21.1</v>
      </c>
      <c r="G442" s="390">
        <v>11183</v>
      </c>
      <c r="H442" s="389">
        <v>0</v>
      </c>
      <c r="I442" s="389">
        <v>99.63</v>
      </c>
      <c r="J442" s="389">
        <v>0</v>
      </c>
      <c r="K442" s="389">
        <v>54.8</v>
      </c>
    </row>
    <row r="443" spans="1:11" ht="30" hidden="1" x14ac:dyDescent="0.25">
      <c r="A443" s="389" t="s">
        <v>5745</v>
      </c>
      <c r="B443" s="394" t="s">
        <v>5746</v>
      </c>
      <c r="C443" s="389" t="s">
        <v>4972</v>
      </c>
      <c r="D443" s="389">
        <v>43.65</v>
      </c>
      <c r="E443" s="389" t="s">
        <v>4927</v>
      </c>
      <c r="F443" s="390">
        <v>255.6</v>
      </c>
      <c r="G443" s="390">
        <v>11156.94</v>
      </c>
      <c r="H443" s="389">
        <v>0</v>
      </c>
      <c r="I443" s="389">
        <v>99.63</v>
      </c>
      <c r="J443" s="389">
        <v>0</v>
      </c>
      <c r="K443" s="389">
        <v>54.8</v>
      </c>
    </row>
    <row r="444" spans="1:11" hidden="1" x14ac:dyDescent="0.25">
      <c r="A444" s="389" t="s">
        <v>5747</v>
      </c>
      <c r="B444" s="394" t="s">
        <v>5329</v>
      </c>
      <c r="C444" s="389" t="s">
        <v>4979</v>
      </c>
      <c r="D444" s="389">
        <v>30</v>
      </c>
      <c r="E444" s="389" t="s">
        <v>4927</v>
      </c>
      <c r="F444" s="390">
        <v>365.98</v>
      </c>
      <c r="G444" s="390">
        <v>10979.4</v>
      </c>
      <c r="H444" s="389">
        <v>0</v>
      </c>
      <c r="I444" s="389">
        <v>99.63</v>
      </c>
      <c r="J444" s="389">
        <v>0</v>
      </c>
      <c r="K444" s="389">
        <v>54.8</v>
      </c>
    </row>
    <row r="445" spans="1:11" hidden="1" x14ac:dyDescent="0.25">
      <c r="A445" s="389" t="s">
        <v>382</v>
      </c>
      <c r="B445" s="394" t="s">
        <v>5748</v>
      </c>
      <c r="C445" s="389" t="s">
        <v>4979</v>
      </c>
      <c r="D445" s="391">
        <v>1875.5516</v>
      </c>
      <c r="E445" s="389" t="s">
        <v>4927</v>
      </c>
      <c r="F445" s="390">
        <v>5.85</v>
      </c>
      <c r="G445" s="390">
        <v>10971.98</v>
      </c>
      <c r="H445" s="389">
        <v>0</v>
      </c>
      <c r="I445" s="389">
        <v>99.63</v>
      </c>
      <c r="J445" s="389">
        <v>0</v>
      </c>
      <c r="K445" s="389">
        <v>54.8</v>
      </c>
    </row>
    <row r="446" spans="1:11" hidden="1" x14ac:dyDescent="0.25">
      <c r="A446" s="389" t="s">
        <v>507</v>
      </c>
      <c r="B446" s="394" t="s">
        <v>5749</v>
      </c>
      <c r="C446" s="389" t="s">
        <v>4949</v>
      </c>
      <c r="D446" s="391">
        <v>5188.0987619999996</v>
      </c>
      <c r="E446" s="389" t="s">
        <v>4927</v>
      </c>
      <c r="F446" s="390">
        <v>2.09</v>
      </c>
      <c r="G446" s="390">
        <v>10843.13</v>
      </c>
      <c r="H446" s="389">
        <v>0</v>
      </c>
      <c r="I446" s="389">
        <v>99.63</v>
      </c>
      <c r="J446" s="389">
        <v>0</v>
      </c>
      <c r="K446" s="389">
        <v>54.8</v>
      </c>
    </row>
    <row r="447" spans="1:11" hidden="1" x14ac:dyDescent="0.25">
      <c r="A447" s="389" t="s">
        <v>5750</v>
      </c>
      <c r="B447" s="394" t="s">
        <v>5751</v>
      </c>
      <c r="C447" s="389" t="s">
        <v>4956</v>
      </c>
      <c r="D447" s="389">
        <v>2</v>
      </c>
      <c r="E447" s="389" t="s">
        <v>4927</v>
      </c>
      <c r="F447" s="390">
        <v>5209.12</v>
      </c>
      <c r="G447" s="390">
        <v>10418.24</v>
      </c>
      <c r="H447" s="389">
        <v>0</v>
      </c>
      <c r="I447" s="389">
        <v>99.63</v>
      </c>
      <c r="J447" s="389">
        <v>0</v>
      </c>
      <c r="K447" s="389">
        <v>54.8</v>
      </c>
    </row>
    <row r="448" spans="1:11" ht="30" hidden="1" x14ac:dyDescent="0.25">
      <c r="A448" s="389" t="s">
        <v>5752</v>
      </c>
      <c r="B448" s="394" t="s">
        <v>5678</v>
      </c>
      <c r="C448" s="389" t="s">
        <v>4956</v>
      </c>
      <c r="D448" s="389">
        <v>15</v>
      </c>
      <c r="E448" s="389" t="s">
        <v>4927</v>
      </c>
      <c r="F448" s="390">
        <v>679.66</v>
      </c>
      <c r="G448" s="390">
        <v>10194.9</v>
      </c>
      <c r="H448" s="389">
        <v>0</v>
      </c>
      <c r="I448" s="389">
        <v>99.63</v>
      </c>
      <c r="J448" s="389">
        <v>0</v>
      </c>
      <c r="K448" s="389">
        <v>54.8</v>
      </c>
    </row>
    <row r="449" spans="1:11" hidden="1" x14ac:dyDescent="0.25">
      <c r="A449" s="389" t="s">
        <v>5753</v>
      </c>
      <c r="B449" s="394" t="s">
        <v>5754</v>
      </c>
      <c r="C449" s="389" t="s">
        <v>4956</v>
      </c>
      <c r="D449" s="391">
        <v>1582.14</v>
      </c>
      <c r="E449" s="389" t="s">
        <v>4927</v>
      </c>
      <c r="F449" s="390">
        <v>6.4</v>
      </c>
      <c r="G449" s="390">
        <v>10125.700000000001</v>
      </c>
      <c r="H449" s="389">
        <v>0</v>
      </c>
      <c r="I449" s="389">
        <v>99.63</v>
      </c>
      <c r="J449" s="389">
        <v>0</v>
      </c>
      <c r="K449" s="389">
        <v>54.8</v>
      </c>
    </row>
    <row r="450" spans="1:11" ht="30" hidden="1" x14ac:dyDescent="0.25">
      <c r="A450" s="389" t="s">
        <v>5755</v>
      </c>
      <c r="B450" s="394" t="s">
        <v>5756</v>
      </c>
      <c r="C450" s="389" t="s">
        <v>4979</v>
      </c>
      <c r="D450" s="389">
        <v>600</v>
      </c>
      <c r="E450" s="389" t="s">
        <v>4927</v>
      </c>
      <c r="F450" s="390">
        <v>16.71</v>
      </c>
      <c r="G450" s="390">
        <v>10026</v>
      </c>
      <c r="H450" s="389">
        <v>0</v>
      </c>
      <c r="I450" s="389">
        <v>99.63</v>
      </c>
      <c r="J450" s="389">
        <v>0</v>
      </c>
      <c r="K450" s="389">
        <v>54.8</v>
      </c>
    </row>
    <row r="451" spans="1:11" hidden="1" x14ac:dyDescent="0.25">
      <c r="A451" s="389" t="s">
        <v>5757</v>
      </c>
      <c r="B451" s="394" t="s">
        <v>5758</v>
      </c>
      <c r="C451" s="389" t="s">
        <v>4972</v>
      </c>
      <c r="D451" s="391">
        <v>1300.06</v>
      </c>
      <c r="E451" s="389" t="s">
        <v>4927</v>
      </c>
      <c r="F451" s="390">
        <v>7.64</v>
      </c>
      <c r="G451" s="390">
        <v>9932.4599999999991</v>
      </c>
      <c r="H451" s="389">
        <v>0</v>
      </c>
      <c r="I451" s="389">
        <v>99.63</v>
      </c>
      <c r="J451" s="389">
        <v>0</v>
      </c>
      <c r="K451" s="389">
        <v>54.8</v>
      </c>
    </row>
    <row r="452" spans="1:11" hidden="1" x14ac:dyDescent="0.25">
      <c r="A452" s="389" t="s">
        <v>5759</v>
      </c>
      <c r="B452" s="394" t="s">
        <v>5760</v>
      </c>
      <c r="C452" s="389" t="s">
        <v>5332</v>
      </c>
      <c r="D452" s="389">
        <v>1</v>
      </c>
      <c r="E452" s="389" t="s">
        <v>4927</v>
      </c>
      <c r="F452" s="390">
        <v>9895.76</v>
      </c>
      <c r="G452" s="390">
        <v>9895.76</v>
      </c>
      <c r="H452" s="389">
        <v>0</v>
      </c>
      <c r="I452" s="389">
        <v>99.63</v>
      </c>
      <c r="J452" s="389">
        <v>0</v>
      </c>
      <c r="K452" s="389">
        <v>54.8</v>
      </c>
    </row>
    <row r="453" spans="1:11" hidden="1" x14ac:dyDescent="0.25">
      <c r="A453" s="389" t="s">
        <v>5761</v>
      </c>
      <c r="B453" s="394" t="s">
        <v>5762</v>
      </c>
      <c r="C453" s="389" t="s">
        <v>4979</v>
      </c>
      <c r="D453" s="391">
        <v>3740</v>
      </c>
      <c r="E453" s="389" t="s">
        <v>4927</v>
      </c>
      <c r="F453" s="390">
        <v>2.63</v>
      </c>
      <c r="G453" s="390">
        <v>9836.2000000000007</v>
      </c>
      <c r="H453" s="389">
        <v>0</v>
      </c>
      <c r="I453" s="389">
        <v>99.63</v>
      </c>
      <c r="J453" s="389">
        <v>0</v>
      </c>
      <c r="K453" s="389">
        <v>54.8</v>
      </c>
    </row>
    <row r="454" spans="1:11" hidden="1" x14ac:dyDescent="0.25">
      <c r="A454" s="389" t="s">
        <v>5763</v>
      </c>
      <c r="B454" s="394" t="s">
        <v>5764</v>
      </c>
      <c r="C454" s="389" t="s">
        <v>4979</v>
      </c>
      <c r="D454" s="389">
        <v>97.5</v>
      </c>
      <c r="E454" s="389" t="s">
        <v>4927</v>
      </c>
      <c r="F454" s="390">
        <v>98.76</v>
      </c>
      <c r="G454" s="390">
        <v>9629.1</v>
      </c>
      <c r="H454" s="389">
        <v>0</v>
      </c>
      <c r="I454" s="389">
        <v>99.63</v>
      </c>
      <c r="J454" s="389">
        <v>0</v>
      </c>
      <c r="K454" s="389">
        <v>54.8</v>
      </c>
    </row>
    <row r="455" spans="1:11" hidden="1" x14ac:dyDescent="0.25">
      <c r="A455" s="389" t="s">
        <v>5765</v>
      </c>
      <c r="B455" s="394" t="s">
        <v>5766</v>
      </c>
      <c r="C455" s="389" t="s">
        <v>4956</v>
      </c>
      <c r="D455" s="389">
        <v>2</v>
      </c>
      <c r="E455" s="389" t="s">
        <v>4927</v>
      </c>
      <c r="F455" s="390">
        <v>4780.99</v>
      </c>
      <c r="G455" s="390">
        <v>9561.98</v>
      </c>
      <c r="H455" s="389">
        <v>0</v>
      </c>
      <c r="I455" s="389">
        <v>99.63</v>
      </c>
      <c r="J455" s="389">
        <v>0</v>
      </c>
      <c r="K455" s="389">
        <v>54.8</v>
      </c>
    </row>
    <row r="456" spans="1:11" ht="30" hidden="1" x14ac:dyDescent="0.25">
      <c r="A456" s="389" t="s">
        <v>5767</v>
      </c>
      <c r="B456" s="394" t="s">
        <v>5589</v>
      </c>
      <c r="C456" s="389" t="s">
        <v>4956</v>
      </c>
      <c r="D456" s="389">
        <v>8</v>
      </c>
      <c r="E456" s="389" t="s">
        <v>4927</v>
      </c>
      <c r="F456" s="390">
        <v>1167.28</v>
      </c>
      <c r="G456" s="390">
        <v>9338.24</v>
      </c>
      <c r="H456" s="389">
        <v>0</v>
      </c>
      <c r="I456" s="389">
        <v>99.63</v>
      </c>
      <c r="J456" s="389">
        <v>0</v>
      </c>
      <c r="K456" s="389">
        <v>54.8</v>
      </c>
    </row>
    <row r="457" spans="1:11" hidden="1" x14ac:dyDescent="0.25">
      <c r="A457" s="389" t="s">
        <v>5768</v>
      </c>
      <c r="B457" s="394" t="s">
        <v>5769</v>
      </c>
      <c r="C457" s="389" t="s">
        <v>4956</v>
      </c>
      <c r="D457" s="389">
        <v>88</v>
      </c>
      <c r="E457" s="389" t="s">
        <v>4927</v>
      </c>
      <c r="F457" s="390">
        <v>104.22</v>
      </c>
      <c r="G457" s="390">
        <v>9171.36</v>
      </c>
      <c r="H457" s="389">
        <v>0</v>
      </c>
      <c r="I457" s="389">
        <v>99.63</v>
      </c>
      <c r="J457" s="389">
        <v>0</v>
      </c>
      <c r="K457" s="389">
        <v>54.8</v>
      </c>
    </row>
    <row r="458" spans="1:11" ht="30" hidden="1" x14ac:dyDescent="0.25">
      <c r="A458" s="389" t="s">
        <v>5770</v>
      </c>
      <c r="B458" s="394" t="s">
        <v>5771</v>
      </c>
      <c r="C458" s="389" t="s">
        <v>4972</v>
      </c>
      <c r="D458" s="389">
        <v>183.88</v>
      </c>
      <c r="E458" s="389" t="s">
        <v>4927</v>
      </c>
      <c r="F458" s="390">
        <v>49.34</v>
      </c>
      <c r="G458" s="390">
        <v>9072.64</v>
      </c>
      <c r="H458" s="389">
        <v>0</v>
      </c>
      <c r="I458" s="389">
        <v>99.63</v>
      </c>
      <c r="J458" s="389">
        <v>0</v>
      </c>
      <c r="K458" s="389">
        <v>54.8</v>
      </c>
    </row>
    <row r="459" spans="1:11" ht="30" hidden="1" x14ac:dyDescent="0.25">
      <c r="A459" s="389" t="s">
        <v>5772</v>
      </c>
      <c r="B459" s="394" t="s">
        <v>5773</v>
      </c>
      <c r="C459" s="389" t="s">
        <v>5044</v>
      </c>
      <c r="D459" s="389">
        <v>3</v>
      </c>
      <c r="E459" s="389" t="s">
        <v>4927</v>
      </c>
      <c r="F459" s="390">
        <v>3023.7</v>
      </c>
      <c r="G459" s="390">
        <v>9071.1</v>
      </c>
      <c r="H459" s="389">
        <v>0</v>
      </c>
      <c r="I459" s="389">
        <v>99.63</v>
      </c>
      <c r="J459" s="389">
        <v>0</v>
      </c>
      <c r="K459" s="389">
        <v>54.8</v>
      </c>
    </row>
    <row r="460" spans="1:11" hidden="1" x14ac:dyDescent="0.25">
      <c r="A460" s="389" t="s">
        <v>5774</v>
      </c>
      <c r="B460" s="394" t="s">
        <v>5775</v>
      </c>
      <c r="C460" s="389" t="s">
        <v>4972</v>
      </c>
      <c r="D460" s="389">
        <v>96</v>
      </c>
      <c r="E460" s="389" t="s">
        <v>4927</v>
      </c>
      <c r="F460" s="390">
        <v>93.3</v>
      </c>
      <c r="G460" s="390">
        <v>8956.7999999999993</v>
      </c>
      <c r="H460" s="389">
        <v>0</v>
      </c>
      <c r="I460" s="389">
        <v>99.63</v>
      </c>
      <c r="J460" s="389">
        <v>0</v>
      </c>
      <c r="K460" s="389">
        <v>54.8</v>
      </c>
    </row>
    <row r="461" spans="1:11" hidden="1" x14ac:dyDescent="0.25">
      <c r="A461" s="389" t="s">
        <v>5776</v>
      </c>
      <c r="B461" s="394" t="s">
        <v>5777</v>
      </c>
      <c r="C461" s="389" t="s">
        <v>5164</v>
      </c>
      <c r="D461" s="389">
        <v>7</v>
      </c>
      <c r="E461" s="389" t="s">
        <v>4927</v>
      </c>
      <c r="F461" s="390">
        <v>1254.1300000000001</v>
      </c>
      <c r="G461" s="390">
        <v>8778.91</v>
      </c>
      <c r="H461" s="389">
        <v>0</v>
      </c>
      <c r="I461" s="389">
        <v>99.63</v>
      </c>
      <c r="J461" s="389">
        <v>0</v>
      </c>
      <c r="K461" s="389">
        <v>54.8</v>
      </c>
    </row>
    <row r="462" spans="1:11" hidden="1" x14ac:dyDescent="0.25">
      <c r="A462" s="389" t="s">
        <v>5778</v>
      </c>
      <c r="B462" s="394" t="s">
        <v>5779</v>
      </c>
      <c r="C462" s="389" t="s">
        <v>4972</v>
      </c>
      <c r="D462" s="389">
        <v>42.08</v>
      </c>
      <c r="E462" s="389" t="s">
        <v>4927</v>
      </c>
      <c r="F462" s="390">
        <v>206.22</v>
      </c>
      <c r="G462" s="390">
        <v>8677.74</v>
      </c>
      <c r="H462" s="389">
        <v>0</v>
      </c>
      <c r="I462" s="389">
        <v>99.63</v>
      </c>
      <c r="J462" s="389">
        <v>0</v>
      </c>
      <c r="K462" s="389">
        <v>54.8</v>
      </c>
    </row>
    <row r="463" spans="1:11" hidden="1" x14ac:dyDescent="0.25">
      <c r="A463" s="389" t="s">
        <v>5780</v>
      </c>
      <c r="B463" s="394" t="s">
        <v>5643</v>
      </c>
      <c r="C463" s="389" t="s">
        <v>4979</v>
      </c>
      <c r="D463" s="389">
        <v>700</v>
      </c>
      <c r="E463" s="389" t="s">
        <v>4927</v>
      </c>
      <c r="F463" s="390">
        <v>12.2</v>
      </c>
      <c r="G463" s="390">
        <v>8540</v>
      </c>
      <c r="H463" s="389">
        <v>0</v>
      </c>
      <c r="I463" s="389">
        <v>99.63</v>
      </c>
      <c r="J463" s="389">
        <v>0</v>
      </c>
      <c r="K463" s="389">
        <v>54.8</v>
      </c>
    </row>
    <row r="464" spans="1:11" hidden="1" x14ac:dyDescent="0.25">
      <c r="A464" s="389" t="s">
        <v>5781</v>
      </c>
      <c r="B464" s="394" t="s">
        <v>5782</v>
      </c>
      <c r="C464" s="389" t="s">
        <v>4956</v>
      </c>
      <c r="D464" s="389">
        <v>80</v>
      </c>
      <c r="E464" s="389" t="s">
        <v>4927</v>
      </c>
      <c r="F464" s="390">
        <v>104.29</v>
      </c>
      <c r="G464" s="390">
        <v>8343.2000000000007</v>
      </c>
      <c r="H464" s="389">
        <v>0</v>
      </c>
      <c r="I464" s="389">
        <v>99.63</v>
      </c>
      <c r="J464" s="389">
        <v>0</v>
      </c>
      <c r="K464" s="389">
        <v>54.8</v>
      </c>
    </row>
    <row r="465" spans="1:11" hidden="1" x14ac:dyDescent="0.25">
      <c r="A465" s="389" t="s">
        <v>5783</v>
      </c>
      <c r="B465" s="394" t="s">
        <v>5784</v>
      </c>
      <c r="C465" s="389" t="s">
        <v>4986</v>
      </c>
      <c r="D465" s="389">
        <v>30</v>
      </c>
      <c r="E465" s="389" t="s">
        <v>4927</v>
      </c>
      <c r="F465" s="390">
        <v>273.16000000000003</v>
      </c>
      <c r="G465" s="390">
        <v>8194.7999999999993</v>
      </c>
      <c r="H465" s="389">
        <v>0</v>
      </c>
      <c r="I465" s="389">
        <v>99.63</v>
      </c>
      <c r="J465" s="389">
        <v>0</v>
      </c>
      <c r="K465" s="389">
        <v>54.8</v>
      </c>
    </row>
    <row r="466" spans="1:11" hidden="1" x14ac:dyDescent="0.25">
      <c r="A466" s="389" t="s">
        <v>5785</v>
      </c>
      <c r="B466" s="394" t="s">
        <v>5786</v>
      </c>
      <c r="C466" s="389" t="s">
        <v>4972</v>
      </c>
      <c r="D466" s="389">
        <v>680</v>
      </c>
      <c r="E466" s="389" t="s">
        <v>4927</v>
      </c>
      <c r="F466" s="390">
        <v>11.63</v>
      </c>
      <c r="G466" s="390">
        <v>7908.4</v>
      </c>
      <c r="H466" s="389">
        <v>0</v>
      </c>
      <c r="I466" s="389">
        <v>99.63</v>
      </c>
      <c r="J466" s="389">
        <v>0</v>
      </c>
      <c r="K466" s="389">
        <v>54.8</v>
      </c>
    </row>
    <row r="467" spans="1:11" hidden="1" x14ac:dyDescent="0.25">
      <c r="A467" s="389" t="s">
        <v>5787</v>
      </c>
      <c r="B467" s="394" t="s">
        <v>5788</v>
      </c>
      <c r="C467" s="389" t="s">
        <v>5044</v>
      </c>
      <c r="D467" s="389">
        <v>8</v>
      </c>
      <c r="E467" s="389" t="s">
        <v>4927</v>
      </c>
      <c r="F467" s="390">
        <v>983.56</v>
      </c>
      <c r="G467" s="390">
        <v>7868.48</v>
      </c>
      <c r="H467" s="389">
        <v>0</v>
      </c>
      <c r="I467" s="389">
        <v>99.63</v>
      </c>
      <c r="J467" s="389">
        <v>0</v>
      </c>
      <c r="K467" s="389">
        <v>54.8</v>
      </c>
    </row>
    <row r="468" spans="1:11" ht="30" hidden="1" x14ac:dyDescent="0.25">
      <c r="A468" s="389" t="s">
        <v>5789</v>
      </c>
      <c r="B468" s="394" t="s">
        <v>5790</v>
      </c>
      <c r="C468" s="389" t="s">
        <v>4972</v>
      </c>
      <c r="D468" s="391">
        <v>1871.96</v>
      </c>
      <c r="E468" s="389" t="s">
        <v>4927</v>
      </c>
      <c r="F468" s="390">
        <v>4.1399999999999997</v>
      </c>
      <c r="G468" s="390">
        <v>7749.91</v>
      </c>
      <c r="H468" s="389">
        <v>0</v>
      </c>
      <c r="I468" s="389">
        <v>99.63</v>
      </c>
      <c r="J468" s="389">
        <v>0</v>
      </c>
      <c r="K468" s="389">
        <v>54.8</v>
      </c>
    </row>
    <row r="469" spans="1:11" ht="30" hidden="1" x14ac:dyDescent="0.25">
      <c r="A469" s="389" t="s">
        <v>5791</v>
      </c>
      <c r="B469" s="394" t="s">
        <v>5792</v>
      </c>
      <c r="C469" s="389" t="s">
        <v>5044</v>
      </c>
      <c r="D469" s="389">
        <v>92</v>
      </c>
      <c r="E469" s="389" t="s">
        <v>4927</v>
      </c>
      <c r="F469" s="390">
        <v>83.6</v>
      </c>
      <c r="G469" s="390">
        <v>7691.2</v>
      </c>
      <c r="H469" s="389">
        <v>0</v>
      </c>
      <c r="I469" s="389">
        <v>99.63</v>
      </c>
      <c r="J469" s="389">
        <v>0</v>
      </c>
      <c r="K469" s="389">
        <v>54.8</v>
      </c>
    </row>
    <row r="470" spans="1:11" hidden="1" x14ac:dyDescent="0.25">
      <c r="A470" s="389" t="s">
        <v>5793</v>
      </c>
      <c r="B470" s="394" t="s">
        <v>5794</v>
      </c>
      <c r="C470" s="389" t="s">
        <v>4972</v>
      </c>
      <c r="D470" s="389">
        <v>238.4</v>
      </c>
      <c r="E470" s="389" t="s">
        <v>4927</v>
      </c>
      <c r="F470" s="390">
        <v>31.92</v>
      </c>
      <c r="G470" s="390">
        <v>7609.73</v>
      </c>
      <c r="H470" s="389">
        <v>0</v>
      </c>
      <c r="I470" s="389">
        <v>99.63</v>
      </c>
      <c r="J470" s="389">
        <v>0</v>
      </c>
      <c r="K470" s="389">
        <v>54.8</v>
      </c>
    </row>
    <row r="471" spans="1:11" ht="30" hidden="1" x14ac:dyDescent="0.25">
      <c r="A471" s="389" t="s">
        <v>5795</v>
      </c>
      <c r="B471" s="394" t="s">
        <v>5796</v>
      </c>
      <c r="C471" s="389" t="s">
        <v>5044</v>
      </c>
      <c r="D471" s="389">
        <v>9</v>
      </c>
      <c r="E471" s="389" t="s">
        <v>4927</v>
      </c>
      <c r="F471" s="390">
        <v>844.43</v>
      </c>
      <c r="G471" s="390">
        <v>7599.87</v>
      </c>
      <c r="H471" s="389">
        <v>0</v>
      </c>
      <c r="I471" s="389">
        <v>99.63</v>
      </c>
      <c r="J471" s="389">
        <v>0</v>
      </c>
      <c r="K471" s="389">
        <v>54.8</v>
      </c>
    </row>
    <row r="472" spans="1:11" ht="30" hidden="1" x14ac:dyDescent="0.25">
      <c r="A472" s="389" t="s">
        <v>5797</v>
      </c>
      <c r="B472" s="394" t="s">
        <v>5798</v>
      </c>
      <c r="C472" s="389" t="s">
        <v>4986</v>
      </c>
      <c r="D472" s="389">
        <v>33</v>
      </c>
      <c r="E472" s="389" t="s">
        <v>4927</v>
      </c>
      <c r="F472" s="390">
        <v>212.9</v>
      </c>
      <c r="G472" s="390">
        <v>7025.7</v>
      </c>
      <c r="H472" s="389">
        <v>0</v>
      </c>
      <c r="I472" s="389">
        <v>99.63</v>
      </c>
      <c r="J472" s="389">
        <v>0</v>
      </c>
      <c r="K472" s="389">
        <v>54.8</v>
      </c>
    </row>
    <row r="473" spans="1:11" hidden="1" x14ac:dyDescent="0.25">
      <c r="A473" s="389" t="s">
        <v>5799</v>
      </c>
      <c r="B473" s="394" t="s">
        <v>5800</v>
      </c>
      <c r="C473" s="389" t="s">
        <v>4972</v>
      </c>
      <c r="D473" s="389">
        <v>239.57</v>
      </c>
      <c r="E473" s="389" t="s">
        <v>4927</v>
      </c>
      <c r="F473" s="390">
        <v>29.32</v>
      </c>
      <c r="G473" s="390">
        <v>7024.19</v>
      </c>
      <c r="H473" s="389">
        <v>0</v>
      </c>
      <c r="I473" s="389">
        <v>99.63</v>
      </c>
      <c r="J473" s="389">
        <v>0</v>
      </c>
      <c r="K473" s="389">
        <v>54.8</v>
      </c>
    </row>
    <row r="474" spans="1:11" ht="60" hidden="1" x14ac:dyDescent="0.25">
      <c r="A474" s="389" t="s">
        <v>5801</v>
      </c>
      <c r="B474" s="394" t="s">
        <v>5802</v>
      </c>
      <c r="C474" s="389" t="s">
        <v>4956</v>
      </c>
      <c r="D474" s="389">
        <v>25</v>
      </c>
      <c r="E474" s="389" t="s">
        <v>4927</v>
      </c>
      <c r="F474" s="390">
        <v>278.66000000000003</v>
      </c>
      <c r="G474" s="390">
        <v>6966.5</v>
      </c>
      <c r="H474" s="389">
        <v>0</v>
      </c>
      <c r="I474" s="389">
        <v>99.63</v>
      </c>
      <c r="J474" s="389">
        <v>0</v>
      </c>
      <c r="K474" s="389">
        <v>54.8</v>
      </c>
    </row>
    <row r="475" spans="1:11" hidden="1" x14ac:dyDescent="0.25">
      <c r="A475" s="389" t="s">
        <v>5803</v>
      </c>
      <c r="B475" s="394" t="s">
        <v>5804</v>
      </c>
      <c r="C475" s="389" t="s">
        <v>4956</v>
      </c>
      <c r="D475" s="391">
        <v>1130.0999999999999</v>
      </c>
      <c r="E475" s="389" t="s">
        <v>4927</v>
      </c>
      <c r="F475" s="390">
        <v>6.1</v>
      </c>
      <c r="G475" s="390">
        <v>6893.61</v>
      </c>
      <c r="H475" s="389">
        <v>0</v>
      </c>
      <c r="I475" s="389">
        <v>99.63</v>
      </c>
      <c r="J475" s="389">
        <v>0</v>
      </c>
      <c r="K475" s="389">
        <v>54.8</v>
      </c>
    </row>
    <row r="476" spans="1:11" hidden="1" x14ac:dyDescent="0.25">
      <c r="A476" s="389" t="s">
        <v>5805</v>
      </c>
      <c r="B476" s="394" t="s">
        <v>5806</v>
      </c>
      <c r="C476" s="389" t="s">
        <v>4934</v>
      </c>
      <c r="D476" s="389">
        <v>27.588097999999999</v>
      </c>
      <c r="E476" s="389" t="s">
        <v>4927</v>
      </c>
      <c r="F476" s="390">
        <v>239.5</v>
      </c>
      <c r="G476" s="390">
        <v>6607.35</v>
      </c>
      <c r="H476" s="389">
        <v>0</v>
      </c>
      <c r="I476" s="389">
        <v>99.63</v>
      </c>
      <c r="J476" s="389">
        <v>0</v>
      </c>
      <c r="K476" s="389">
        <v>54.8</v>
      </c>
    </row>
    <row r="477" spans="1:11" ht="45" hidden="1" x14ac:dyDescent="0.25">
      <c r="A477" s="389" t="s">
        <v>5807</v>
      </c>
      <c r="B477" s="394" t="s">
        <v>5808</v>
      </c>
      <c r="C477" s="389" t="s">
        <v>5044</v>
      </c>
      <c r="D477" s="389">
        <v>2</v>
      </c>
      <c r="E477" s="389" t="s">
        <v>4927</v>
      </c>
      <c r="F477" s="390">
        <v>3240.49</v>
      </c>
      <c r="G477" s="390">
        <v>6480.98</v>
      </c>
      <c r="H477" s="389">
        <v>0</v>
      </c>
      <c r="I477" s="389">
        <v>99.63</v>
      </c>
      <c r="J477" s="389">
        <v>0</v>
      </c>
      <c r="K477" s="389">
        <v>54.8</v>
      </c>
    </row>
    <row r="478" spans="1:11" ht="45" hidden="1" x14ac:dyDescent="0.25">
      <c r="A478" s="389" t="s">
        <v>5809</v>
      </c>
      <c r="B478" s="394" t="s">
        <v>5810</v>
      </c>
      <c r="C478" s="389" t="s">
        <v>5044</v>
      </c>
      <c r="D478" s="389">
        <v>2</v>
      </c>
      <c r="E478" s="389" t="s">
        <v>4927</v>
      </c>
      <c r="F478" s="390">
        <v>3240.49</v>
      </c>
      <c r="G478" s="390">
        <v>6480.98</v>
      </c>
      <c r="H478" s="389">
        <v>0</v>
      </c>
      <c r="I478" s="389">
        <v>99.63</v>
      </c>
      <c r="J478" s="389">
        <v>0</v>
      </c>
      <c r="K478" s="389">
        <v>54.8</v>
      </c>
    </row>
    <row r="479" spans="1:11" ht="45" hidden="1" x14ac:dyDescent="0.25">
      <c r="A479" s="389" t="s">
        <v>5811</v>
      </c>
      <c r="B479" s="394" t="s">
        <v>5812</v>
      </c>
      <c r="C479" s="389" t="s">
        <v>5044</v>
      </c>
      <c r="D479" s="389">
        <v>2</v>
      </c>
      <c r="E479" s="389" t="s">
        <v>4927</v>
      </c>
      <c r="F479" s="390">
        <v>3240.49</v>
      </c>
      <c r="G479" s="390">
        <v>6480.98</v>
      </c>
      <c r="H479" s="389">
        <v>0</v>
      </c>
      <c r="I479" s="389">
        <v>99.63</v>
      </c>
      <c r="J479" s="389">
        <v>0</v>
      </c>
      <c r="K479" s="389">
        <v>54.8</v>
      </c>
    </row>
    <row r="480" spans="1:11" ht="45" hidden="1" x14ac:dyDescent="0.25">
      <c r="A480" s="389" t="s">
        <v>5813</v>
      </c>
      <c r="B480" s="394" t="s">
        <v>5814</v>
      </c>
      <c r="C480" s="389" t="s">
        <v>5044</v>
      </c>
      <c r="D480" s="389">
        <v>2</v>
      </c>
      <c r="E480" s="389" t="s">
        <v>4927</v>
      </c>
      <c r="F480" s="390">
        <v>3240.49</v>
      </c>
      <c r="G480" s="390">
        <v>6480.98</v>
      </c>
      <c r="H480" s="389">
        <v>0</v>
      </c>
      <c r="I480" s="389">
        <v>99.63</v>
      </c>
      <c r="J480" s="389">
        <v>0</v>
      </c>
      <c r="K480" s="389">
        <v>54.8</v>
      </c>
    </row>
    <row r="481" spans="1:11" ht="45" hidden="1" x14ac:dyDescent="0.25">
      <c r="A481" s="389" t="s">
        <v>5815</v>
      </c>
      <c r="B481" s="394" t="s">
        <v>5816</v>
      </c>
      <c r="C481" s="389" t="s">
        <v>5044</v>
      </c>
      <c r="D481" s="389">
        <v>2</v>
      </c>
      <c r="E481" s="389" t="s">
        <v>4927</v>
      </c>
      <c r="F481" s="390">
        <v>3240.49</v>
      </c>
      <c r="G481" s="390">
        <v>6480.98</v>
      </c>
      <c r="H481" s="389">
        <v>0</v>
      </c>
      <c r="I481" s="389">
        <v>99.63</v>
      </c>
      <c r="J481" s="389">
        <v>0</v>
      </c>
      <c r="K481" s="389">
        <v>54.8</v>
      </c>
    </row>
    <row r="482" spans="1:11" ht="45" hidden="1" x14ac:dyDescent="0.25">
      <c r="A482" s="389" t="s">
        <v>5817</v>
      </c>
      <c r="B482" s="394" t="s">
        <v>5818</v>
      </c>
      <c r="C482" s="389" t="s">
        <v>5044</v>
      </c>
      <c r="D482" s="389">
        <v>2</v>
      </c>
      <c r="E482" s="389" t="s">
        <v>4927</v>
      </c>
      <c r="F482" s="390">
        <v>3240.49</v>
      </c>
      <c r="G482" s="390">
        <v>6480.98</v>
      </c>
      <c r="H482" s="389">
        <v>0</v>
      </c>
      <c r="I482" s="389">
        <v>99.63</v>
      </c>
      <c r="J482" s="389">
        <v>0</v>
      </c>
      <c r="K482" s="389">
        <v>54.8</v>
      </c>
    </row>
    <row r="483" spans="1:11" ht="30" hidden="1" x14ac:dyDescent="0.25">
      <c r="A483" s="389" t="s">
        <v>5819</v>
      </c>
      <c r="B483" s="394" t="s">
        <v>5820</v>
      </c>
      <c r="C483" s="389" t="s">
        <v>5044</v>
      </c>
      <c r="D483" s="389">
        <v>2</v>
      </c>
      <c r="E483" s="389" t="s">
        <v>4927</v>
      </c>
      <c r="F483" s="390">
        <v>3240.49</v>
      </c>
      <c r="G483" s="390">
        <v>6480.98</v>
      </c>
      <c r="H483" s="389">
        <v>0</v>
      </c>
      <c r="I483" s="389">
        <v>99.63</v>
      </c>
      <c r="J483" s="389">
        <v>0</v>
      </c>
      <c r="K483" s="389">
        <v>54.8</v>
      </c>
    </row>
    <row r="484" spans="1:11" ht="45" hidden="1" x14ac:dyDescent="0.25">
      <c r="A484" s="389" t="s">
        <v>5821</v>
      </c>
      <c r="B484" s="394" t="s">
        <v>5822</v>
      </c>
      <c r="C484" s="389" t="s">
        <v>5044</v>
      </c>
      <c r="D484" s="389">
        <v>2</v>
      </c>
      <c r="E484" s="389" t="s">
        <v>4927</v>
      </c>
      <c r="F484" s="390">
        <v>3240.49</v>
      </c>
      <c r="G484" s="390">
        <v>6480.98</v>
      </c>
      <c r="H484" s="389">
        <v>0</v>
      </c>
      <c r="I484" s="389">
        <v>99.63</v>
      </c>
      <c r="J484" s="389">
        <v>0</v>
      </c>
      <c r="K484" s="389">
        <v>54.8</v>
      </c>
    </row>
    <row r="485" spans="1:11" hidden="1" x14ac:dyDescent="0.25">
      <c r="A485" s="389" t="s">
        <v>5823</v>
      </c>
      <c r="B485" s="394" t="s">
        <v>5824</v>
      </c>
      <c r="C485" s="389" t="s">
        <v>4956</v>
      </c>
      <c r="D485" s="389">
        <v>2</v>
      </c>
      <c r="E485" s="389" t="s">
        <v>4927</v>
      </c>
      <c r="F485" s="390">
        <v>3232.82</v>
      </c>
      <c r="G485" s="390">
        <v>6465.64</v>
      </c>
      <c r="H485" s="389">
        <v>0</v>
      </c>
      <c r="I485" s="389">
        <v>99.63</v>
      </c>
      <c r="J485" s="389">
        <v>0</v>
      </c>
      <c r="K485" s="389">
        <v>54.8</v>
      </c>
    </row>
    <row r="486" spans="1:11" hidden="1" x14ac:dyDescent="0.25">
      <c r="A486" s="389" t="s">
        <v>5825</v>
      </c>
      <c r="B486" s="394" t="s">
        <v>5375</v>
      </c>
      <c r="C486" s="389" t="s">
        <v>5044</v>
      </c>
      <c r="D486" s="389">
        <v>14</v>
      </c>
      <c r="E486" s="389" t="s">
        <v>4927</v>
      </c>
      <c r="F486" s="390">
        <v>457.35</v>
      </c>
      <c r="G486" s="390">
        <v>6402.9</v>
      </c>
      <c r="H486" s="389">
        <v>0</v>
      </c>
      <c r="I486" s="389">
        <v>99.63</v>
      </c>
      <c r="J486" s="389">
        <v>0</v>
      </c>
      <c r="K486" s="389">
        <v>54.8</v>
      </c>
    </row>
    <row r="487" spans="1:11" ht="30" hidden="1" x14ac:dyDescent="0.25">
      <c r="A487" s="389" t="s">
        <v>5826</v>
      </c>
      <c r="B487" s="394" t="s">
        <v>5827</v>
      </c>
      <c r="C487" s="389" t="s">
        <v>4979</v>
      </c>
      <c r="D487" s="389">
        <v>650</v>
      </c>
      <c r="E487" s="389" t="s">
        <v>4927</v>
      </c>
      <c r="F487" s="390">
        <v>9.67</v>
      </c>
      <c r="G487" s="390">
        <v>6285.5</v>
      </c>
      <c r="H487" s="389">
        <v>0</v>
      </c>
      <c r="I487" s="389">
        <v>99.63</v>
      </c>
      <c r="J487" s="389">
        <v>0</v>
      </c>
      <c r="K487" s="389">
        <v>54.8</v>
      </c>
    </row>
    <row r="488" spans="1:11" hidden="1" x14ac:dyDescent="0.25">
      <c r="A488" s="389" t="s">
        <v>5828</v>
      </c>
      <c r="B488" s="394" t="s">
        <v>5829</v>
      </c>
      <c r="C488" s="389" t="s">
        <v>5044</v>
      </c>
      <c r="D488" s="389">
        <v>10</v>
      </c>
      <c r="E488" s="389" t="s">
        <v>4927</v>
      </c>
      <c r="F488" s="390">
        <v>627.04</v>
      </c>
      <c r="G488" s="390">
        <v>6270.4</v>
      </c>
      <c r="H488" s="389">
        <v>0</v>
      </c>
      <c r="I488" s="389">
        <v>99.63</v>
      </c>
      <c r="J488" s="389">
        <v>0</v>
      </c>
      <c r="K488" s="389">
        <v>54.8</v>
      </c>
    </row>
    <row r="489" spans="1:11" ht="30" hidden="1" x14ac:dyDescent="0.25">
      <c r="A489" s="389" t="s">
        <v>5830</v>
      </c>
      <c r="B489" s="394" t="s">
        <v>5831</v>
      </c>
      <c r="C489" s="389" t="s">
        <v>5044</v>
      </c>
      <c r="D489" s="389">
        <v>10</v>
      </c>
      <c r="E489" s="389" t="s">
        <v>4927</v>
      </c>
      <c r="F489" s="390">
        <v>627.04</v>
      </c>
      <c r="G489" s="390">
        <v>6270.4</v>
      </c>
      <c r="H489" s="389">
        <v>0</v>
      </c>
      <c r="I489" s="389">
        <v>99.63</v>
      </c>
      <c r="J489" s="389">
        <v>0</v>
      </c>
      <c r="K489" s="389">
        <v>54.8</v>
      </c>
    </row>
    <row r="490" spans="1:11" ht="30" hidden="1" x14ac:dyDescent="0.25">
      <c r="A490" s="389" t="s">
        <v>5832</v>
      </c>
      <c r="B490" s="394" t="s">
        <v>5833</v>
      </c>
      <c r="C490" s="389" t="s">
        <v>4972</v>
      </c>
      <c r="D490" s="389">
        <v>424.6</v>
      </c>
      <c r="E490" s="389" t="s">
        <v>4927</v>
      </c>
      <c r="F490" s="390">
        <v>14.66</v>
      </c>
      <c r="G490" s="390">
        <v>6224.64</v>
      </c>
      <c r="H490" s="389">
        <v>0</v>
      </c>
      <c r="I490" s="389">
        <v>99.63</v>
      </c>
      <c r="J490" s="389">
        <v>0</v>
      </c>
      <c r="K490" s="389">
        <v>54.8</v>
      </c>
    </row>
    <row r="491" spans="1:11" hidden="1" x14ac:dyDescent="0.25">
      <c r="A491" s="389" t="s">
        <v>5834</v>
      </c>
      <c r="B491" s="394" t="s">
        <v>5835</v>
      </c>
      <c r="C491" s="389" t="s">
        <v>4926</v>
      </c>
      <c r="D491" s="391">
        <v>4175</v>
      </c>
      <c r="E491" s="389" t="s">
        <v>4927</v>
      </c>
      <c r="F491" s="390">
        <v>1.45</v>
      </c>
      <c r="G491" s="390">
        <v>6053.75</v>
      </c>
      <c r="H491" s="389">
        <v>0</v>
      </c>
      <c r="I491" s="389">
        <v>99.63</v>
      </c>
      <c r="J491" s="389">
        <v>0</v>
      </c>
      <c r="K491" s="389">
        <v>54.8</v>
      </c>
    </row>
    <row r="492" spans="1:11" hidden="1" x14ac:dyDescent="0.25">
      <c r="A492" s="389" t="s">
        <v>5836</v>
      </c>
      <c r="B492" s="394" t="s">
        <v>5837</v>
      </c>
      <c r="C492" s="389" t="s">
        <v>4972</v>
      </c>
      <c r="D492" s="389">
        <v>187.8</v>
      </c>
      <c r="E492" s="389" t="s">
        <v>4927</v>
      </c>
      <c r="F492" s="390">
        <v>32.229999999999997</v>
      </c>
      <c r="G492" s="390">
        <v>6052.79</v>
      </c>
      <c r="H492" s="389">
        <v>0</v>
      </c>
      <c r="I492" s="389">
        <v>99.63</v>
      </c>
      <c r="J492" s="389">
        <v>0</v>
      </c>
      <c r="K492" s="389">
        <v>54.8</v>
      </c>
    </row>
    <row r="493" spans="1:11" ht="30" hidden="1" x14ac:dyDescent="0.25">
      <c r="A493" s="389" t="s">
        <v>5838</v>
      </c>
      <c r="B493" s="394" t="s">
        <v>5657</v>
      </c>
      <c r="C493" s="389" t="s">
        <v>4956</v>
      </c>
      <c r="D493" s="389">
        <v>8</v>
      </c>
      <c r="E493" s="389" t="s">
        <v>4927</v>
      </c>
      <c r="F493" s="390">
        <v>756.03</v>
      </c>
      <c r="G493" s="390">
        <v>6048.24</v>
      </c>
      <c r="H493" s="389">
        <v>0</v>
      </c>
      <c r="I493" s="389">
        <v>99.63</v>
      </c>
      <c r="J493" s="389">
        <v>0</v>
      </c>
      <c r="K493" s="389">
        <v>54.8</v>
      </c>
    </row>
    <row r="494" spans="1:11" ht="30" hidden="1" x14ac:dyDescent="0.25">
      <c r="A494" s="389" t="s">
        <v>5839</v>
      </c>
      <c r="B494" s="394" t="s">
        <v>5840</v>
      </c>
      <c r="C494" s="389" t="s">
        <v>4972</v>
      </c>
      <c r="D494" s="389">
        <v>61.1</v>
      </c>
      <c r="E494" s="389" t="s">
        <v>4927</v>
      </c>
      <c r="F494" s="390">
        <v>98.76</v>
      </c>
      <c r="G494" s="390">
        <v>6034.24</v>
      </c>
      <c r="H494" s="389">
        <v>0</v>
      </c>
      <c r="I494" s="389">
        <v>99.63</v>
      </c>
      <c r="J494" s="389">
        <v>0</v>
      </c>
      <c r="K494" s="389">
        <v>54.8</v>
      </c>
    </row>
    <row r="495" spans="1:11" ht="30" hidden="1" x14ac:dyDescent="0.25">
      <c r="A495" s="389" t="s">
        <v>5841</v>
      </c>
      <c r="B495" s="394" t="s">
        <v>5842</v>
      </c>
      <c r="C495" s="389" t="s">
        <v>4979</v>
      </c>
      <c r="D495" s="391">
        <v>1000</v>
      </c>
      <c r="E495" s="389" t="s">
        <v>4927</v>
      </c>
      <c r="F495" s="390">
        <v>6.03</v>
      </c>
      <c r="G495" s="390">
        <v>6030</v>
      </c>
      <c r="H495" s="389">
        <v>0</v>
      </c>
      <c r="I495" s="389">
        <v>99.63</v>
      </c>
      <c r="J495" s="389">
        <v>0</v>
      </c>
      <c r="K495" s="389">
        <v>54.8</v>
      </c>
    </row>
    <row r="496" spans="1:11" hidden="1" x14ac:dyDescent="0.25">
      <c r="A496" s="389" t="s">
        <v>5843</v>
      </c>
      <c r="B496" s="394" t="s">
        <v>5844</v>
      </c>
      <c r="C496" s="389" t="s">
        <v>4972</v>
      </c>
      <c r="D496" s="389">
        <v>200.7</v>
      </c>
      <c r="E496" s="389" t="s">
        <v>4927</v>
      </c>
      <c r="F496" s="390">
        <v>29.32</v>
      </c>
      <c r="G496" s="390">
        <v>5884.52</v>
      </c>
      <c r="H496" s="389">
        <v>0</v>
      </c>
      <c r="I496" s="389">
        <v>99.63</v>
      </c>
      <c r="J496" s="389">
        <v>0</v>
      </c>
      <c r="K496" s="389">
        <v>54.8</v>
      </c>
    </row>
    <row r="497" spans="1:11" ht="30" hidden="1" x14ac:dyDescent="0.25">
      <c r="A497" s="389" t="s">
        <v>5845</v>
      </c>
      <c r="B497" s="394" t="s">
        <v>5842</v>
      </c>
      <c r="C497" s="389" t="s">
        <v>4979</v>
      </c>
      <c r="D497" s="391">
        <v>1040</v>
      </c>
      <c r="E497" s="389" t="s">
        <v>4927</v>
      </c>
      <c r="F497" s="390">
        <v>5.65</v>
      </c>
      <c r="G497" s="390">
        <v>5876</v>
      </c>
      <c r="H497" s="389">
        <v>0</v>
      </c>
      <c r="I497" s="389">
        <v>99.63</v>
      </c>
      <c r="J497" s="389">
        <v>0</v>
      </c>
      <c r="K497" s="389">
        <v>54.8</v>
      </c>
    </row>
    <row r="498" spans="1:11" hidden="1" x14ac:dyDescent="0.25">
      <c r="A498" s="389" t="s">
        <v>5846</v>
      </c>
      <c r="B498" s="394" t="s">
        <v>5847</v>
      </c>
      <c r="C498" s="389" t="s">
        <v>4956</v>
      </c>
      <c r="D498" s="389">
        <v>2</v>
      </c>
      <c r="E498" s="389" t="s">
        <v>4927</v>
      </c>
      <c r="F498" s="390">
        <v>2936.42</v>
      </c>
      <c r="G498" s="390">
        <v>5872.84</v>
      </c>
      <c r="H498" s="389">
        <v>0</v>
      </c>
      <c r="I498" s="389">
        <v>99.63</v>
      </c>
      <c r="J498" s="389">
        <v>0</v>
      </c>
      <c r="K498" s="389">
        <v>54.8</v>
      </c>
    </row>
    <row r="499" spans="1:11" hidden="1" x14ac:dyDescent="0.25">
      <c r="A499" s="389" t="s">
        <v>5848</v>
      </c>
      <c r="B499" s="394" t="s">
        <v>5849</v>
      </c>
      <c r="C499" s="389" t="s">
        <v>4979</v>
      </c>
      <c r="D499" s="389">
        <v>335</v>
      </c>
      <c r="E499" s="389" t="s">
        <v>4927</v>
      </c>
      <c r="F499" s="390">
        <v>17.53</v>
      </c>
      <c r="G499" s="390">
        <v>5872.55</v>
      </c>
      <c r="H499" s="389">
        <v>0</v>
      </c>
      <c r="I499" s="389">
        <v>99.63</v>
      </c>
      <c r="J499" s="389">
        <v>0</v>
      </c>
      <c r="K499" s="389">
        <v>54.8</v>
      </c>
    </row>
    <row r="500" spans="1:11" ht="30" hidden="1" x14ac:dyDescent="0.25">
      <c r="A500" s="389" t="s">
        <v>5850</v>
      </c>
      <c r="B500" s="394" t="s">
        <v>5851</v>
      </c>
      <c r="C500" s="389" t="s">
        <v>5044</v>
      </c>
      <c r="D500" s="389">
        <v>1</v>
      </c>
      <c r="E500" s="389" t="s">
        <v>4927</v>
      </c>
      <c r="F500" s="390">
        <v>5782.41</v>
      </c>
      <c r="G500" s="390">
        <v>5782.41</v>
      </c>
      <c r="H500" s="389">
        <v>0</v>
      </c>
      <c r="I500" s="389">
        <v>99.63</v>
      </c>
      <c r="J500" s="389">
        <v>0</v>
      </c>
      <c r="K500" s="389">
        <v>54.8</v>
      </c>
    </row>
    <row r="501" spans="1:11" ht="45" hidden="1" x14ac:dyDescent="0.25">
      <c r="A501" s="389" t="s">
        <v>5852</v>
      </c>
      <c r="B501" s="394" t="s">
        <v>5853</v>
      </c>
      <c r="C501" s="389" t="s">
        <v>4979</v>
      </c>
      <c r="D501" s="391">
        <v>3910</v>
      </c>
      <c r="E501" s="389" t="s">
        <v>4927</v>
      </c>
      <c r="F501" s="390">
        <v>1.47</v>
      </c>
      <c r="G501" s="390">
        <v>5747.7</v>
      </c>
      <c r="H501" s="389">
        <v>0</v>
      </c>
      <c r="I501" s="389">
        <v>99.63</v>
      </c>
      <c r="J501" s="389">
        <v>0</v>
      </c>
      <c r="K501" s="389">
        <v>54.8</v>
      </c>
    </row>
    <row r="502" spans="1:11" hidden="1" x14ac:dyDescent="0.25">
      <c r="A502" s="389" t="s">
        <v>5854</v>
      </c>
      <c r="B502" s="394" t="s">
        <v>5855</v>
      </c>
      <c r="C502" s="389" t="s">
        <v>4979</v>
      </c>
      <c r="D502" s="389">
        <v>26</v>
      </c>
      <c r="E502" s="389" t="s">
        <v>4927</v>
      </c>
      <c r="F502" s="390">
        <v>221</v>
      </c>
      <c r="G502" s="390">
        <v>5746</v>
      </c>
      <c r="H502" s="389">
        <v>0</v>
      </c>
      <c r="I502" s="389">
        <v>99.63</v>
      </c>
      <c r="J502" s="389">
        <v>0</v>
      </c>
      <c r="K502" s="389">
        <v>54.8</v>
      </c>
    </row>
    <row r="503" spans="1:11" hidden="1" x14ac:dyDescent="0.25">
      <c r="A503" s="389" t="s">
        <v>5856</v>
      </c>
      <c r="B503" s="394" t="s">
        <v>5857</v>
      </c>
      <c r="C503" s="389" t="s">
        <v>4979</v>
      </c>
      <c r="D503" s="389">
        <v>41</v>
      </c>
      <c r="E503" s="389" t="s">
        <v>4927</v>
      </c>
      <c r="F503" s="390">
        <v>140</v>
      </c>
      <c r="G503" s="390">
        <v>5740</v>
      </c>
      <c r="H503" s="389">
        <v>0</v>
      </c>
      <c r="I503" s="389">
        <v>99.63</v>
      </c>
      <c r="J503" s="389">
        <v>0</v>
      </c>
      <c r="K503" s="389">
        <v>54.8</v>
      </c>
    </row>
    <row r="504" spans="1:11" ht="30" hidden="1" x14ac:dyDescent="0.25">
      <c r="A504" s="389" t="s">
        <v>5858</v>
      </c>
      <c r="B504" s="394" t="s">
        <v>5831</v>
      </c>
      <c r="C504" s="389" t="s">
        <v>5044</v>
      </c>
      <c r="D504" s="389">
        <v>7</v>
      </c>
      <c r="E504" s="389" t="s">
        <v>4927</v>
      </c>
      <c r="F504" s="390">
        <v>811.44</v>
      </c>
      <c r="G504" s="390">
        <v>5680.08</v>
      </c>
      <c r="H504" s="389">
        <v>0</v>
      </c>
      <c r="I504" s="389">
        <v>99.63</v>
      </c>
      <c r="J504" s="389">
        <v>0</v>
      </c>
      <c r="K504" s="389">
        <v>54.8</v>
      </c>
    </row>
    <row r="505" spans="1:11" hidden="1" x14ac:dyDescent="0.25">
      <c r="A505" s="389" t="s">
        <v>5859</v>
      </c>
      <c r="B505" s="394" t="s">
        <v>5860</v>
      </c>
      <c r="C505" s="389" t="s">
        <v>4986</v>
      </c>
      <c r="D505" s="389">
        <v>33</v>
      </c>
      <c r="E505" s="389" t="s">
        <v>4927</v>
      </c>
      <c r="F505" s="390">
        <v>172.12</v>
      </c>
      <c r="G505" s="390">
        <v>5679.96</v>
      </c>
      <c r="H505" s="389">
        <v>0</v>
      </c>
      <c r="I505" s="389">
        <v>99.63</v>
      </c>
      <c r="J505" s="389">
        <v>0</v>
      </c>
      <c r="K505" s="389">
        <v>54.8</v>
      </c>
    </row>
    <row r="506" spans="1:11" hidden="1" x14ac:dyDescent="0.25">
      <c r="A506" s="389" t="s">
        <v>5861</v>
      </c>
      <c r="B506" s="394" t="s">
        <v>5862</v>
      </c>
      <c r="C506" s="389" t="s">
        <v>4972</v>
      </c>
      <c r="D506" s="389">
        <v>222.88</v>
      </c>
      <c r="E506" s="389" t="s">
        <v>4927</v>
      </c>
      <c r="F506" s="390">
        <v>25.18</v>
      </c>
      <c r="G506" s="390">
        <v>5612.12</v>
      </c>
      <c r="H506" s="389">
        <v>0</v>
      </c>
      <c r="I506" s="389">
        <v>99.63</v>
      </c>
      <c r="J506" s="389">
        <v>0</v>
      </c>
      <c r="K506" s="389">
        <v>54.8</v>
      </c>
    </row>
    <row r="507" spans="1:11" hidden="1" x14ac:dyDescent="0.25">
      <c r="A507" s="389" t="s">
        <v>5863</v>
      </c>
      <c r="B507" s="394" t="s">
        <v>5864</v>
      </c>
      <c r="C507" s="389" t="s">
        <v>4979</v>
      </c>
      <c r="D507" s="391">
        <v>2820</v>
      </c>
      <c r="E507" s="389" t="s">
        <v>4927</v>
      </c>
      <c r="F507" s="390">
        <v>1.97</v>
      </c>
      <c r="G507" s="390">
        <v>5555.4</v>
      </c>
      <c r="H507" s="389">
        <v>0</v>
      </c>
      <c r="I507" s="389">
        <v>99.63</v>
      </c>
      <c r="J507" s="389">
        <v>0</v>
      </c>
      <c r="K507" s="389">
        <v>54.8</v>
      </c>
    </row>
    <row r="508" spans="1:11" ht="30" hidden="1" x14ac:dyDescent="0.25">
      <c r="A508" s="389" t="s">
        <v>5865</v>
      </c>
      <c r="B508" s="394" t="s">
        <v>5866</v>
      </c>
      <c r="C508" s="389" t="s">
        <v>5044</v>
      </c>
      <c r="D508" s="389">
        <v>7</v>
      </c>
      <c r="E508" s="389" t="s">
        <v>4927</v>
      </c>
      <c r="F508" s="390">
        <v>791.65</v>
      </c>
      <c r="G508" s="390">
        <v>5541.55</v>
      </c>
      <c r="H508" s="389">
        <v>0</v>
      </c>
      <c r="I508" s="389">
        <v>99.63</v>
      </c>
      <c r="J508" s="389">
        <v>0</v>
      </c>
      <c r="K508" s="389">
        <v>54.8</v>
      </c>
    </row>
    <row r="509" spans="1:11" hidden="1" x14ac:dyDescent="0.25">
      <c r="A509" s="389" t="s">
        <v>5867</v>
      </c>
      <c r="B509" s="394" t="s">
        <v>5868</v>
      </c>
      <c r="C509" s="389" t="s">
        <v>4956</v>
      </c>
      <c r="D509" s="389">
        <v>37</v>
      </c>
      <c r="E509" s="389" t="s">
        <v>4927</v>
      </c>
      <c r="F509" s="390">
        <v>148.94999999999999</v>
      </c>
      <c r="G509" s="390">
        <v>5511.15</v>
      </c>
      <c r="H509" s="389">
        <v>0</v>
      </c>
      <c r="I509" s="389">
        <v>99.63</v>
      </c>
      <c r="J509" s="389">
        <v>0</v>
      </c>
      <c r="K509" s="389">
        <v>54.8</v>
      </c>
    </row>
    <row r="510" spans="1:11" hidden="1" x14ac:dyDescent="0.25">
      <c r="A510" s="389" t="s">
        <v>5869</v>
      </c>
      <c r="B510" s="394" t="s">
        <v>5568</v>
      </c>
      <c r="C510" s="389" t="s">
        <v>4956</v>
      </c>
      <c r="D510" s="389">
        <v>580</v>
      </c>
      <c r="E510" s="389" t="s">
        <v>4927</v>
      </c>
      <c r="F510" s="390">
        <v>9.42</v>
      </c>
      <c r="G510" s="390">
        <v>5463.6</v>
      </c>
      <c r="H510" s="389">
        <v>0</v>
      </c>
      <c r="I510" s="389">
        <v>99.63</v>
      </c>
      <c r="J510" s="389">
        <v>0</v>
      </c>
      <c r="K510" s="389">
        <v>54.8</v>
      </c>
    </row>
    <row r="511" spans="1:11" ht="30" hidden="1" x14ac:dyDescent="0.25">
      <c r="A511" s="389" t="s">
        <v>5870</v>
      </c>
      <c r="B511" s="394" t="s">
        <v>5798</v>
      </c>
      <c r="C511" s="389" t="s">
        <v>4986</v>
      </c>
      <c r="D511" s="389">
        <v>30</v>
      </c>
      <c r="E511" s="389" t="s">
        <v>4927</v>
      </c>
      <c r="F511" s="390">
        <v>178.94</v>
      </c>
      <c r="G511" s="390">
        <v>5368.2</v>
      </c>
      <c r="H511" s="389">
        <v>0</v>
      </c>
      <c r="I511" s="389">
        <v>99.63</v>
      </c>
      <c r="J511" s="389">
        <v>0</v>
      </c>
      <c r="K511" s="389">
        <v>54.8</v>
      </c>
    </row>
    <row r="512" spans="1:11" hidden="1" x14ac:dyDescent="0.25">
      <c r="A512" s="389" t="s">
        <v>5871</v>
      </c>
      <c r="B512" s="394" t="s">
        <v>5872</v>
      </c>
      <c r="C512" s="389" t="s">
        <v>4956</v>
      </c>
      <c r="D512" s="389">
        <v>139</v>
      </c>
      <c r="E512" s="389" t="s">
        <v>4927</v>
      </c>
      <c r="F512" s="390">
        <v>37.92</v>
      </c>
      <c r="G512" s="390">
        <v>5270.88</v>
      </c>
      <c r="H512" s="389">
        <v>0</v>
      </c>
      <c r="I512" s="389">
        <v>99.63</v>
      </c>
      <c r="J512" s="389">
        <v>0</v>
      </c>
      <c r="K512" s="389">
        <v>54.8</v>
      </c>
    </row>
    <row r="513" spans="1:11" hidden="1" x14ac:dyDescent="0.25">
      <c r="A513" s="389" t="s">
        <v>5873</v>
      </c>
      <c r="B513" s="394" t="s">
        <v>5874</v>
      </c>
      <c r="C513" s="389" t="s">
        <v>4972</v>
      </c>
      <c r="D513" s="389">
        <v>68.599999999999994</v>
      </c>
      <c r="E513" s="389" t="s">
        <v>4927</v>
      </c>
      <c r="F513" s="390">
        <v>76.680000000000007</v>
      </c>
      <c r="G513" s="390">
        <v>5260.25</v>
      </c>
      <c r="H513" s="389">
        <v>0</v>
      </c>
      <c r="I513" s="389">
        <v>99.63</v>
      </c>
      <c r="J513" s="389">
        <v>0</v>
      </c>
      <c r="K513" s="389">
        <v>54.8</v>
      </c>
    </row>
    <row r="514" spans="1:11" hidden="1" x14ac:dyDescent="0.25">
      <c r="A514" s="389" t="s">
        <v>5875</v>
      </c>
      <c r="B514" s="394" t="s">
        <v>5876</v>
      </c>
      <c r="C514" s="389" t="s">
        <v>4956</v>
      </c>
      <c r="D514" s="389">
        <v>64</v>
      </c>
      <c r="E514" s="389" t="s">
        <v>4927</v>
      </c>
      <c r="F514" s="390">
        <v>80.92</v>
      </c>
      <c r="G514" s="390">
        <v>5178.88</v>
      </c>
      <c r="H514" s="389">
        <v>0</v>
      </c>
      <c r="I514" s="389">
        <v>99.63</v>
      </c>
      <c r="J514" s="389">
        <v>0</v>
      </c>
      <c r="K514" s="389">
        <v>54.8</v>
      </c>
    </row>
    <row r="515" spans="1:11" hidden="1" x14ac:dyDescent="0.25">
      <c r="A515" s="389" t="s">
        <v>5877</v>
      </c>
      <c r="B515" s="394" t="s">
        <v>5878</v>
      </c>
      <c r="C515" s="389" t="s">
        <v>4979</v>
      </c>
      <c r="D515" s="389">
        <v>220</v>
      </c>
      <c r="E515" s="389" t="s">
        <v>4927</v>
      </c>
      <c r="F515" s="390">
        <v>23.21</v>
      </c>
      <c r="G515" s="390">
        <v>5106.2</v>
      </c>
      <c r="H515" s="389">
        <v>0</v>
      </c>
      <c r="I515" s="389">
        <v>99.63</v>
      </c>
      <c r="J515" s="389">
        <v>0</v>
      </c>
      <c r="K515" s="389">
        <v>54.8</v>
      </c>
    </row>
    <row r="516" spans="1:11" hidden="1" x14ac:dyDescent="0.25">
      <c r="A516" s="389" t="s">
        <v>5879</v>
      </c>
      <c r="B516" s="394" t="s">
        <v>5860</v>
      </c>
      <c r="C516" s="389" t="s">
        <v>4986</v>
      </c>
      <c r="D516" s="389">
        <v>30</v>
      </c>
      <c r="E516" s="389" t="s">
        <v>4927</v>
      </c>
      <c r="F516" s="390">
        <v>168.99</v>
      </c>
      <c r="G516" s="390">
        <v>5069.7</v>
      </c>
      <c r="H516" s="389">
        <v>0</v>
      </c>
      <c r="I516" s="389">
        <v>99.63</v>
      </c>
      <c r="J516" s="389">
        <v>0</v>
      </c>
      <c r="K516" s="389">
        <v>54.8</v>
      </c>
    </row>
    <row r="517" spans="1:11" hidden="1" x14ac:dyDescent="0.25">
      <c r="A517" s="389" t="s">
        <v>5880</v>
      </c>
      <c r="B517" s="394" t="s">
        <v>5881</v>
      </c>
      <c r="C517" s="389" t="s">
        <v>5044</v>
      </c>
      <c r="D517" s="389">
        <v>11</v>
      </c>
      <c r="E517" s="389" t="s">
        <v>4927</v>
      </c>
      <c r="F517" s="390">
        <v>457.35</v>
      </c>
      <c r="G517" s="390">
        <v>5030.8500000000004</v>
      </c>
      <c r="H517" s="389">
        <v>0</v>
      </c>
      <c r="I517" s="389">
        <v>99.63</v>
      </c>
      <c r="J517" s="389">
        <v>0</v>
      </c>
      <c r="K517" s="389">
        <v>54.8</v>
      </c>
    </row>
    <row r="518" spans="1:11" ht="45" hidden="1" x14ac:dyDescent="0.25">
      <c r="A518" s="389" t="s">
        <v>5882</v>
      </c>
      <c r="B518" s="394" t="s">
        <v>5883</v>
      </c>
      <c r="C518" s="389" t="s">
        <v>5164</v>
      </c>
      <c r="D518" s="389">
        <v>3</v>
      </c>
      <c r="E518" s="389" t="s">
        <v>4927</v>
      </c>
      <c r="F518" s="390">
        <v>1672.18</v>
      </c>
      <c r="G518" s="390">
        <v>5016.54</v>
      </c>
      <c r="H518" s="389">
        <v>0</v>
      </c>
      <c r="I518" s="389">
        <v>99.63</v>
      </c>
      <c r="J518" s="389">
        <v>0</v>
      </c>
      <c r="K518" s="389">
        <v>54.8</v>
      </c>
    </row>
    <row r="519" spans="1:11" ht="30" hidden="1" x14ac:dyDescent="0.25">
      <c r="A519" s="389" t="s">
        <v>5884</v>
      </c>
      <c r="B519" s="394" t="s">
        <v>5514</v>
      </c>
      <c r="C519" s="389" t="s">
        <v>5044</v>
      </c>
      <c r="D519" s="389">
        <v>8</v>
      </c>
      <c r="E519" s="389" t="s">
        <v>4927</v>
      </c>
      <c r="F519" s="390">
        <v>627.04</v>
      </c>
      <c r="G519" s="390">
        <v>5016.32</v>
      </c>
      <c r="H519" s="389">
        <v>0</v>
      </c>
      <c r="I519" s="389">
        <v>99.63</v>
      </c>
      <c r="J519" s="389">
        <v>0</v>
      </c>
      <c r="K519" s="389">
        <v>54.8</v>
      </c>
    </row>
    <row r="520" spans="1:11" hidden="1" x14ac:dyDescent="0.25">
      <c r="A520" s="389" t="s">
        <v>5885</v>
      </c>
      <c r="B520" s="394" t="s">
        <v>5886</v>
      </c>
      <c r="C520" s="389" t="s">
        <v>4986</v>
      </c>
      <c r="D520" s="389">
        <v>4</v>
      </c>
      <c r="E520" s="389" t="s">
        <v>4927</v>
      </c>
      <c r="F520" s="390">
        <v>1247.83</v>
      </c>
      <c r="G520" s="390">
        <v>4991.32</v>
      </c>
      <c r="H520" s="389">
        <v>0</v>
      </c>
      <c r="I520" s="389">
        <v>99.63</v>
      </c>
      <c r="J520" s="389">
        <v>0</v>
      </c>
      <c r="K520" s="389">
        <v>54.8</v>
      </c>
    </row>
    <row r="521" spans="1:11" hidden="1" x14ac:dyDescent="0.25">
      <c r="A521" s="389" t="s">
        <v>5887</v>
      </c>
      <c r="B521" s="394" t="s">
        <v>5888</v>
      </c>
      <c r="C521" s="389" t="s">
        <v>4986</v>
      </c>
      <c r="D521" s="389">
        <v>45</v>
      </c>
      <c r="E521" s="389" t="s">
        <v>4927</v>
      </c>
      <c r="F521" s="390">
        <v>110.62</v>
      </c>
      <c r="G521" s="390">
        <v>4977.8999999999996</v>
      </c>
      <c r="H521" s="389">
        <v>0</v>
      </c>
      <c r="I521" s="389">
        <v>99.63</v>
      </c>
      <c r="J521" s="389">
        <v>0</v>
      </c>
      <c r="K521" s="389">
        <v>54.8</v>
      </c>
    </row>
    <row r="522" spans="1:11" hidden="1" x14ac:dyDescent="0.25">
      <c r="A522" s="389" t="s">
        <v>5889</v>
      </c>
      <c r="B522" s="394" t="s">
        <v>5890</v>
      </c>
      <c r="C522" s="389" t="s">
        <v>4979</v>
      </c>
      <c r="D522" s="389">
        <v>270</v>
      </c>
      <c r="E522" s="389" t="s">
        <v>4927</v>
      </c>
      <c r="F522" s="390">
        <v>18.14</v>
      </c>
      <c r="G522" s="390">
        <v>4897.8</v>
      </c>
      <c r="H522" s="389">
        <v>0</v>
      </c>
      <c r="I522" s="389">
        <v>99.63</v>
      </c>
      <c r="J522" s="389">
        <v>0</v>
      </c>
      <c r="K522" s="389">
        <v>54.8</v>
      </c>
    </row>
    <row r="523" spans="1:11" hidden="1" x14ac:dyDescent="0.25">
      <c r="A523" s="389" t="s">
        <v>5891</v>
      </c>
      <c r="B523" s="394" t="s">
        <v>5892</v>
      </c>
      <c r="C523" s="389" t="s">
        <v>4934</v>
      </c>
      <c r="D523" s="389">
        <v>21.78</v>
      </c>
      <c r="E523" s="389" t="s">
        <v>4927</v>
      </c>
      <c r="F523" s="390">
        <v>217.76</v>
      </c>
      <c r="G523" s="390">
        <v>4742.8100000000004</v>
      </c>
      <c r="H523" s="389">
        <v>0</v>
      </c>
      <c r="I523" s="389">
        <v>99.63</v>
      </c>
      <c r="J523" s="389">
        <v>0</v>
      </c>
      <c r="K523" s="389">
        <v>54.8</v>
      </c>
    </row>
    <row r="524" spans="1:11" hidden="1" x14ac:dyDescent="0.25">
      <c r="A524" s="389" t="s">
        <v>5893</v>
      </c>
      <c r="B524" s="394" t="s">
        <v>5894</v>
      </c>
      <c r="C524" s="389" t="s">
        <v>4979</v>
      </c>
      <c r="D524" s="389">
        <v>251.02</v>
      </c>
      <c r="E524" s="389" t="s">
        <v>4927</v>
      </c>
      <c r="F524" s="390">
        <v>18.12</v>
      </c>
      <c r="G524" s="390">
        <v>4548.4799999999996</v>
      </c>
      <c r="H524" s="389">
        <v>0</v>
      </c>
      <c r="I524" s="389">
        <v>99.63</v>
      </c>
      <c r="J524" s="389">
        <v>0</v>
      </c>
      <c r="K524" s="389">
        <v>54.8</v>
      </c>
    </row>
    <row r="525" spans="1:11" hidden="1" x14ac:dyDescent="0.25">
      <c r="A525" s="389" t="s">
        <v>5895</v>
      </c>
      <c r="B525" s="394" t="s">
        <v>5896</v>
      </c>
      <c r="C525" s="389" t="s">
        <v>4956</v>
      </c>
      <c r="D525" s="389">
        <v>1</v>
      </c>
      <c r="E525" s="389" t="s">
        <v>4927</v>
      </c>
      <c r="F525" s="390">
        <v>4532.25</v>
      </c>
      <c r="G525" s="390">
        <v>4532.25</v>
      </c>
      <c r="H525" s="389">
        <v>0</v>
      </c>
      <c r="I525" s="389">
        <v>99.63</v>
      </c>
      <c r="J525" s="389">
        <v>0</v>
      </c>
      <c r="K525" s="389">
        <v>54.8</v>
      </c>
    </row>
    <row r="526" spans="1:11" hidden="1" x14ac:dyDescent="0.25">
      <c r="A526" s="389" t="s">
        <v>5897</v>
      </c>
      <c r="B526" s="394" t="s">
        <v>5898</v>
      </c>
      <c r="C526" s="389" t="s">
        <v>4979</v>
      </c>
      <c r="D526" s="389">
        <v>750</v>
      </c>
      <c r="E526" s="389" t="s">
        <v>4927</v>
      </c>
      <c r="F526" s="390">
        <v>6.04</v>
      </c>
      <c r="G526" s="390">
        <v>4530</v>
      </c>
      <c r="H526" s="389">
        <v>0</v>
      </c>
      <c r="I526" s="389">
        <v>99.63</v>
      </c>
      <c r="J526" s="389">
        <v>0</v>
      </c>
      <c r="K526" s="389">
        <v>54.8</v>
      </c>
    </row>
    <row r="527" spans="1:11" hidden="1" x14ac:dyDescent="0.25">
      <c r="A527" s="389" t="s">
        <v>5899</v>
      </c>
      <c r="B527" s="394" t="s">
        <v>5900</v>
      </c>
      <c r="C527" s="389" t="s">
        <v>4956</v>
      </c>
      <c r="D527" s="389">
        <v>1</v>
      </c>
      <c r="E527" s="389" t="s">
        <v>4927</v>
      </c>
      <c r="F527" s="390">
        <v>4426.04</v>
      </c>
      <c r="G527" s="390">
        <v>4426.04</v>
      </c>
      <c r="H527" s="389">
        <v>0</v>
      </c>
      <c r="I527" s="389">
        <v>99.63</v>
      </c>
      <c r="J527" s="389">
        <v>0</v>
      </c>
      <c r="K527" s="389">
        <v>54.8</v>
      </c>
    </row>
    <row r="528" spans="1:11" ht="30" hidden="1" x14ac:dyDescent="0.25">
      <c r="A528" s="389" t="s">
        <v>5901</v>
      </c>
      <c r="B528" s="394" t="s">
        <v>5796</v>
      </c>
      <c r="C528" s="389" t="s">
        <v>5044</v>
      </c>
      <c r="D528" s="389">
        <v>7</v>
      </c>
      <c r="E528" s="389" t="s">
        <v>4927</v>
      </c>
      <c r="F528" s="390">
        <v>627.04</v>
      </c>
      <c r="G528" s="390">
        <v>4389.28</v>
      </c>
      <c r="H528" s="389">
        <v>0</v>
      </c>
      <c r="I528" s="389">
        <v>99.63</v>
      </c>
      <c r="J528" s="389">
        <v>0</v>
      </c>
      <c r="K528" s="389">
        <v>54.8</v>
      </c>
    </row>
    <row r="529" spans="1:11" hidden="1" x14ac:dyDescent="0.25">
      <c r="A529" s="389" t="s">
        <v>5902</v>
      </c>
      <c r="B529" s="394" t="s">
        <v>5903</v>
      </c>
      <c r="C529" s="389" t="s">
        <v>4972</v>
      </c>
      <c r="D529" s="389">
        <v>161.4</v>
      </c>
      <c r="E529" s="389" t="s">
        <v>4927</v>
      </c>
      <c r="F529" s="390">
        <v>27</v>
      </c>
      <c r="G529" s="390">
        <v>4357.8</v>
      </c>
      <c r="H529" s="389">
        <v>0</v>
      </c>
      <c r="I529" s="389">
        <v>99.63</v>
      </c>
      <c r="J529" s="389">
        <v>0</v>
      </c>
      <c r="K529" s="389">
        <v>54.8</v>
      </c>
    </row>
    <row r="530" spans="1:11" hidden="1" x14ac:dyDescent="0.25">
      <c r="A530" s="389" t="s">
        <v>5904</v>
      </c>
      <c r="B530" s="394" t="s">
        <v>5905</v>
      </c>
      <c r="C530" s="389" t="s">
        <v>4956</v>
      </c>
      <c r="D530" s="389">
        <v>33</v>
      </c>
      <c r="E530" s="389" t="s">
        <v>4927</v>
      </c>
      <c r="F530" s="390">
        <v>130.74</v>
      </c>
      <c r="G530" s="390">
        <v>4314.42</v>
      </c>
      <c r="H530" s="389">
        <v>0</v>
      </c>
      <c r="I530" s="389">
        <v>99.63</v>
      </c>
      <c r="J530" s="389">
        <v>0</v>
      </c>
      <c r="K530" s="389">
        <v>54.8</v>
      </c>
    </row>
    <row r="531" spans="1:11" hidden="1" x14ac:dyDescent="0.25">
      <c r="A531" s="389" t="s">
        <v>5906</v>
      </c>
      <c r="B531" s="394" t="s">
        <v>5907</v>
      </c>
      <c r="C531" s="389" t="s">
        <v>4972</v>
      </c>
      <c r="D531" s="389">
        <v>18.100000000000001</v>
      </c>
      <c r="E531" s="389" t="s">
        <v>4927</v>
      </c>
      <c r="F531" s="390">
        <v>236.91</v>
      </c>
      <c r="G531" s="390">
        <v>4288.07</v>
      </c>
      <c r="H531" s="389">
        <v>0</v>
      </c>
      <c r="I531" s="389">
        <v>99.63</v>
      </c>
      <c r="J531" s="389">
        <v>0</v>
      </c>
      <c r="K531" s="389">
        <v>54.8</v>
      </c>
    </row>
    <row r="532" spans="1:11" hidden="1" x14ac:dyDescent="0.25">
      <c r="A532" s="389" t="s">
        <v>5908</v>
      </c>
      <c r="B532" s="394" t="s">
        <v>5687</v>
      </c>
      <c r="C532" s="389" t="s">
        <v>5044</v>
      </c>
      <c r="D532" s="389">
        <v>2</v>
      </c>
      <c r="E532" s="389" t="s">
        <v>4927</v>
      </c>
      <c r="F532" s="390">
        <v>2117.69</v>
      </c>
      <c r="G532" s="390">
        <v>4235.38</v>
      </c>
      <c r="H532" s="389">
        <v>0</v>
      </c>
      <c r="I532" s="389">
        <v>99.63</v>
      </c>
      <c r="J532" s="389">
        <v>0</v>
      </c>
      <c r="K532" s="389">
        <v>54.8</v>
      </c>
    </row>
    <row r="533" spans="1:11" hidden="1" x14ac:dyDescent="0.25">
      <c r="A533" s="389" t="s">
        <v>5909</v>
      </c>
      <c r="B533" s="394" t="s">
        <v>5910</v>
      </c>
      <c r="C533" s="389" t="s">
        <v>4972</v>
      </c>
      <c r="D533" s="389">
        <v>15.6</v>
      </c>
      <c r="E533" s="389" t="s">
        <v>4927</v>
      </c>
      <c r="F533" s="390">
        <v>267.62</v>
      </c>
      <c r="G533" s="390">
        <v>4174.87</v>
      </c>
      <c r="H533" s="389">
        <v>0</v>
      </c>
      <c r="I533" s="389">
        <v>99.63</v>
      </c>
      <c r="J533" s="389">
        <v>0</v>
      </c>
      <c r="K533" s="389">
        <v>54.8</v>
      </c>
    </row>
    <row r="534" spans="1:11" hidden="1" x14ac:dyDescent="0.25">
      <c r="A534" s="389" t="s">
        <v>5911</v>
      </c>
      <c r="B534" s="394" t="s">
        <v>5912</v>
      </c>
      <c r="C534" s="389" t="s">
        <v>4956</v>
      </c>
      <c r="D534" s="389">
        <v>2</v>
      </c>
      <c r="E534" s="389" t="s">
        <v>4927</v>
      </c>
      <c r="F534" s="390">
        <v>2023.02</v>
      </c>
      <c r="G534" s="390">
        <v>4046.04</v>
      </c>
      <c r="H534" s="389">
        <v>0</v>
      </c>
      <c r="I534" s="389">
        <v>99.63</v>
      </c>
      <c r="J534" s="389">
        <v>0</v>
      </c>
      <c r="K534" s="389">
        <v>54.8</v>
      </c>
    </row>
    <row r="535" spans="1:11" ht="30" hidden="1" x14ac:dyDescent="0.25">
      <c r="A535" s="389" t="s">
        <v>5913</v>
      </c>
      <c r="B535" s="394" t="s">
        <v>5914</v>
      </c>
      <c r="C535" s="389" t="s">
        <v>4972</v>
      </c>
      <c r="D535" s="389">
        <v>39.18</v>
      </c>
      <c r="E535" s="389" t="s">
        <v>4927</v>
      </c>
      <c r="F535" s="390">
        <v>102.24</v>
      </c>
      <c r="G535" s="390">
        <v>4005.76</v>
      </c>
      <c r="H535" s="389">
        <v>0</v>
      </c>
      <c r="I535" s="389">
        <v>99.63</v>
      </c>
      <c r="J535" s="389">
        <v>0</v>
      </c>
      <c r="K535" s="389">
        <v>54.8</v>
      </c>
    </row>
    <row r="536" spans="1:11" ht="30" hidden="1" x14ac:dyDescent="0.25">
      <c r="A536" s="389" t="s">
        <v>5915</v>
      </c>
      <c r="B536" s="394" t="s">
        <v>5916</v>
      </c>
      <c r="C536" s="389" t="s">
        <v>5164</v>
      </c>
      <c r="D536" s="389">
        <v>45</v>
      </c>
      <c r="E536" s="389" t="s">
        <v>4927</v>
      </c>
      <c r="F536" s="390">
        <v>88.4</v>
      </c>
      <c r="G536" s="390">
        <v>3978</v>
      </c>
      <c r="H536" s="389">
        <v>0</v>
      </c>
      <c r="I536" s="389">
        <v>99.63</v>
      </c>
      <c r="J536" s="389">
        <v>0</v>
      </c>
      <c r="K536" s="389">
        <v>54.8</v>
      </c>
    </row>
    <row r="537" spans="1:11" hidden="1" x14ac:dyDescent="0.25">
      <c r="A537" s="389" t="s">
        <v>5917</v>
      </c>
      <c r="B537" s="394" t="s">
        <v>5918</v>
      </c>
      <c r="C537" s="389" t="s">
        <v>4986</v>
      </c>
      <c r="D537" s="389">
        <v>3</v>
      </c>
      <c r="E537" s="389" t="s">
        <v>4927</v>
      </c>
      <c r="F537" s="390">
        <v>1317.15</v>
      </c>
      <c r="G537" s="390">
        <v>3951.45</v>
      </c>
      <c r="H537" s="389">
        <v>0</v>
      </c>
      <c r="I537" s="389">
        <v>99.63</v>
      </c>
      <c r="J537" s="389">
        <v>0</v>
      </c>
      <c r="K537" s="389">
        <v>54.8</v>
      </c>
    </row>
    <row r="538" spans="1:11" hidden="1" x14ac:dyDescent="0.25">
      <c r="A538" s="389" t="s">
        <v>5919</v>
      </c>
      <c r="B538" s="394" t="s">
        <v>5920</v>
      </c>
      <c r="C538" s="389" t="s">
        <v>4986</v>
      </c>
      <c r="D538" s="389">
        <v>33</v>
      </c>
      <c r="E538" s="389" t="s">
        <v>4927</v>
      </c>
      <c r="F538" s="390">
        <v>119.51</v>
      </c>
      <c r="G538" s="390">
        <v>3943.83</v>
      </c>
      <c r="H538" s="389">
        <v>0</v>
      </c>
      <c r="I538" s="389">
        <v>99.63</v>
      </c>
      <c r="J538" s="389">
        <v>0</v>
      </c>
      <c r="K538" s="389">
        <v>54.8</v>
      </c>
    </row>
    <row r="539" spans="1:11" ht="30" hidden="1" x14ac:dyDescent="0.25">
      <c r="A539" s="389" t="s">
        <v>5921</v>
      </c>
      <c r="B539" s="394" t="s">
        <v>5922</v>
      </c>
      <c r="C539" s="389" t="s">
        <v>4972</v>
      </c>
      <c r="D539" s="389">
        <v>424.6</v>
      </c>
      <c r="E539" s="389" t="s">
        <v>4927</v>
      </c>
      <c r="F539" s="390">
        <v>9.2100000000000009</v>
      </c>
      <c r="G539" s="390">
        <v>3910.57</v>
      </c>
      <c r="H539" s="389">
        <v>0</v>
      </c>
      <c r="I539" s="389">
        <v>99.63</v>
      </c>
      <c r="J539" s="389">
        <v>0</v>
      </c>
      <c r="K539" s="389">
        <v>54.8</v>
      </c>
    </row>
    <row r="540" spans="1:11" hidden="1" x14ac:dyDescent="0.25">
      <c r="A540" s="389" t="s">
        <v>5923</v>
      </c>
      <c r="B540" s="394" t="s">
        <v>5924</v>
      </c>
      <c r="C540" s="389" t="s">
        <v>5164</v>
      </c>
      <c r="D540" s="389">
        <v>786</v>
      </c>
      <c r="E540" s="389" t="s">
        <v>4927</v>
      </c>
      <c r="F540" s="390">
        <v>4.83</v>
      </c>
      <c r="G540" s="390">
        <v>3796.38</v>
      </c>
      <c r="H540" s="389">
        <v>0</v>
      </c>
      <c r="I540" s="389">
        <v>99.63</v>
      </c>
      <c r="J540" s="389">
        <v>0</v>
      </c>
      <c r="K540" s="389">
        <v>54.8</v>
      </c>
    </row>
    <row r="541" spans="1:11" hidden="1" x14ac:dyDescent="0.25">
      <c r="A541" s="389" t="s">
        <v>5925</v>
      </c>
      <c r="B541" s="394" t="s">
        <v>5926</v>
      </c>
      <c r="C541" s="389" t="s">
        <v>4972</v>
      </c>
      <c r="D541" s="389">
        <v>49.4</v>
      </c>
      <c r="E541" s="389" t="s">
        <v>4927</v>
      </c>
      <c r="F541" s="390">
        <v>76.760000000000005</v>
      </c>
      <c r="G541" s="390">
        <v>3791.94</v>
      </c>
      <c r="H541" s="389">
        <v>0</v>
      </c>
      <c r="I541" s="389">
        <v>99.63</v>
      </c>
      <c r="J541" s="389">
        <v>0</v>
      </c>
      <c r="K541" s="389">
        <v>54.8</v>
      </c>
    </row>
    <row r="542" spans="1:11" ht="30" hidden="1" x14ac:dyDescent="0.25">
      <c r="A542" s="389" t="s">
        <v>5927</v>
      </c>
      <c r="B542" s="394" t="s">
        <v>5084</v>
      </c>
      <c r="C542" s="389" t="s">
        <v>4979</v>
      </c>
      <c r="D542" s="389">
        <v>10</v>
      </c>
      <c r="E542" s="389" t="s">
        <v>4927</v>
      </c>
      <c r="F542" s="390">
        <v>368.46</v>
      </c>
      <c r="G542" s="390">
        <v>3684.6</v>
      </c>
      <c r="H542" s="389">
        <v>0</v>
      </c>
      <c r="I542" s="389">
        <v>99.63</v>
      </c>
      <c r="J542" s="389">
        <v>0</v>
      </c>
      <c r="K542" s="389">
        <v>54.8</v>
      </c>
    </row>
    <row r="543" spans="1:11" ht="30" hidden="1" x14ac:dyDescent="0.25">
      <c r="A543" s="389" t="s">
        <v>5928</v>
      </c>
      <c r="B543" s="394" t="s">
        <v>5929</v>
      </c>
      <c r="C543" s="389" t="s">
        <v>4979</v>
      </c>
      <c r="D543" s="389">
        <v>900</v>
      </c>
      <c r="E543" s="389" t="s">
        <v>4927</v>
      </c>
      <c r="F543" s="390">
        <v>4.04</v>
      </c>
      <c r="G543" s="390">
        <v>3636</v>
      </c>
      <c r="H543" s="389">
        <v>0</v>
      </c>
      <c r="I543" s="389">
        <v>99.63</v>
      </c>
      <c r="J543" s="389">
        <v>0</v>
      </c>
      <c r="K543" s="389">
        <v>54.8</v>
      </c>
    </row>
    <row r="544" spans="1:11" hidden="1" x14ac:dyDescent="0.25">
      <c r="A544" s="389" t="s">
        <v>5930</v>
      </c>
      <c r="B544" s="394" t="s">
        <v>5931</v>
      </c>
      <c r="C544" s="389" t="s">
        <v>4979</v>
      </c>
      <c r="D544" s="389">
        <v>162.88999999999999</v>
      </c>
      <c r="E544" s="389" t="s">
        <v>4927</v>
      </c>
      <c r="F544" s="390">
        <v>22.21</v>
      </c>
      <c r="G544" s="390">
        <v>3617.79</v>
      </c>
      <c r="H544" s="389">
        <v>0</v>
      </c>
      <c r="I544" s="389">
        <v>99.63</v>
      </c>
      <c r="J544" s="389">
        <v>0</v>
      </c>
      <c r="K544" s="389">
        <v>54.8</v>
      </c>
    </row>
    <row r="545" spans="1:11" ht="30" hidden="1" x14ac:dyDescent="0.25">
      <c r="A545" s="389" t="s">
        <v>5932</v>
      </c>
      <c r="B545" s="394" t="s">
        <v>5933</v>
      </c>
      <c r="C545" s="389" t="s">
        <v>5044</v>
      </c>
      <c r="D545" s="389">
        <v>7</v>
      </c>
      <c r="E545" s="389" t="s">
        <v>4927</v>
      </c>
      <c r="F545" s="390">
        <v>506.65</v>
      </c>
      <c r="G545" s="390">
        <v>3546.55</v>
      </c>
      <c r="H545" s="389">
        <v>0</v>
      </c>
      <c r="I545" s="389">
        <v>99.63</v>
      </c>
      <c r="J545" s="389">
        <v>0</v>
      </c>
      <c r="K545" s="389">
        <v>54.8</v>
      </c>
    </row>
    <row r="546" spans="1:11" hidden="1" x14ac:dyDescent="0.25">
      <c r="A546" s="389" t="s">
        <v>5934</v>
      </c>
      <c r="B546" s="394" t="s">
        <v>5935</v>
      </c>
      <c r="C546" s="389" t="s">
        <v>4986</v>
      </c>
      <c r="D546" s="389">
        <v>13</v>
      </c>
      <c r="E546" s="389" t="s">
        <v>4927</v>
      </c>
      <c r="F546" s="390">
        <v>272.75</v>
      </c>
      <c r="G546" s="390">
        <v>3545.75</v>
      </c>
      <c r="H546" s="389">
        <v>0</v>
      </c>
      <c r="I546" s="389">
        <v>99.63</v>
      </c>
      <c r="J546" s="389">
        <v>0</v>
      </c>
      <c r="K546" s="389">
        <v>54.8</v>
      </c>
    </row>
    <row r="547" spans="1:11" ht="30" hidden="1" x14ac:dyDescent="0.25">
      <c r="A547" s="389" t="s">
        <v>5936</v>
      </c>
      <c r="B547" s="394" t="s">
        <v>5937</v>
      </c>
      <c r="C547" s="389" t="s">
        <v>4979</v>
      </c>
      <c r="D547" s="391">
        <v>1440</v>
      </c>
      <c r="E547" s="389" t="s">
        <v>4927</v>
      </c>
      <c r="F547" s="390">
        <v>2.41</v>
      </c>
      <c r="G547" s="390">
        <v>3470.4</v>
      </c>
      <c r="H547" s="389">
        <v>0</v>
      </c>
      <c r="I547" s="389">
        <v>99.63</v>
      </c>
      <c r="J547" s="389">
        <v>0</v>
      </c>
      <c r="K547" s="389">
        <v>54.8</v>
      </c>
    </row>
    <row r="548" spans="1:11" ht="30" hidden="1" x14ac:dyDescent="0.25">
      <c r="A548" s="389" t="s">
        <v>5938</v>
      </c>
      <c r="B548" s="394" t="s">
        <v>5939</v>
      </c>
      <c r="C548" s="389" t="s">
        <v>4979</v>
      </c>
      <c r="D548" s="389">
        <v>15</v>
      </c>
      <c r="E548" s="389" t="s">
        <v>4927</v>
      </c>
      <c r="F548" s="390">
        <v>228.95</v>
      </c>
      <c r="G548" s="390">
        <v>3434.25</v>
      </c>
      <c r="H548" s="389">
        <v>0</v>
      </c>
      <c r="I548" s="389">
        <v>99.63</v>
      </c>
      <c r="J548" s="389">
        <v>0</v>
      </c>
      <c r="K548" s="389">
        <v>54.8</v>
      </c>
    </row>
    <row r="549" spans="1:11" hidden="1" x14ac:dyDescent="0.25">
      <c r="A549" s="389" t="s">
        <v>5940</v>
      </c>
      <c r="B549" s="394" t="s">
        <v>5941</v>
      </c>
      <c r="C549" s="389" t="s">
        <v>4956</v>
      </c>
      <c r="D549" s="389">
        <v>28</v>
      </c>
      <c r="E549" s="389" t="s">
        <v>4927</v>
      </c>
      <c r="F549" s="390">
        <v>122.26</v>
      </c>
      <c r="G549" s="390">
        <v>3423.28</v>
      </c>
      <c r="H549" s="389">
        <v>0</v>
      </c>
      <c r="I549" s="389">
        <v>99.63</v>
      </c>
      <c r="J549" s="389">
        <v>0</v>
      </c>
      <c r="K549" s="389">
        <v>54.8</v>
      </c>
    </row>
    <row r="550" spans="1:11" ht="30" hidden="1" x14ac:dyDescent="0.25">
      <c r="A550" s="389" t="s">
        <v>5942</v>
      </c>
      <c r="B550" s="394" t="s">
        <v>5943</v>
      </c>
      <c r="C550" s="389" t="s">
        <v>5164</v>
      </c>
      <c r="D550" s="389">
        <v>43</v>
      </c>
      <c r="E550" s="389" t="s">
        <v>4927</v>
      </c>
      <c r="F550" s="390">
        <v>79.42</v>
      </c>
      <c r="G550" s="390">
        <v>3415.06</v>
      </c>
      <c r="H550" s="389">
        <v>0</v>
      </c>
      <c r="I550" s="389">
        <v>99.63</v>
      </c>
      <c r="J550" s="389">
        <v>0</v>
      </c>
      <c r="K550" s="389">
        <v>54.8</v>
      </c>
    </row>
    <row r="551" spans="1:11" hidden="1" x14ac:dyDescent="0.25">
      <c r="A551" s="389" t="s">
        <v>5944</v>
      </c>
      <c r="B551" s="394" t="s">
        <v>5945</v>
      </c>
      <c r="C551" s="389" t="s">
        <v>4956</v>
      </c>
      <c r="D551" s="389">
        <v>33</v>
      </c>
      <c r="E551" s="389" t="s">
        <v>4927</v>
      </c>
      <c r="F551" s="390">
        <v>103.21</v>
      </c>
      <c r="G551" s="390">
        <v>3405.93</v>
      </c>
      <c r="H551" s="389">
        <v>0</v>
      </c>
      <c r="I551" s="389">
        <v>99.63</v>
      </c>
      <c r="J551" s="389">
        <v>0</v>
      </c>
      <c r="K551" s="389">
        <v>54.8</v>
      </c>
    </row>
    <row r="552" spans="1:11" hidden="1" x14ac:dyDescent="0.25">
      <c r="A552" s="389" t="s">
        <v>5946</v>
      </c>
      <c r="B552" s="394" t="s">
        <v>5762</v>
      </c>
      <c r="C552" s="389" t="s">
        <v>4979</v>
      </c>
      <c r="D552" s="391">
        <v>1600</v>
      </c>
      <c r="E552" s="389" t="s">
        <v>4927</v>
      </c>
      <c r="F552" s="390">
        <v>2.1</v>
      </c>
      <c r="G552" s="390">
        <v>3360</v>
      </c>
      <c r="H552" s="389">
        <v>0</v>
      </c>
      <c r="I552" s="389">
        <v>99.63</v>
      </c>
      <c r="J552" s="389">
        <v>0</v>
      </c>
      <c r="K552" s="389">
        <v>54.8</v>
      </c>
    </row>
    <row r="553" spans="1:11" hidden="1" x14ac:dyDescent="0.25">
      <c r="A553" s="389" t="s">
        <v>5947</v>
      </c>
      <c r="B553" s="394" t="s">
        <v>5948</v>
      </c>
      <c r="C553" s="389" t="s">
        <v>4972</v>
      </c>
      <c r="D553" s="389">
        <v>178.6</v>
      </c>
      <c r="E553" s="389" t="s">
        <v>4927</v>
      </c>
      <c r="F553" s="390">
        <v>18.68</v>
      </c>
      <c r="G553" s="390">
        <v>3336.25</v>
      </c>
      <c r="H553" s="389">
        <v>0</v>
      </c>
      <c r="I553" s="389">
        <v>99.63</v>
      </c>
      <c r="J553" s="389">
        <v>0</v>
      </c>
      <c r="K553" s="389">
        <v>54.8</v>
      </c>
    </row>
    <row r="554" spans="1:11" hidden="1" x14ac:dyDescent="0.25">
      <c r="A554" s="389" t="s">
        <v>5949</v>
      </c>
      <c r="B554" s="394" t="s">
        <v>5740</v>
      </c>
      <c r="C554" s="389" t="s">
        <v>4956</v>
      </c>
      <c r="D554" s="389">
        <v>12</v>
      </c>
      <c r="E554" s="389" t="s">
        <v>4927</v>
      </c>
      <c r="F554" s="390">
        <v>275.10000000000002</v>
      </c>
      <c r="G554" s="390">
        <v>3301.2</v>
      </c>
      <c r="H554" s="389">
        <v>0</v>
      </c>
      <c r="I554" s="389">
        <v>99.63</v>
      </c>
      <c r="J554" s="389">
        <v>0</v>
      </c>
      <c r="K554" s="389">
        <v>54.8</v>
      </c>
    </row>
    <row r="555" spans="1:11" hidden="1" x14ac:dyDescent="0.25">
      <c r="A555" s="389" t="s">
        <v>5950</v>
      </c>
      <c r="B555" s="394" t="s">
        <v>5951</v>
      </c>
      <c r="C555" s="389" t="s">
        <v>4972</v>
      </c>
      <c r="D555" s="389">
        <v>195</v>
      </c>
      <c r="E555" s="389" t="s">
        <v>4927</v>
      </c>
      <c r="F555" s="390">
        <v>16.77</v>
      </c>
      <c r="G555" s="390">
        <v>3270.15</v>
      </c>
      <c r="H555" s="389">
        <v>0</v>
      </c>
      <c r="I555" s="389">
        <v>99.63</v>
      </c>
      <c r="J555" s="389">
        <v>0</v>
      </c>
      <c r="K555" s="389">
        <v>54.8</v>
      </c>
    </row>
    <row r="556" spans="1:11" hidden="1" x14ac:dyDescent="0.25">
      <c r="A556" s="389" t="s">
        <v>5952</v>
      </c>
      <c r="B556" s="394" t="s">
        <v>5888</v>
      </c>
      <c r="C556" s="389" t="s">
        <v>4986</v>
      </c>
      <c r="D556" s="389">
        <v>30</v>
      </c>
      <c r="E556" s="389" t="s">
        <v>4927</v>
      </c>
      <c r="F556" s="390">
        <v>108.61</v>
      </c>
      <c r="G556" s="390">
        <v>3258.3</v>
      </c>
      <c r="H556" s="389">
        <v>0</v>
      </c>
      <c r="I556" s="389">
        <v>99.63</v>
      </c>
      <c r="J556" s="389">
        <v>0</v>
      </c>
      <c r="K556" s="389">
        <v>54.8</v>
      </c>
    </row>
    <row r="557" spans="1:11" hidden="1" x14ac:dyDescent="0.25">
      <c r="A557" s="389" t="s">
        <v>5953</v>
      </c>
      <c r="B557" s="394" t="s">
        <v>5954</v>
      </c>
      <c r="C557" s="389" t="s">
        <v>4979</v>
      </c>
      <c r="D557" s="391">
        <v>1080</v>
      </c>
      <c r="E557" s="389" t="s">
        <v>4927</v>
      </c>
      <c r="F557" s="390">
        <v>3.01</v>
      </c>
      <c r="G557" s="390">
        <v>3250.8</v>
      </c>
      <c r="H557" s="389">
        <v>0</v>
      </c>
      <c r="I557" s="389">
        <v>99.63</v>
      </c>
      <c r="J557" s="389">
        <v>0</v>
      </c>
      <c r="K557" s="389">
        <v>54.8</v>
      </c>
    </row>
    <row r="558" spans="1:11" hidden="1" x14ac:dyDescent="0.25">
      <c r="A558" s="389" t="s">
        <v>5955</v>
      </c>
      <c r="B558" s="394" t="s">
        <v>5956</v>
      </c>
      <c r="C558" s="389" t="s">
        <v>4956</v>
      </c>
      <c r="D558" s="389">
        <v>384</v>
      </c>
      <c r="E558" s="389" t="s">
        <v>4927</v>
      </c>
      <c r="F558" s="390">
        <v>8.41</v>
      </c>
      <c r="G558" s="390">
        <v>3229.44</v>
      </c>
      <c r="H558" s="389">
        <v>0</v>
      </c>
      <c r="I558" s="389">
        <v>99.63</v>
      </c>
      <c r="J558" s="389">
        <v>0</v>
      </c>
      <c r="K558" s="389">
        <v>54.8</v>
      </c>
    </row>
    <row r="559" spans="1:11" hidden="1" x14ac:dyDescent="0.25">
      <c r="A559" s="389" t="s">
        <v>5957</v>
      </c>
      <c r="B559" s="394" t="s">
        <v>5958</v>
      </c>
      <c r="C559" s="389" t="s">
        <v>4956</v>
      </c>
      <c r="D559" s="389">
        <v>2</v>
      </c>
      <c r="E559" s="389" t="s">
        <v>4927</v>
      </c>
      <c r="F559" s="390">
        <v>1606.12</v>
      </c>
      <c r="G559" s="390">
        <v>3212.24</v>
      </c>
      <c r="H559" s="389">
        <v>0</v>
      </c>
      <c r="I559" s="389">
        <v>99.63</v>
      </c>
      <c r="J559" s="389">
        <v>0</v>
      </c>
      <c r="K559" s="389">
        <v>54.8</v>
      </c>
    </row>
    <row r="560" spans="1:11" hidden="1" x14ac:dyDescent="0.25">
      <c r="A560" s="389" t="s">
        <v>5959</v>
      </c>
      <c r="B560" s="394" t="s">
        <v>5960</v>
      </c>
      <c r="C560" s="389" t="s">
        <v>4956</v>
      </c>
      <c r="D560" s="389">
        <v>26</v>
      </c>
      <c r="E560" s="389" t="s">
        <v>4927</v>
      </c>
      <c r="F560" s="390">
        <v>121.36</v>
      </c>
      <c r="G560" s="390">
        <v>3155.36</v>
      </c>
      <c r="H560" s="389">
        <v>0</v>
      </c>
      <c r="I560" s="389">
        <v>99.63</v>
      </c>
      <c r="J560" s="389">
        <v>0</v>
      </c>
      <c r="K560" s="389">
        <v>54.8</v>
      </c>
    </row>
    <row r="561" spans="1:11" hidden="1" x14ac:dyDescent="0.25">
      <c r="A561" s="389" t="s">
        <v>5961</v>
      </c>
      <c r="B561" s="394" t="s">
        <v>5829</v>
      </c>
      <c r="C561" s="389" t="s">
        <v>5044</v>
      </c>
      <c r="D561" s="389">
        <v>7</v>
      </c>
      <c r="E561" s="389" t="s">
        <v>4927</v>
      </c>
      <c r="F561" s="390">
        <v>447.28</v>
      </c>
      <c r="G561" s="390">
        <v>3130.96</v>
      </c>
      <c r="H561" s="389">
        <v>0</v>
      </c>
      <c r="I561" s="389">
        <v>99.63</v>
      </c>
      <c r="J561" s="389">
        <v>0</v>
      </c>
      <c r="K561" s="389">
        <v>54.8</v>
      </c>
    </row>
    <row r="562" spans="1:11" hidden="1" x14ac:dyDescent="0.25">
      <c r="A562" s="389" t="s">
        <v>5962</v>
      </c>
      <c r="B562" s="394" t="s">
        <v>5963</v>
      </c>
      <c r="C562" s="389" t="s">
        <v>4986</v>
      </c>
      <c r="D562" s="389">
        <v>30</v>
      </c>
      <c r="E562" s="389" t="s">
        <v>4927</v>
      </c>
      <c r="F562" s="390">
        <v>103.96</v>
      </c>
      <c r="G562" s="390">
        <v>3118.8</v>
      </c>
      <c r="H562" s="389">
        <v>0</v>
      </c>
      <c r="I562" s="389">
        <v>99.63</v>
      </c>
      <c r="J562" s="389">
        <v>0</v>
      </c>
      <c r="K562" s="389">
        <v>54.8</v>
      </c>
    </row>
    <row r="563" spans="1:11" hidden="1" x14ac:dyDescent="0.25">
      <c r="A563" s="389" t="s">
        <v>5964</v>
      </c>
      <c r="B563" s="394" t="s">
        <v>5920</v>
      </c>
      <c r="C563" s="389" t="s">
        <v>4986</v>
      </c>
      <c r="D563" s="389">
        <v>30</v>
      </c>
      <c r="E563" s="389" t="s">
        <v>4927</v>
      </c>
      <c r="F563" s="390">
        <v>100.45</v>
      </c>
      <c r="G563" s="390">
        <v>3013.5</v>
      </c>
      <c r="H563" s="389">
        <v>0</v>
      </c>
      <c r="I563" s="389">
        <v>99.63</v>
      </c>
      <c r="J563" s="389">
        <v>0</v>
      </c>
      <c r="K563" s="389">
        <v>54.8</v>
      </c>
    </row>
    <row r="564" spans="1:11" ht="30" hidden="1" x14ac:dyDescent="0.25">
      <c r="A564" s="389" t="s">
        <v>5965</v>
      </c>
      <c r="B564" s="394" t="s">
        <v>5939</v>
      </c>
      <c r="C564" s="389" t="s">
        <v>4979</v>
      </c>
      <c r="D564" s="389">
        <v>12.9</v>
      </c>
      <c r="E564" s="389" t="s">
        <v>4927</v>
      </c>
      <c r="F564" s="390">
        <v>233.19</v>
      </c>
      <c r="G564" s="390">
        <v>3008.15</v>
      </c>
      <c r="H564" s="389">
        <v>0</v>
      </c>
      <c r="I564" s="389">
        <v>99.63</v>
      </c>
      <c r="J564" s="389">
        <v>0</v>
      </c>
      <c r="K564" s="389">
        <v>54.8</v>
      </c>
    </row>
    <row r="565" spans="1:11" hidden="1" x14ac:dyDescent="0.25">
      <c r="A565" s="389" t="s">
        <v>5966</v>
      </c>
      <c r="B565" s="394" t="s">
        <v>5967</v>
      </c>
      <c r="C565" s="389" t="s">
        <v>4956</v>
      </c>
      <c r="D565" s="389">
        <v>23</v>
      </c>
      <c r="E565" s="389" t="s">
        <v>4927</v>
      </c>
      <c r="F565" s="390">
        <v>130.62</v>
      </c>
      <c r="G565" s="390">
        <v>3004.26</v>
      </c>
      <c r="H565" s="389">
        <v>0</v>
      </c>
      <c r="I565" s="389">
        <v>99.63</v>
      </c>
      <c r="J565" s="389">
        <v>0</v>
      </c>
      <c r="K565" s="389">
        <v>54.8</v>
      </c>
    </row>
    <row r="566" spans="1:11" hidden="1" x14ac:dyDescent="0.25">
      <c r="A566" s="389" t="s">
        <v>5968</v>
      </c>
      <c r="B566" s="394" t="s">
        <v>5969</v>
      </c>
      <c r="C566" s="389" t="s">
        <v>4956</v>
      </c>
      <c r="D566" s="389">
        <v>17</v>
      </c>
      <c r="E566" s="389" t="s">
        <v>4927</v>
      </c>
      <c r="F566" s="390">
        <v>173.44</v>
      </c>
      <c r="G566" s="390">
        <v>2948.48</v>
      </c>
      <c r="H566" s="389">
        <v>0</v>
      </c>
      <c r="I566" s="389">
        <v>99.63</v>
      </c>
      <c r="J566" s="389">
        <v>0</v>
      </c>
      <c r="K566" s="389">
        <v>54.8</v>
      </c>
    </row>
    <row r="567" spans="1:11" hidden="1" x14ac:dyDescent="0.25">
      <c r="A567" s="389" t="s">
        <v>508</v>
      </c>
      <c r="B567" s="394" t="s">
        <v>5970</v>
      </c>
      <c r="C567" s="389" t="s">
        <v>4934</v>
      </c>
      <c r="D567" s="389">
        <v>584.77632000000006</v>
      </c>
      <c r="E567" s="389" t="s">
        <v>4927</v>
      </c>
      <c r="F567" s="390">
        <v>5</v>
      </c>
      <c r="G567" s="390">
        <v>2923.88</v>
      </c>
      <c r="H567" s="389">
        <v>0</v>
      </c>
      <c r="I567" s="389">
        <v>99.63</v>
      </c>
      <c r="J567" s="389">
        <v>0</v>
      </c>
      <c r="K567" s="389">
        <v>54.8</v>
      </c>
    </row>
    <row r="568" spans="1:11" hidden="1" x14ac:dyDescent="0.25">
      <c r="A568" s="389" t="s">
        <v>5971</v>
      </c>
      <c r="B568" s="394" t="s">
        <v>5972</v>
      </c>
      <c r="C568" s="389" t="s">
        <v>4956</v>
      </c>
      <c r="D568" s="389">
        <v>16</v>
      </c>
      <c r="E568" s="389" t="s">
        <v>4927</v>
      </c>
      <c r="F568" s="390">
        <v>176.85</v>
      </c>
      <c r="G568" s="390">
        <v>2829.6</v>
      </c>
      <c r="H568" s="389">
        <v>0</v>
      </c>
      <c r="I568" s="389">
        <v>99.63</v>
      </c>
      <c r="J568" s="389">
        <v>0</v>
      </c>
      <c r="K568" s="389">
        <v>54.8</v>
      </c>
    </row>
    <row r="569" spans="1:11" ht="30" hidden="1" x14ac:dyDescent="0.25">
      <c r="A569" s="389" t="s">
        <v>5973</v>
      </c>
      <c r="B569" s="394" t="s">
        <v>5974</v>
      </c>
      <c r="C569" s="389" t="s">
        <v>4979</v>
      </c>
      <c r="D569" s="389">
        <v>185</v>
      </c>
      <c r="E569" s="389" t="s">
        <v>4927</v>
      </c>
      <c r="F569" s="390">
        <v>15.11</v>
      </c>
      <c r="G569" s="390">
        <v>2795.35</v>
      </c>
      <c r="H569" s="389">
        <v>0</v>
      </c>
      <c r="I569" s="389">
        <v>99.63</v>
      </c>
      <c r="J569" s="389">
        <v>0</v>
      </c>
      <c r="K569" s="389">
        <v>54.8</v>
      </c>
    </row>
    <row r="570" spans="1:11" hidden="1" x14ac:dyDescent="0.25">
      <c r="A570" s="389" t="s">
        <v>5975</v>
      </c>
      <c r="B570" s="394" t="s">
        <v>5976</v>
      </c>
      <c r="C570" s="389" t="s">
        <v>4956</v>
      </c>
      <c r="D570" s="389">
        <v>5</v>
      </c>
      <c r="E570" s="389" t="s">
        <v>4927</v>
      </c>
      <c r="F570" s="390">
        <v>547.88</v>
      </c>
      <c r="G570" s="390">
        <v>2739.4</v>
      </c>
      <c r="H570" s="389">
        <v>0</v>
      </c>
      <c r="I570" s="389">
        <v>99.63</v>
      </c>
      <c r="J570" s="389">
        <v>0</v>
      </c>
      <c r="K570" s="389">
        <v>54.8</v>
      </c>
    </row>
    <row r="571" spans="1:11" hidden="1" x14ac:dyDescent="0.25">
      <c r="A571" s="389" t="s">
        <v>5977</v>
      </c>
      <c r="B571" s="394" t="s">
        <v>5738</v>
      </c>
      <c r="C571" s="389" t="s">
        <v>4956</v>
      </c>
      <c r="D571" s="389">
        <v>33</v>
      </c>
      <c r="E571" s="389" t="s">
        <v>4927</v>
      </c>
      <c r="F571" s="390">
        <v>81.260000000000005</v>
      </c>
      <c r="G571" s="390">
        <v>2681.58</v>
      </c>
      <c r="H571" s="389">
        <v>0</v>
      </c>
      <c r="I571" s="389">
        <v>99.63</v>
      </c>
      <c r="J571" s="389">
        <v>0</v>
      </c>
      <c r="K571" s="389">
        <v>54.8</v>
      </c>
    </row>
    <row r="572" spans="1:11" ht="45" hidden="1" x14ac:dyDescent="0.25">
      <c r="A572" s="389" t="s">
        <v>5978</v>
      </c>
      <c r="B572" s="394" t="s">
        <v>5979</v>
      </c>
      <c r="C572" s="389" t="s">
        <v>4979</v>
      </c>
      <c r="D572" s="389">
        <v>360</v>
      </c>
      <c r="E572" s="389" t="s">
        <v>4927</v>
      </c>
      <c r="F572" s="390">
        <v>7.25</v>
      </c>
      <c r="G572" s="390">
        <v>2610</v>
      </c>
      <c r="H572" s="389">
        <v>0</v>
      </c>
      <c r="I572" s="389">
        <v>99.63</v>
      </c>
      <c r="J572" s="389">
        <v>0</v>
      </c>
      <c r="K572" s="389">
        <v>54.8</v>
      </c>
    </row>
    <row r="573" spans="1:11" hidden="1" x14ac:dyDescent="0.25">
      <c r="A573" s="389" t="s">
        <v>5980</v>
      </c>
      <c r="B573" s="394" t="s">
        <v>5981</v>
      </c>
      <c r="C573" s="389" t="s">
        <v>4979</v>
      </c>
      <c r="D573" s="389">
        <v>540</v>
      </c>
      <c r="E573" s="389" t="s">
        <v>4927</v>
      </c>
      <c r="F573" s="390">
        <v>4.83</v>
      </c>
      <c r="G573" s="390">
        <v>2608.1999999999998</v>
      </c>
      <c r="H573" s="389">
        <v>0</v>
      </c>
      <c r="I573" s="389">
        <v>99.63</v>
      </c>
      <c r="J573" s="389">
        <v>0</v>
      </c>
      <c r="K573" s="389">
        <v>54.8</v>
      </c>
    </row>
    <row r="574" spans="1:11" hidden="1" x14ac:dyDescent="0.25">
      <c r="A574" s="389" t="s">
        <v>5982</v>
      </c>
      <c r="B574" s="394" t="s">
        <v>5983</v>
      </c>
      <c r="C574" s="389" t="s">
        <v>4972</v>
      </c>
      <c r="D574" s="389">
        <v>11.58</v>
      </c>
      <c r="E574" s="389" t="s">
        <v>4927</v>
      </c>
      <c r="F574" s="390">
        <v>224.67</v>
      </c>
      <c r="G574" s="390">
        <v>2601.6799999999998</v>
      </c>
      <c r="H574" s="389">
        <v>0</v>
      </c>
      <c r="I574" s="389">
        <v>99.63</v>
      </c>
      <c r="J574" s="389">
        <v>0</v>
      </c>
      <c r="K574" s="389">
        <v>54.8</v>
      </c>
    </row>
    <row r="575" spans="1:11" hidden="1" x14ac:dyDescent="0.25">
      <c r="A575" s="389" t="s">
        <v>5984</v>
      </c>
      <c r="B575" s="394" t="s">
        <v>5985</v>
      </c>
      <c r="C575" s="389" t="s">
        <v>4979</v>
      </c>
      <c r="D575" s="389">
        <v>44.1</v>
      </c>
      <c r="E575" s="389" t="s">
        <v>4927</v>
      </c>
      <c r="F575" s="390">
        <v>58.9</v>
      </c>
      <c r="G575" s="390">
        <v>2597.4899999999998</v>
      </c>
      <c r="H575" s="389">
        <v>0</v>
      </c>
      <c r="I575" s="389">
        <v>99.63</v>
      </c>
      <c r="J575" s="389">
        <v>0</v>
      </c>
      <c r="K575" s="389">
        <v>54.8</v>
      </c>
    </row>
    <row r="576" spans="1:11" hidden="1" x14ac:dyDescent="0.25">
      <c r="A576" s="389" t="s">
        <v>5986</v>
      </c>
      <c r="B576" s="394" t="s">
        <v>5987</v>
      </c>
      <c r="C576" s="389" t="s">
        <v>4972</v>
      </c>
      <c r="D576" s="389">
        <v>195</v>
      </c>
      <c r="E576" s="389" t="s">
        <v>4927</v>
      </c>
      <c r="F576" s="390">
        <v>13.05</v>
      </c>
      <c r="G576" s="390">
        <v>2544.75</v>
      </c>
      <c r="H576" s="389">
        <v>0</v>
      </c>
      <c r="I576" s="389">
        <v>99.63</v>
      </c>
      <c r="J576" s="389">
        <v>0</v>
      </c>
      <c r="K576" s="389">
        <v>54.8</v>
      </c>
    </row>
    <row r="577" spans="1:11" ht="30" hidden="1" x14ac:dyDescent="0.25">
      <c r="A577" s="389" t="s">
        <v>5988</v>
      </c>
      <c r="B577" s="394" t="s">
        <v>5989</v>
      </c>
      <c r="C577" s="389" t="s">
        <v>4956</v>
      </c>
      <c r="D577" s="389">
        <v>4</v>
      </c>
      <c r="E577" s="389" t="s">
        <v>4927</v>
      </c>
      <c r="F577" s="390">
        <v>624.98</v>
      </c>
      <c r="G577" s="390">
        <v>2499.92</v>
      </c>
      <c r="H577" s="389">
        <v>0</v>
      </c>
      <c r="I577" s="389">
        <v>99.63</v>
      </c>
      <c r="J577" s="389">
        <v>0</v>
      </c>
      <c r="K577" s="389">
        <v>54.8</v>
      </c>
    </row>
    <row r="578" spans="1:11" hidden="1" x14ac:dyDescent="0.25">
      <c r="A578" s="389" t="s">
        <v>5990</v>
      </c>
      <c r="B578" s="394" t="s">
        <v>5991</v>
      </c>
      <c r="C578" s="389" t="s">
        <v>4979</v>
      </c>
      <c r="D578" s="389">
        <v>240</v>
      </c>
      <c r="E578" s="389" t="s">
        <v>4927</v>
      </c>
      <c r="F578" s="390">
        <v>10.07</v>
      </c>
      <c r="G578" s="390">
        <v>2416.8000000000002</v>
      </c>
      <c r="H578" s="389">
        <v>0</v>
      </c>
      <c r="I578" s="389">
        <v>99.63</v>
      </c>
      <c r="J578" s="389">
        <v>0</v>
      </c>
      <c r="K578" s="389">
        <v>54.8</v>
      </c>
    </row>
    <row r="579" spans="1:11" ht="30" hidden="1" x14ac:dyDescent="0.25">
      <c r="A579" s="389" t="s">
        <v>5992</v>
      </c>
      <c r="B579" s="394" t="s">
        <v>5993</v>
      </c>
      <c r="C579" s="389" t="s">
        <v>4972</v>
      </c>
      <c r="D579" s="389">
        <v>424.6</v>
      </c>
      <c r="E579" s="389" t="s">
        <v>4927</v>
      </c>
      <c r="F579" s="390">
        <v>5.62</v>
      </c>
      <c r="G579" s="390">
        <v>2386.25</v>
      </c>
      <c r="H579" s="389">
        <v>0</v>
      </c>
      <c r="I579" s="389">
        <v>99.63</v>
      </c>
      <c r="J579" s="389">
        <v>0</v>
      </c>
      <c r="K579" s="389">
        <v>54.8</v>
      </c>
    </row>
    <row r="580" spans="1:11" hidden="1" x14ac:dyDescent="0.25">
      <c r="A580" s="389" t="s">
        <v>5994</v>
      </c>
      <c r="B580" s="394" t="s">
        <v>5995</v>
      </c>
      <c r="C580" s="389" t="s">
        <v>4972</v>
      </c>
      <c r="D580" s="389">
        <v>94.5</v>
      </c>
      <c r="E580" s="389" t="s">
        <v>4927</v>
      </c>
      <c r="F580" s="390">
        <v>24.96</v>
      </c>
      <c r="G580" s="390">
        <v>2358.7199999999998</v>
      </c>
      <c r="H580" s="389">
        <v>0</v>
      </c>
      <c r="I580" s="389">
        <v>99.63</v>
      </c>
      <c r="J580" s="389">
        <v>0</v>
      </c>
      <c r="K580" s="389">
        <v>54.8</v>
      </c>
    </row>
    <row r="581" spans="1:11" hidden="1" x14ac:dyDescent="0.25">
      <c r="A581" s="389" t="s">
        <v>5996</v>
      </c>
      <c r="B581" s="394" t="s">
        <v>5997</v>
      </c>
      <c r="C581" s="389" t="s">
        <v>5044</v>
      </c>
      <c r="D581" s="389">
        <v>5</v>
      </c>
      <c r="E581" s="389" t="s">
        <v>4927</v>
      </c>
      <c r="F581" s="390">
        <v>457.35</v>
      </c>
      <c r="G581" s="390">
        <v>2286.75</v>
      </c>
      <c r="H581" s="389">
        <v>0</v>
      </c>
      <c r="I581" s="389">
        <v>99.63</v>
      </c>
      <c r="J581" s="389">
        <v>0</v>
      </c>
      <c r="K581" s="389">
        <v>54.8</v>
      </c>
    </row>
    <row r="582" spans="1:11" hidden="1" x14ac:dyDescent="0.25">
      <c r="A582" s="389" t="s">
        <v>5998</v>
      </c>
      <c r="B582" s="394" t="s">
        <v>5999</v>
      </c>
      <c r="C582" s="389" t="s">
        <v>5044</v>
      </c>
      <c r="D582" s="389">
        <v>5</v>
      </c>
      <c r="E582" s="389" t="s">
        <v>4927</v>
      </c>
      <c r="F582" s="390">
        <v>457.35</v>
      </c>
      <c r="G582" s="390">
        <v>2286.75</v>
      </c>
      <c r="H582" s="389">
        <v>0</v>
      </c>
      <c r="I582" s="389">
        <v>99.63</v>
      </c>
      <c r="J582" s="389">
        <v>0</v>
      </c>
      <c r="K582" s="389">
        <v>54.8</v>
      </c>
    </row>
    <row r="583" spans="1:11" ht="45" hidden="1" x14ac:dyDescent="0.25">
      <c r="A583" s="389" t="s">
        <v>6000</v>
      </c>
      <c r="B583" s="394" t="s">
        <v>5206</v>
      </c>
      <c r="C583" s="389" t="s">
        <v>5044</v>
      </c>
      <c r="D583" s="389">
        <v>74</v>
      </c>
      <c r="E583" s="389" t="s">
        <v>4927</v>
      </c>
      <c r="F583" s="390">
        <v>30.23</v>
      </c>
      <c r="G583" s="390">
        <v>2237.02</v>
      </c>
      <c r="H583" s="389">
        <v>0</v>
      </c>
      <c r="I583" s="389">
        <v>99.63</v>
      </c>
      <c r="J583" s="389">
        <v>0</v>
      </c>
      <c r="K583" s="389">
        <v>54.8</v>
      </c>
    </row>
    <row r="584" spans="1:11" hidden="1" x14ac:dyDescent="0.25">
      <c r="A584" s="389" t="s">
        <v>6001</v>
      </c>
      <c r="B584" s="394" t="s">
        <v>6002</v>
      </c>
      <c r="C584" s="389" t="s">
        <v>4986</v>
      </c>
      <c r="D584" s="389">
        <v>33</v>
      </c>
      <c r="E584" s="389" t="s">
        <v>4927</v>
      </c>
      <c r="F584" s="390">
        <v>66.12</v>
      </c>
      <c r="G584" s="390">
        <v>2181.96</v>
      </c>
      <c r="H584" s="389">
        <v>0</v>
      </c>
      <c r="I584" s="389">
        <v>99.63</v>
      </c>
      <c r="J584" s="389">
        <v>0</v>
      </c>
      <c r="K584" s="389">
        <v>54.8</v>
      </c>
    </row>
    <row r="585" spans="1:11" hidden="1" x14ac:dyDescent="0.25">
      <c r="A585" s="389" t="s">
        <v>6003</v>
      </c>
      <c r="B585" s="394" t="s">
        <v>6004</v>
      </c>
      <c r="C585" s="389" t="s">
        <v>4986</v>
      </c>
      <c r="D585" s="389">
        <v>45</v>
      </c>
      <c r="E585" s="389" t="s">
        <v>4927</v>
      </c>
      <c r="F585" s="390">
        <v>48.32</v>
      </c>
      <c r="G585" s="390">
        <v>2174.4</v>
      </c>
      <c r="H585" s="389">
        <v>0</v>
      </c>
      <c r="I585" s="389">
        <v>99.63</v>
      </c>
      <c r="J585" s="389">
        <v>0</v>
      </c>
      <c r="K585" s="389">
        <v>54.8</v>
      </c>
    </row>
    <row r="586" spans="1:11" ht="30" hidden="1" x14ac:dyDescent="0.25">
      <c r="A586" s="389" t="s">
        <v>6005</v>
      </c>
      <c r="B586" s="394" t="s">
        <v>5743</v>
      </c>
      <c r="C586" s="389" t="s">
        <v>4979</v>
      </c>
      <c r="D586" s="389">
        <v>46.2</v>
      </c>
      <c r="E586" s="389" t="s">
        <v>4927</v>
      </c>
      <c r="F586" s="390">
        <v>47.02</v>
      </c>
      <c r="G586" s="390">
        <v>2172.3200000000002</v>
      </c>
      <c r="H586" s="389">
        <v>0</v>
      </c>
      <c r="I586" s="389">
        <v>99.63</v>
      </c>
      <c r="J586" s="389">
        <v>0</v>
      </c>
      <c r="K586" s="389">
        <v>54.8</v>
      </c>
    </row>
    <row r="587" spans="1:11" hidden="1" x14ac:dyDescent="0.25">
      <c r="A587" s="389" t="s">
        <v>6006</v>
      </c>
      <c r="B587" s="394" t="s">
        <v>6007</v>
      </c>
      <c r="C587" s="389" t="s">
        <v>4956</v>
      </c>
      <c r="D587" s="389">
        <v>10</v>
      </c>
      <c r="E587" s="389" t="s">
        <v>4927</v>
      </c>
      <c r="F587" s="390">
        <v>215.38</v>
      </c>
      <c r="G587" s="390">
        <v>2153.8000000000002</v>
      </c>
      <c r="H587" s="389">
        <v>0</v>
      </c>
      <c r="I587" s="389">
        <v>99.63</v>
      </c>
      <c r="J587" s="389">
        <v>0</v>
      </c>
      <c r="K587" s="389">
        <v>54.8</v>
      </c>
    </row>
    <row r="588" spans="1:11" ht="30" hidden="1" x14ac:dyDescent="0.25">
      <c r="A588" s="389" t="s">
        <v>6008</v>
      </c>
      <c r="B588" s="394" t="s">
        <v>6009</v>
      </c>
      <c r="C588" s="389" t="s">
        <v>4979</v>
      </c>
      <c r="D588" s="389">
        <v>147.93</v>
      </c>
      <c r="E588" s="389" t="s">
        <v>4927</v>
      </c>
      <c r="F588" s="390">
        <v>14.03</v>
      </c>
      <c r="G588" s="390">
        <v>2075.46</v>
      </c>
      <c r="H588" s="389">
        <v>0</v>
      </c>
      <c r="I588" s="389">
        <v>99.63</v>
      </c>
      <c r="J588" s="389">
        <v>0</v>
      </c>
      <c r="K588" s="389">
        <v>54.8</v>
      </c>
    </row>
    <row r="589" spans="1:11" ht="30" hidden="1" x14ac:dyDescent="0.25">
      <c r="A589" s="389" t="s">
        <v>6010</v>
      </c>
      <c r="B589" s="394" t="s">
        <v>6011</v>
      </c>
      <c r="C589" s="389" t="s">
        <v>4956</v>
      </c>
      <c r="D589" s="389">
        <v>14.3</v>
      </c>
      <c r="E589" s="389" t="s">
        <v>4927</v>
      </c>
      <c r="F589" s="390">
        <v>142.24</v>
      </c>
      <c r="G589" s="390">
        <v>2034.03</v>
      </c>
      <c r="H589" s="389">
        <v>0</v>
      </c>
      <c r="I589" s="389">
        <v>99.63</v>
      </c>
      <c r="J589" s="389">
        <v>0</v>
      </c>
      <c r="K589" s="389">
        <v>54.8</v>
      </c>
    </row>
    <row r="590" spans="1:11" hidden="1" x14ac:dyDescent="0.25">
      <c r="A590" s="389" t="s">
        <v>6012</v>
      </c>
      <c r="B590" s="394" t="s">
        <v>6013</v>
      </c>
      <c r="C590" s="389" t="s">
        <v>4979</v>
      </c>
      <c r="D590" s="389">
        <v>240</v>
      </c>
      <c r="E590" s="389" t="s">
        <v>4927</v>
      </c>
      <c r="F590" s="390">
        <v>8.4499999999999993</v>
      </c>
      <c r="G590" s="390">
        <v>2028</v>
      </c>
      <c r="H590" s="389">
        <v>0</v>
      </c>
      <c r="I590" s="389">
        <v>99.63</v>
      </c>
      <c r="J590" s="389">
        <v>0</v>
      </c>
      <c r="K590" s="389">
        <v>54.8</v>
      </c>
    </row>
    <row r="591" spans="1:11" hidden="1" x14ac:dyDescent="0.25">
      <c r="A591" s="389" t="s">
        <v>6014</v>
      </c>
      <c r="B591" s="394" t="s">
        <v>6015</v>
      </c>
      <c r="C591" s="389" t="s">
        <v>4956</v>
      </c>
      <c r="D591" s="389">
        <v>1</v>
      </c>
      <c r="E591" s="389" t="s">
        <v>4927</v>
      </c>
      <c r="F591" s="390">
        <v>1995.66</v>
      </c>
      <c r="G591" s="390">
        <v>1995.66</v>
      </c>
      <c r="H591" s="389">
        <v>0</v>
      </c>
      <c r="I591" s="389">
        <v>99.63</v>
      </c>
      <c r="J591" s="389">
        <v>0</v>
      </c>
      <c r="K591" s="389">
        <v>54.8</v>
      </c>
    </row>
    <row r="592" spans="1:11" hidden="1" x14ac:dyDescent="0.25">
      <c r="A592" s="389" t="s">
        <v>6016</v>
      </c>
      <c r="B592" s="394" t="s">
        <v>5963</v>
      </c>
      <c r="C592" s="389" t="s">
        <v>4986</v>
      </c>
      <c r="D592" s="389">
        <v>33</v>
      </c>
      <c r="E592" s="389" t="s">
        <v>4927</v>
      </c>
      <c r="F592" s="390">
        <v>60.47</v>
      </c>
      <c r="G592" s="390">
        <v>1995.51</v>
      </c>
      <c r="H592" s="389">
        <v>0</v>
      </c>
      <c r="I592" s="389">
        <v>99.63</v>
      </c>
      <c r="J592" s="389">
        <v>0</v>
      </c>
      <c r="K592" s="389">
        <v>54.8</v>
      </c>
    </row>
    <row r="593" spans="1:11" hidden="1" x14ac:dyDescent="0.25">
      <c r="A593" s="389" t="s">
        <v>6017</v>
      </c>
      <c r="B593" s="394" t="s">
        <v>6018</v>
      </c>
      <c r="C593" s="389" t="s">
        <v>4972</v>
      </c>
      <c r="D593" s="389">
        <v>32.5</v>
      </c>
      <c r="E593" s="389" t="s">
        <v>4927</v>
      </c>
      <c r="F593" s="390">
        <v>61.36</v>
      </c>
      <c r="G593" s="390">
        <v>1994.2</v>
      </c>
      <c r="H593" s="389">
        <v>0</v>
      </c>
      <c r="I593" s="389">
        <v>99.63</v>
      </c>
      <c r="J593" s="389">
        <v>0</v>
      </c>
      <c r="K593" s="389">
        <v>54.8</v>
      </c>
    </row>
    <row r="594" spans="1:11" ht="60" hidden="1" x14ac:dyDescent="0.25">
      <c r="A594" s="389" t="s">
        <v>6019</v>
      </c>
      <c r="B594" s="394" t="s">
        <v>6020</v>
      </c>
      <c r="C594" s="389" t="s">
        <v>5044</v>
      </c>
      <c r="D594" s="389">
        <v>4</v>
      </c>
      <c r="E594" s="389" t="s">
        <v>4927</v>
      </c>
      <c r="F594" s="390">
        <v>483.79</v>
      </c>
      <c r="G594" s="390">
        <v>1935.16</v>
      </c>
      <c r="H594" s="389">
        <v>0</v>
      </c>
      <c r="I594" s="389">
        <v>99.63</v>
      </c>
      <c r="J594" s="389">
        <v>0</v>
      </c>
      <c r="K594" s="389">
        <v>54.8</v>
      </c>
    </row>
    <row r="595" spans="1:11" hidden="1" x14ac:dyDescent="0.25">
      <c r="A595" s="389" t="s">
        <v>6021</v>
      </c>
      <c r="B595" s="394" t="s">
        <v>6022</v>
      </c>
      <c r="C595" s="389" t="s">
        <v>4956</v>
      </c>
      <c r="D595" s="389">
        <v>1</v>
      </c>
      <c r="E595" s="389" t="s">
        <v>4927</v>
      </c>
      <c r="F595" s="390">
        <v>1912.39</v>
      </c>
      <c r="G595" s="390">
        <v>1912.39</v>
      </c>
      <c r="H595" s="389">
        <v>0</v>
      </c>
      <c r="I595" s="389">
        <v>99.63</v>
      </c>
      <c r="J595" s="389">
        <v>0</v>
      </c>
      <c r="K595" s="389">
        <v>54.8</v>
      </c>
    </row>
    <row r="596" spans="1:11" ht="30" hidden="1" x14ac:dyDescent="0.25">
      <c r="A596" s="389" t="s">
        <v>6023</v>
      </c>
      <c r="B596" s="394" t="s">
        <v>6024</v>
      </c>
      <c r="C596" s="389" t="s">
        <v>4972</v>
      </c>
      <c r="D596" s="389">
        <v>40</v>
      </c>
      <c r="E596" s="389" t="s">
        <v>4927</v>
      </c>
      <c r="F596" s="390">
        <v>46.32</v>
      </c>
      <c r="G596" s="390">
        <v>1852.8</v>
      </c>
      <c r="H596" s="389">
        <v>0</v>
      </c>
      <c r="I596" s="389">
        <v>99.63</v>
      </c>
      <c r="J596" s="389">
        <v>0</v>
      </c>
      <c r="K596" s="389">
        <v>54.8</v>
      </c>
    </row>
    <row r="597" spans="1:11" hidden="1" x14ac:dyDescent="0.25">
      <c r="A597" s="389" t="s">
        <v>6025</v>
      </c>
      <c r="B597" s="394" t="s">
        <v>6026</v>
      </c>
      <c r="C597" s="389" t="s">
        <v>5044</v>
      </c>
      <c r="D597" s="389">
        <v>4</v>
      </c>
      <c r="E597" s="389" t="s">
        <v>4927</v>
      </c>
      <c r="F597" s="390">
        <v>457.35</v>
      </c>
      <c r="G597" s="390">
        <v>1829.4</v>
      </c>
      <c r="H597" s="389">
        <v>0</v>
      </c>
      <c r="I597" s="389">
        <v>99.63</v>
      </c>
      <c r="J597" s="389">
        <v>0</v>
      </c>
      <c r="K597" s="389">
        <v>54.8</v>
      </c>
    </row>
    <row r="598" spans="1:11" hidden="1" x14ac:dyDescent="0.25">
      <c r="A598" s="389" t="s">
        <v>6027</v>
      </c>
      <c r="B598" s="394" t="s">
        <v>6028</v>
      </c>
      <c r="C598" s="389" t="s">
        <v>4972</v>
      </c>
      <c r="D598" s="389">
        <v>32.5</v>
      </c>
      <c r="E598" s="389" t="s">
        <v>4927</v>
      </c>
      <c r="F598" s="390">
        <v>54.43</v>
      </c>
      <c r="G598" s="390">
        <v>1768.98</v>
      </c>
      <c r="H598" s="389">
        <v>0</v>
      </c>
      <c r="I598" s="389">
        <v>99.63</v>
      </c>
      <c r="J598" s="389">
        <v>0</v>
      </c>
      <c r="K598" s="389">
        <v>54.8</v>
      </c>
    </row>
    <row r="599" spans="1:11" hidden="1" x14ac:dyDescent="0.25">
      <c r="A599" s="389" t="s">
        <v>6029</v>
      </c>
      <c r="B599" s="394" t="s">
        <v>5945</v>
      </c>
      <c r="C599" s="389" t="s">
        <v>4956</v>
      </c>
      <c r="D599" s="389">
        <v>30</v>
      </c>
      <c r="E599" s="389" t="s">
        <v>4927</v>
      </c>
      <c r="F599" s="390">
        <v>56.97</v>
      </c>
      <c r="G599" s="390">
        <v>1709.1</v>
      </c>
      <c r="H599" s="389">
        <v>0</v>
      </c>
      <c r="I599" s="389">
        <v>99.63</v>
      </c>
      <c r="J599" s="389">
        <v>0</v>
      </c>
      <c r="K599" s="389">
        <v>54.8</v>
      </c>
    </row>
    <row r="600" spans="1:11" hidden="1" x14ac:dyDescent="0.25">
      <c r="A600" s="389" t="s">
        <v>6030</v>
      </c>
      <c r="B600" s="394" t="s">
        <v>6031</v>
      </c>
      <c r="C600" s="389" t="s">
        <v>5164</v>
      </c>
      <c r="D600" s="389">
        <v>43</v>
      </c>
      <c r="E600" s="389" t="s">
        <v>4927</v>
      </c>
      <c r="F600" s="390">
        <v>39.299999999999997</v>
      </c>
      <c r="G600" s="390">
        <v>1689.9</v>
      </c>
      <c r="H600" s="389">
        <v>0</v>
      </c>
      <c r="I600" s="389">
        <v>99.63</v>
      </c>
      <c r="J600" s="389">
        <v>0</v>
      </c>
      <c r="K600" s="389">
        <v>54.8</v>
      </c>
    </row>
    <row r="601" spans="1:11" ht="45" hidden="1" x14ac:dyDescent="0.25">
      <c r="A601" s="389" t="s">
        <v>6032</v>
      </c>
      <c r="B601" s="394" t="s">
        <v>6033</v>
      </c>
      <c r="C601" s="389" t="s">
        <v>5044</v>
      </c>
      <c r="D601" s="389">
        <v>1</v>
      </c>
      <c r="E601" s="389" t="s">
        <v>4927</v>
      </c>
      <c r="F601" s="390">
        <v>1672.18</v>
      </c>
      <c r="G601" s="390">
        <v>1672.18</v>
      </c>
      <c r="H601" s="389">
        <v>0</v>
      </c>
      <c r="I601" s="389">
        <v>99.63</v>
      </c>
      <c r="J601" s="389">
        <v>0</v>
      </c>
      <c r="K601" s="389">
        <v>54.8</v>
      </c>
    </row>
    <row r="602" spans="1:11" ht="45" hidden="1" x14ac:dyDescent="0.25">
      <c r="A602" s="389" t="s">
        <v>6034</v>
      </c>
      <c r="B602" s="394" t="s">
        <v>6035</v>
      </c>
      <c r="C602" s="389" t="s">
        <v>5044</v>
      </c>
      <c r="D602" s="389">
        <v>1</v>
      </c>
      <c r="E602" s="389" t="s">
        <v>4927</v>
      </c>
      <c r="F602" s="390">
        <v>1672.18</v>
      </c>
      <c r="G602" s="390">
        <v>1672.18</v>
      </c>
      <c r="H602" s="389">
        <v>0</v>
      </c>
      <c r="I602" s="389">
        <v>99.63</v>
      </c>
      <c r="J602" s="389">
        <v>0</v>
      </c>
      <c r="K602" s="389">
        <v>54.8</v>
      </c>
    </row>
    <row r="603" spans="1:11" ht="45" hidden="1" x14ac:dyDescent="0.25">
      <c r="A603" s="389" t="s">
        <v>6036</v>
      </c>
      <c r="B603" s="394" t="s">
        <v>6037</v>
      </c>
      <c r="C603" s="389" t="s">
        <v>5044</v>
      </c>
      <c r="D603" s="389">
        <v>1</v>
      </c>
      <c r="E603" s="389" t="s">
        <v>4927</v>
      </c>
      <c r="F603" s="390">
        <v>1672.18</v>
      </c>
      <c r="G603" s="390">
        <v>1672.18</v>
      </c>
      <c r="H603" s="389">
        <v>0</v>
      </c>
      <c r="I603" s="389">
        <v>99.63</v>
      </c>
      <c r="J603" s="389">
        <v>0</v>
      </c>
      <c r="K603" s="389">
        <v>54.8</v>
      </c>
    </row>
    <row r="604" spans="1:11" ht="45" hidden="1" x14ac:dyDescent="0.25">
      <c r="A604" s="389" t="s">
        <v>6038</v>
      </c>
      <c r="B604" s="394" t="s">
        <v>6039</v>
      </c>
      <c r="C604" s="389" t="s">
        <v>5044</v>
      </c>
      <c r="D604" s="389">
        <v>1</v>
      </c>
      <c r="E604" s="389" t="s">
        <v>4927</v>
      </c>
      <c r="F604" s="390">
        <v>1672.18</v>
      </c>
      <c r="G604" s="390">
        <v>1672.18</v>
      </c>
      <c r="H604" s="389">
        <v>0</v>
      </c>
      <c r="I604" s="389">
        <v>99.63</v>
      </c>
      <c r="J604" s="389">
        <v>0</v>
      </c>
      <c r="K604" s="389">
        <v>54.8</v>
      </c>
    </row>
    <row r="605" spans="1:11" hidden="1" x14ac:dyDescent="0.25">
      <c r="A605" s="389" t="s">
        <v>6040</v>
      </c>
      <c r="B605" s="394" t="s">
        <v>6002</v>
      </c>
      <c r="C605" s="389" t="s">
        <v>4986</v>
      </c>
      <c r="D605" s="389">
        <v>30</v>
      </c>
      <c r="E605" s="389" t="s">
        <v>4927</v>
      </c>
      <c r="F605" s="390">
        <v>55.57</v>
      </c>
      <c r="G605" s="390">
        <v>1667.1</v>
      </c>
      <c r="H605" s="389">
        <v>0</v>
      </c>
      <c r="I605" s="389">
        <v>99.63</v>
      </c>
      <c r="J605" s="389">
        <v>0</v>
      </c>
      <c r="K605" s="389">
        <v>54.8</v>
      </c>
    </row>
    <row r="606" spans="1:11" ht="30" hidden="1" x14ac:dyDescent="0.25">
      <c r="A606" s="389" t="s">
        <v>6041</v>
      </c>
      <c r="B606" s="394" t="s">
        <v>6042</v>
      </c>
      <c r="C606" s="389" t="s">
        <v>4972</v>
      </c>
      <c r="D606" s="389">
        <v>97.73</v>
      </c>
      <c r="E606" s="389" t="s">
        <v>4927</v>
      </c>
      <c r="F606" s="390">
        <v>16.829999999999998</v>
      </c>
      <c r="G606" s="390">
        <v>1644.8</v>
      </c>
      <c r="H606" s="389">
        <v>0</v>
      </c>
      <c r="I606" s="389">
        <v>99.63</v>
      </c>
      <c r="J606" s="389">
        <v>0</v>
      </c>
      <c r="K606" s="389">
        <v>54.8</v>
      </c>
    </row>
    <row r="607" spans="1:11" hidden="1" x14ac:dyDescent="0.25">
      <c r="A607" s="389" t="s">
        <v>6043</v>
      </c>
      <c r="B607" s="394" t="s">
        <v>6044</v>
      </c>
      <c r="C607" s="389" t="s">
        <v>4979</v>
      </c>
      <c r="D607" s="389">
        <v>50.29</v>
      </c>
      <c r="E607" s="389" t="s">
        <v>4927</v>
      </c>
      <c r="F607" s="390">
        <v>32.5</v>
      </c>
      <c r="G607" s="390">
        <v>1634.43</v>
      </c>
      <c r="H607" s="389">
        <v>0</v>
      </c>
      <c r="I607" s="389">
        <v>99.63</v>
      </c>
      <c r="J607" s="389">
        <v>0</v>
      </c>
      <c r="K607" s="389">
        <v>54.8</v>
      </c>
    </row>
    <row r="608" spans="1:11" ht="45" hidden="1" x14ac:dyDescent="0.25">
      <c r="A608" s="389" t="s">
        <v>6045</v>
      </c>
      <c r="B608" s="394" t="s">
        <v>6046</v>
      </c>
      <c r="C608" s="389" t="s">
        <v>5044</v>
      </c>
      <c r="D608" s="389">
        <v>1</v>
      </c>
      <c r="E608" s="389" t="s">
        <v>4927</v>
      </c>
      <c r="F608" s="390">
        <v>1620.24</v>
      </c>
      <c r="G608" s="390">
        <v>1620.24</v>
      </c>
      <c r="H608" s="389">
        <v>0</v>
      </c>
      <c r="I608" s="389">
        <v>99.63</v>
      </c>
      <c r="J608" s="389">
        <v>0</v>
      </c>
      <c r="K608" s="389">
        <v>54.8</v>
      </c>
    </row>
    <row r="609" spans="1:11" ht="45" hidden="1" x14ac:dyDescent="0.25">
      <c r="A609" s="389" t="s">
        <v>6047</v>
      </c>
      <c r="B609" s="394" t="s">
        <v>6048</v>
      </c>
      <c r="C609" s="389" t="s">
        <v>5044</v>
      </c>
      <c r="D609" s="389">
        <v>1</v>
      </c>
      <c r="E609" s="389" t="s">
        <v>4927</v>
      </c>
      <c r="F609" s="390">
        <v>1620.24</v>
      </c>
      <c r="G609" s="390">
        <v>1620.24</v>
      </c>
      <c r="H609" s="389">
        <v>0</v>
      </c>
      <c r="I609" s="389">
        <v>99.63</v>
      </c>
      <c r="J609" s="389">
        <v>0</v>
      </c>
      <c r="K609" s="389">
        <v>54.8</v>
      </c>
    </row>
    <row r="610" spans="1:11" ht="45" hidden="1" x14ac:dyDescent="0.25">
      <c r="A610" s="389" t="s">
        <v>6049</v>
      </c>
      <c r="B610" s="394" t="s">
        <v>6050</v>
      </c>
      <c r="C610" s="389" t="s">
        <v>5044</v>
      </c>
      <c r="D610" s="389">
        <v>1</v>
      </c>
      <c r="E610" s="389" t="s">
        <v>4927</v>
      </c>
      <c r="F610" s="390">
        <v>1620.24</v>
      </c>
      <c r="G610" s="390">
        <v>1620.24</v>
      </c>
      <c r="H610" s="389">
        <v>0</v>
      </c>
      <c r="I610" s="389">
        <v>99.63</v>
      </c>
      <c r="J610" s="389">
        <v>0</v>
      </c>
      <c r="K610" s="389">
        <v>54.8</v>
      </c>
    </row>
    <row r="611" spans="1:11" ht="45" hidden="1" x14ac:dyDescent="0.25">
      <c r="A611" s="389" t="s">
        <v>6051</v>
      </c>
      <c r="B611" s="394" t="s">
        <v>6052</v>
      </c>
      <c r="C611" s="389" t="s">
        <v>5044</v>
      </c>
      <c r="D611" s="389">
        <v>1</v>
      </c>
      <c r="E611" s="389" t="s">
        <v>4927</v>
      </c>
      <c r="F611" s="390">
        <v>1620.24</v>
      </c>
      <c r="G611" s="390">
        <v>1620.24</v>
      </c>
      <c r="H611" s="389">
        <v>0</v>
      </c>
      <c r="I611" s="389">
        <v>99.63</v>
      </c>
      <c r="J611" s="389">
        <v>0</v>
      </c>
      <c r="K611" s="389">
        <v>54.8</v>
      </c>
    </row>
    <row r="612" spans="1:11" ht="45" hidden="1" x14ac:dyDescent="0.25">
      <c r="A612" s="389" t="s">
        <v>6053</v>
      </c>
      <c r="B612" s="394" t="s">
        <v>6054</v>
      </c>
      <c r="C612" s="389" t="s">
        <v>5044</v>
      </c>
      <c r="D612" s="389">
        <v>1</v>
      </c>
      <c r="E612" s="389" t="s">
        <v>4927</v>
      </c>
      <c r="F612" s="390">
        <v>1620.24</v>
      </c>
      <c r="G612" s="390">
        <v>1620.24</v>
      </c>
      <c r="H612" s="389">
        <v>0</v>
      </c>
      <c r="I612" s="389">
        <v>99.63</v>
      </c>
      <c r="J612" s="389">
        <v>0</v>
      </c>
      <c r="K612" s="389">
        <v>54.8</v>
      </c>
    </row>
    <row r="613" spans="1:11" ht="45" hidden="1" x14ac:dyDescent="0.25">
      <c r="A613" s="389" t="s">
        <v>6055</v>
      </c>
      <c r="B613" s="394" t="s">
        <v>6056</v>
      </c>
      <c r="C613" s="389" t="s">
        <v>5044</v>
      </c>
      <c r="D613" s="389">
        <v>1</v>
      </c>
      <c r="E613" s="389" t="s">
        <v>4927</v>
      </c>
      <c r="F613" s="390">
        <v>1620.24</v>
      </c>
      <c r="G613" s="390">
        <v>1620.24</v>
      </c>
      <c r="H613" s="389">
        <v>0</v>
      </c>
      <c r="I613" s="389">
        <v>99.63</v>
      </c>
      <c r="J613" s="389">
        <v>0</v>
      </c>
      <c r="K613" s="389">
        <v>54.8</v>
      </c>
    </row>
    <row r="614" spans="1:11" ht="45" hidden="1" x14ac:dyDescent="0.25">
      <c r="A614" s="389" t="s">
        <v>6057</v>
      </c>
      <c r="B614" s="394" t="s">
        <v>6058</v>
      </c>
      <c r="C614" s="389" t="s">
        <v>5044</v>
      </c>
      <c r="D614" s="389">
        <v>1</v>
      </c>
      <c r="E614" s="389" t="s">
        <v>4927</v>
      </c>
      <c r="F614" s="390">
        <v>1620.24</v>
      </c>
      <c r="G614" s="390">
        <v>1620.24</v>
      </c>
      <c r="H614" s="389">
        <v>0</v>
      </c>
      <c r="I614" s="389">
        <v>99.63</v>
      </c>
      <c r="J614" s="389">
        <v>0</v>
      </c>
      <c r="K614" s="389">
        <v>54.8</v>
      </c>
    </row>
    <row r="615" spans="1:11" ht="45" hidden="1" x14ac:dyDescent="0.25">
      <c r="A615" s="389" t="s">
        <v>6059</v>
      </c>
      <c r="B615" s="394" t="s">
        <v>6060</v>
      </c>
      <c r="C615" s="389" t="s">
        <v>5044</v>
      </c>
      <c r="D615" s="389">
        <v>1</v>
      </c>
      <c r="E615" s="389" t="s">
        <v>4927</v>
      </c>
      <c r="F615" s="390">
        <v>1620.24</v>
      </c>
      <c r="G615" s="390">
        <v>1620.24</v>
      </c>
      <c r="H615" s="389">
        <v>0</v>
      </c>
      <c r="I615" s="389">
        <v>99.63</v>
      </c>
      <c r="J615" s="389">
        <v>0</v>
      </c>
      <c r="K615" s="389">
        <v>54.8</v>
      </c>
    </row>
    <row r="616" spans="1:11" hidden="1" x14ac:dyDescent="0.25">
      <c r="A616" s="389" t="s">
        <v>6061</v>
      </c>
      <c r="B616" s="394" t="s">
        <v>6062</v>
      </c>
      <c r="C616" s="389" t="s">
        <v>4956</v>
      </c>
      <c r="D616" s="389">
        <v>1</v>
      </c>
      <c r="E616" s="389" t="s">
        <v>4927</v>
      </c>
      <c r="F616" s="390">
        <v>1582.43</v>
      </c>
      <c r="G616" s="390">
        <v>1582.43</v>
      </c>
      <c r="H616" s="389">
        <v>0</v>
      </c>
      <c r="I616" s="389">
        <v>99.63</v>
      </c>
      <c r="J616" s="389">
        <v>0</v>
      </c>
      <c r="K616" s="389">
        <v>54.8</v>
      </c>
    </row>
    <row r="617" spans="1:11" hidden="1" x14ac:dyDescent="0.25">
      <c r="A617" s="389" t="s">
        <v>6063</v>
      </c>
      <c r="B617" s="394" t="s">
        <v>6064</v>
      </c>
      <c r="C617" s="389" t="s">
        <v>4956</v>
      </c>
      <c r="D617" s="389">
        <v>14</v>
      </c>
      <c r="E617" s="389" t="s">
        <v>4927</v>
      </c>
      <c r="F617" s="390">
        <v>109.24</v>
      </c>
      <c r="G617" s="390">
        <v>1529.36</v>
      </c>
      <c r="H617" s="389">
        <v>0</v>
      </c>
      <c r="I617" s="389">
        <v>99.63</v>
      </c>
      <c r="J617" s="389">
        <v>0</v>
      </c>
      <c r="K617" s="389">
        <v>54.8</v>
      </c>
    </row>
    <row r="618" spans="1:11" hidden="1" x14ac:dyDescent="0.25">
      <c r="A618" s="389" t="s">
        <v>6065</v>
      </c>
      <c r="B618" s="394" t="s">
        <v>6066</v>
      </c>
      <c r="C618" s="389" t="s">
        <v>4972</v>
      </c>
      <c r="D618" s="389">
        <v>45.5</v>
      </c>
      <c r="E618" s="389" t="s">
        <v>4927</v>
      </c>
      <c r="F618" s="390">
        <v>32.229999999999997</v>
      </c>
      <c r="G618" s="390">
        <v>1466.47</v>
      </c>
      <c r="H618" s="389">
        <v>0</v>
      </c>
      <c r="I618" s="389">
        <v>99.63</v>
      </c>
      <c r="J618" s="389">
        <v>0</v>
      </c>
      <c r="K618" s="389">
        <v>54.8</v>
      </c>
    </row>
    <row r="619" spans="1:11" ht="60" hidden="1" x14ac:dyDescent="0.25">
      <c r="A619" s="389" t="s">
        <v>6067</v>
      </c>
      <c r="B619" s="394" t="s">
        <v>6068</v>
      </c>
      <c r="C619" s="389" t="s">
        <v>5044</v>
      </c>
      <c r="D619" s="389">
        <v>3</v>
      </c>
      <c r="E619" s="389" t="s">
        <v>4927</v>
      </c>
      <c r="F619" s="390">
        <v>483.79</v>
      </c>
      <c r="G619" s="390">
        <v>1451.37</v>
      </c>
      <c r="H619" s="389">
        <v>0</v>
      </c>
      <c r="I619" s="389">
        <v>99.63</v>
      </c>
      <c r="J619" s="389">
        <v>0</v>
      </c>
      <c r="K619" s="389">
        <v>54.8</v>
      </c>
    </row>
    <row r="620" spans="1:11" hidden="1" x14ac:dyDescent="0.25">
      <c r="A620" s="389" t="s">
        <v>6069</v>
      </c>
      <c r="B620" s="394" t="s">
        <v>6070</v>
      </c>
      <c r="C620" s="389" t="s">
        <v>4926</v>
      </c>
      <c r="D620" s="389">
        <v>576.45000000000005</v>
      </c>
      <c r="E620" s="389" t="s">
        <v>4927</v>
      </c>
      <c r="F620" s="390">
        <v>2.5</v>
      </c>
      <c r="G620" s="390">
        <v>1441.13</v>
      </c>
      <c r="H620" s="389">
        <v>0</v>
      </c>
      <c r="I620" s="389">
        <v>99.63</v>
      </c>
      <c r="J620" s="389">
        <v>0</v>
      </c>
      <c r="K620" s="389">
        <v>54.8</v>
      </c>
    </row>
    <row r="621" spans="1:11" hidden="1" x14ac:dyDescent="0.25">
      <c r="A621" s="389" t="s">
        <v>6071</v>
      </c>
      <c r="B621" s="394" t="s">
        <v>6072</v>
      </c>
      <c r="C621" s="389" t="s">
        <v>4972</v>
      </c>
      <c r="D621" s="389">
        <v>6.93</v>
      </c>
      <c r="E621" s="389" t="s">
        <v>4927</v>
      </c>
      <c r="F621" s="390">
        <v>206.22</v>
      </c>
      <c r="G621" s="390">
        <v>1429.1</v>
      </c>
      <c r="H621" s="389">
        <v>0</v>
      </c>
      <c r="I621" s="389">
        <v>99.63</v>
      </c>
      <c r="J621" s="389">
        <v>0</v>
      </c>
      <c r="K621" s="389">
        <v>54.8</v>
      </c>
    </row>
    <row r="622" spans="1:11" hidden="1" x14ac:dyDescent="0.25">
      <c r="A622" s="389" t="s">
        <v>6073</v>
      </c>
      <c r="B622" s="394" t="s">
        <v>6004</v>
      </c>
      <c r="C622" s="389" t="s">
        <v>4986</v>
      </c>
      <c r="D622" s="389">
        <v>30</v>
      </c>
      <c r="E622" s="389" t="s">
        <v>4927</v>
      </c>
      <c r="F622" s="390">
        <v>47.44</v>
      </c>
      <c r="G622" s="390">
        <v>1423.2</v>
      </c>
      <c r="H622" s="389">
        <v>0</v>
      </c>
      <c r="I622" s="389">
        <v>99.63</v>
      </c>
      <c r="J622" s="389">
        <v>0</v>
      </c>
      <c r="K622" s="389">
        <v>54.8</v>
      </c>
    </row>
    <row r="623" spans="1:11" ht="30" hidden="1" x14ac:dyDescent="0.25">
      <c r="A623" s="389" t="s">
        <v>6074</v>
      </c>
      <c r="B623" s="394" t="s">
        <v>6075</v>
      </c>
      <c r="C623" s="389" t="s">
        <v>5164</v>
      </c>
      <c r="D623" s="389">
        <v>50</v>
      </c>
      <c r="E623" s="389" t="s">
        <v>4927</v>
      </c>
      <c r="F623" s="390">
        <v>27.2</v>
      </c>
      <c r="G623" s="390">
        <v>1360</v>
      </c>
      <c r="H623" s="389">
        <v>0</v>
      </c>
      <c r="I623" s="389">
        <v>99.63</v>
      </c>
      <c r="J623" s="389">
        <v>0</v>
      </c>
      <c r="K623" s="389">
        <v>54.8</v>
      </c>
    </row>
    <row r="624" spans="1:11" ht="45" hidden="1" x14ac:dyDescent="0.25">
      <c r="A624" s="389" t="s">
        <v>6076</v>
      </c>
      <c r="B624" s="394" t="s">
        <v>6077</v>
      </c>
      <c r="C624" s="389" t="s">
        <v>5044</v>
      </c>
      <c r="D624" s="389">
        <v>34</v>
      </c>
      <c r="E624" s="389" t="s">
        <v>4927</v>
      </c>
      <c r="F624" s="390">
        <v>39.299999999999997</v>
      </c>
      <c r="G624" s="390">
        <v>1336.2</v>
      </c>
      <c r="H624" s="389">
        <v>0</v>
      </c>
      <c r="I624" s="389">
        <v>99.63</v>
      </c>
      <c r="J624" s="389">
        <v>0</v>
      </c>
      <c r="K624" s="389">
        <v>54.8</v>
      </c>
    </row>
    <row r="625" spans="1:11" hidden="1" x14ac:dyDescent="0.25">
      <c r="A625" s="389" t="s">
        <v>6078</v>
      </c>
      <c r="B625" s="394" t="s">
        <v>6079</v>
      </c>
      <c r="C625" s="389" t="s">
        <v>4956</v>
      </c>
      <c r="D625" s="389">
        <v>2</v>
      </c>
      <c r="E625" s="389" t="s">
        <v>4927</v>
      </c>
      <c r="F625" s="390">
        <v>664.57</v>
      </c>
      <c r="G625" s="390">
        <v>1329.14</v>
      </c>
      <c r="H625" s="389">
        <v>0</v>
      </c>
      <c r="I625" s="389">
        <v>99.63</v>
      </c>
      <c r="J625" s="389">
        <v>0</v>
      </c>
      <c r="K625" s="389">
        <v>54.8</v>
      </c>
    </row>
    <row r="626" spans="1:11" ht="30" hidden="1" x14ac:dyDescent="0.25">
      <c r="A626" s="389" t="s">
        <v>6080</v>
      </c>
      <c r="B626" s="394" t="s">
        <v>6081</v>
      </c>
      <c r="C626" s="389" t="s">
        <v>4956</v>
      </c>
      <c r="D626" s="389">
        <v>2</v>
      </c>
      <c r="E626" s="389" t="s">
        <v>4927</v>
      </c>
      <c r="F626" s="390">
        <v>664.57</v>
      </c>
      <c r="G626" s="390">
        <v>1329.14</v>
      </c>
      <c r="H626" s="389">
        <v>0</v>
      </c>
      <c r="I626" s="389">
        <v>99.63</v>
      </c>
      <c r="J626" s="389">
        <v>0</v>
      </c>
      <c r="K626" s="389">
        <v>54.8</v>
      </c>
    </row>
    <row r="627" spans="1:11" hidden="1" x14ac:dyDescent="0.25">
      <c r="A627" s="389" t="s">
        <v>6082</v>
      </c>
      <c r="B627" s="394" t="s">
        <v>6083</v>
      </c>
      <c r="C627" s="389" t="s">
        <v>4979</v>
      </c>
      <c r="D627" s="389">
        <v>28.24</v>
      </c>
      <c r="E627" s="389" t="s">
        <v>4927</v>
      </c>
      <c r="F627" s="390">
        <v>46.44</v>
      </c>
      <c r="G627" s="390">
        <v>1311.47</v>
      </c>
      <c r="H627" s="389">
        <v>0</v>
      </c>
      <c r="I627" s="389">
        <v>99.63</v>
      </c>
      <c r="J627" s="389">
        <v>0</v>
      </c>
      <c r="K627" s="389">
        <v>54.8</v>
      </c>
    </row>
    <row r="628" spans="1:11" hidden="1" x14ac:dyDescent="0.25">
      <c r="A628" s="389" t="s">
        <v>427</v>
      </c>
      <c r="B628" s="394" t="s">
        <v>6084</v>
      </c>
      <c r="C628" s="389" t="s">
        <v>4926</v>
      </c>
      <c r="D628" s="389">
        <v>370.57848300000001</v>
      </c>
      <c r="E628" s="389" t="s">
        <v>4927</v>
      </c>
      <c r="F628" s="390">
        <v>3.48</v>
      </c>
      <c r="G628" s="390">
        <v>1289.6099999999999</v>
      </c>
      <c r="H628" s="389">
        <v>0</v>
      </c>
      <c r="I628" s="389">
        <v>99.63</v>
      </c>
      <c r="J628" s="389">
        <v>0</v>
      </c>
      <c r="K628" s="389">
        <v>54.8</v>
      </c>
    </row>
    <row r="629" spans="1:11" hidden="1" x14ac:dyDescent="0.25">
      <c r="A629" s="389" t="s">
        <v>6085</v>
      </c>
      <c r="B629" s="394" t="s">
        <v>5395</v>
      </c>
      <c r="C629" s="389" t="s">
        <v>4972</v>
      </c>
      <c r="D629" s="389">
        <v>87.44</v>
      </c>
      <c r="E629" s="389" t="s">
        <v>4927</v>
      </c>
      <c r="F629" s="390">
        <v>14.51</v>
      </c>
      <c r="G629" s="390">
        <v>1268.75</v>
      </c>
      <c r="H629" s="389">
        <v>0</v>
      </c>
      <c r="I629" s="389">
        <v>99.63</v>
      </c>
      <c r="J629" s="389">
        <v>0</v>
      </c>
      <c r="K629" s="389">
        <v>54.8</v>
      </c>
    </row>
    <row r="630" spans="1:11" hidden="1" x14ac:dyDescent="0.25">
      <c r="A630" s="389" t="s">
        <v>6086</v>
      </c>
      <c r="B630" s="394" t="s">
        <v>6087</v>
      </c>
      <c r="C630" s="389" t="s">
        <v>4979</v>
      </c>
      <c r="D630" s="389">
        <v>42</v>
      </c>
      <c r="E630" s="389" t="s">
        <v>4927</v>
      </c>
      <c r="F630" s="390">
        <v>29.28</v>
      </c>
      <c r="G630" s="390">
        <v>1229.76</v>
      </c>
      <c r="H630" s="389">
        <v>0</v>
      </c>
      <c r="I630" s="389">
        <v>99.63</v>
      </c>
      <c r="J630" s="389">
        <v>0</v>
      </c>
      <c r="K630" s="389">
        <v>54.8</v>
      </c>
    </row>
    <row r="631" spans="1:11" hidden="1" x14ac:dyDescent="0.25">
      <c r="A631" s="389" t="s">
        <v>6088</v>
      </c>
      <c r="B631" s="394" t="s">
        <v>6089</v>
      </c>
      <c r="C631" s="389" t="s">
        <v>4956</v>
      </c>
      <c r="D631" s="389">
        <v>8</v>
      </c>
      <c r="E631" s="389" t="s">
        <v>4927</v>
      </c>
      <c r="F631" s="390">
        <v>148.28</v>
      </c>
      <c r="G631" s="390">
        <v>1186.24</v>
      </c>
      <c r="H631" s="389">
        <v>0</v>
      </c>
      <c r="I631" s="389">
        <v>99.63</v>
      </c>
      <c r="J631" s="389">
        <v>0</v>
      </c>
      <c r="K631" s="389">
        <v>54.8</v>
      </c>
    </row>
    <row r="632" spans="1:11" hidden="1" x14ac:dyDescent="0.25">
      <c r="A632" s="389" t="s">
        <v>6090</v>
      </c>
      <c r="B632" s="394" t="s">
        <v>6091</v>
      </c>
      <c r="C632" s="389" t="s">
        <v>4972</v>
      </c>
      <c r="D632" s="389">
        <v>123.81</v>
      </c>
      <c r="E632" s="389" t="s">
        <v>4927</v>
      </c>
      <c r="F632" s="390">
        <v>9.58</v>
      </c>
      <c r="G632" s="390">
        <v>1186.0999999999999</v>
      </c>
      <c r="H632" s="389">
        <v>0</v>
      </c>
      <c r="I632" s="389">
        <v>99.63</v>
      </c>
      <c r="J632" s="389">
        <v>0</v>
      </c>
      <c r="K632" s="389">
        <v>54.8</v>
      </c>
    </row>
    <row r="633" spans="1:11" hidden="1" x14ac:dyDescent="0.25">
      <c r="A633" s="389" t="s">
        <v>6092</v>
      </c>
      <c r="B633" s="394" t="s">
        <v>6093</v>
      </c>
      <c r="C633" s="389" t="s">
        <v>4979</v>
      </c>
      <c r="D633" s="389">
        <v>72.37</v>
      </c>
      <c r="E633" s="389" t="s">
        <v>4927</v>
      </c>
      <c r="F633" s="390">
        <v>16.309999999999999</v>
      </c>
      <c r="G633" s="390">
        <v>1180.3499999999999</v>
      </c>
      <c r="H633" s="389">
        <v>0</v>
      </c>
      <c r="I633" s="389">
        <v>99.63</v>
      </c>
      <c r="J633" s="389">
        <v>0</v>
      </c>
      <c r="K633" s="389">
        <v>54.8</v>
      </c>
    </row>
    <row r="634" spans="1:11" hidden="1" x14ac:dyDescent="0.25">
      <c r="A634" s="389" t="s">
        <v>6094</v>
      </c>
      <c r="B634" s="394" t="s">
        <v>6095</v>
      </c>
      <c r="C634" s="389" t="s">
        <v>4972</v>
      </c>
      <c r="D634" s="389">
        <v>90.9</v>
      </c>
      <c r="E634" s="389" t="s">
        <v>4927</v>
      </c>
      <c r="F634" s="390">
        <v>11.84</v>
      </c>
      <c r="G634" s="390">
        <v>1076.26</v>
      </c>
      <c r="H634" s="389">
        <v>0</v>
      </c>
      <c r="I634" s="389">
        <v>99.63</v>
      </c>
      <c r="J634" s="389">
        <v>0</v>
      </c>
      <c r="K634" s="389">
        <v>54.8</v>
      </c>
    </row>
    <row r="635" spans="1:11" hidden="1" x14ac:dyDescent="0.25">
      <c r="A635" s="389" t="s">
        <v>6096</v>
      </c>
      <c r="B635" s="394" t="s">
        <v>5784</v>
      </c>
      <c r="C635" s="389" t="s">
        <v>4986</v>
      </c>
      <c r="D635" s="389">
        <v>33</v>
      </c>
      <c r="E635" s="389" t="s">
        <v>4927</v>
      </c>
      <c r="F635" s="390">
        <v>32.26</v>
      </c>
      <c r="G635" s="390">
        <v>1064.58</v>
      </c>
      <c r="H635" s="389">
        <v>0</v>
      </c>
      <c r="I635" s="389">
        <v>99.63</v>
      </c>
      <c r="J635" s="389">
        <v>0</v>
      </c>
      <c r="K635" s="389">
        <v>54.8</v>
      </c>
    </row>
    <row r="636" spans="1:11" hidden="1" x14ac:dyDescent="0.25">
      <c r="A636" s="389" t="s">
        <v>6097</v>
      </c>
      <c r="B636" s="394" t="s">
        <v>6098</v>
      </c>
      <c r="C636" s="389" t="s">
        <v>4956</v>
      </c>
      <c r="D636" s="389">
        <v>13</v>
      </c>
      <c r="E636" s="389" t="s">
        <v>4927</v>
      </c>
      <c r="F636" s="390">
        <v>81.89</v>
      </c>
      <c r="G636" s="390">
        <v>1064.57</v>
      </c>
      <c r="H636" s="389">
        <v>0</v>
      </c>
      <c r="I636" s="389">
        <v>99.63</v>
      </c>
      <c r="J636" s="389">
        <v>0</v>
      </c>
      <c r="K636" s="389">
        <v>54.8</v>
      </c>
    </row>
    <row r="637" spans="1:11" hidden="1" x14ac:dyDescent="0.25">
      <c r="A637" s="389" t="s">
        <v>6099</v>
      </c>
      <c r="B637" s="394" t="s">
        <v>6100</v>
      </c>
      <c r="C637" s="389" t="s">
        <v>4956</v>
      </c>
      <c r="D637" s="389">
        <v>139</v>
      </c>
      <c r="E637" s="389" t="s">
        <v>4927</v>
      </c>
      <c r="F637" s="390">
        <v>7.1</v>
      </c>
      <c r="G637" s="390">
        <v>986.9</v>
      </c>
      <c r="H637" s="389">
        <v>0</v>
      </c>
      <c r="I637" s="389">
        <v>99.63</v>
      </c>
      <c r="J637" s="389">
        <v>0</v>
      </c>
      <c r="K637" s="389">
        <v>54.8</v>
      </c>
    </row>
    <row r="638" spans="1:11" hidden="1" x14ac:dyDescent="0.25">
      <c r="A638" s="389" t="s">
        <v>6101</v>
      </c>
      <c r="B638" s="394" t="s">
        <v>6102</v>
      </c>
      <c r="C638" s="389" t="s">
        <v>4956</v>
      </c>
      <c r="D638" s="389">
        <v>22</v>
      </c>
      <c r="E638" s="389" t="s">
        <v>4927</v>
      </c>
      <c r="F638" s="390">
        <v>44.53</v>
      </c>
      <c r="G638" s="390">
        <v>979.66</v>
      </c>
      <c r="H638" s="389">
        <v>0</v>
      </c>
      <c r="I638" s="389">
        <v>99.63</v>
      </c>
      <c r="J638" s="389">
        <v>0</v>
      </c>
      <c r="K638" s="389">
        <v>54.8</v>
      </c>
    </row>
    <row r="639" spans="1:11" ht="60" hidden="1" x14ac:dyDescent="0.25">
      <c r="A639" s="389" t="s">
        <v>6103</v>
      </c>
      <c r="B639" s="394" t="s">
        <v>6104</v>
      </c>
      <c r="C639" s="389" t="s">
        <v>5044</v>
      </c>
      <c r="D639" s="389">
        <v>2</v>
      </c>
      <c r="E639" s="389" t="s">
        <v>4927</v>
      </c>
      <c r="F639" s="390">
        <v>483.79</v>
      </c>
      <c r="G639" s="390">
        <v>967.58</v>
      </c>
      <c r="H639" s="389">
        <v>0</v>
      </c>
      <c r="I639" s="389">
        <v>99.63</v>
      </c>
      <c r="J639" s="389">
        <v>0</v>
      </c>
      <c r="K639" s="389">
        <v>54.8</v>
      </c>
    </row>
    <row r="640" spans="1:11" hidden="1" x14ac:dyDescent="0.25">
      <c r="A640" s="389" t="s">
        <v>6105</v>
      </c>
      <c r="B640" s="394" t="s">
        <v>6087</v>
      </c>
      <c r="C640" s="389" t="s">
        <v>4979</v>
      </c>
      <c r="D640" s="389">
        <v>53</v>
      </c>
      <c r="E640" s="389" t="s">
        <v>4927</v>
      </c>
      <c r="F640" s="390">
        <v>18.13</v>
      </c>
      <c r="G640" s="390">
        <v>960.89</v>
      </c>
      <c r="H640" s="389">
        <v>0</v>
      </c>
      <c r="I640" s="389">
        <v>99.63</v>
      </c>
      <c r="J640" s="389">
        <v>0</v>
      </c>
      <c r="K640" s="389">
        <v>54.8</v>
      </c>
    </row>
    <row r="641" spans="1:11" hidden="1" x14ac:dyDescent="0.25">
      <c r="A641" s="389" t="s">
        <v>6106</v>
      </c>
      <c r="B641" s="394" t="s">
        <v>5636</v>
      </c>
      <c r="C641" s="389" t="s">
        <v>5044</v>
      </c>
      <c r="D641" s="389">
        <v>2</v>
      </c>
      <c r="E641" s="389" t="s">
        <v>4927</v>
      </c>
      <c r="F641" s="390">
        <v>457.35</v>
      </c>
      <c r="G641" s="390">
        <v>914.7</v>
      </c>
      <c r="H641" s="389">
        <v>0</v>
      </c>
      <c r="I641" s="389">
        <v>99.63</v>
      </c>
      <c r="J641" s="389">
        <v>0</v>
      </c>
      <c r="K641" s="389">
        <v>54.8</v>
      </c>
    </row>
    <row r="642" spans="1:11" hidden="1" x14ac:dyDescent="0.25">
      <c r="A642" s="389" t="s">
        <v>6107</v>
      </c>
      <c r="B642" s="394" t="s">
        <v>6108</v>
      </c>
      <c r="C642" s="389" t="s">
        <v>4979</v>
      </c>
      <c r="D642" s="389">
        <v>680</v>
      </c>
      <c r="E642" s="389" t="s">
        <v>4927</v>
      </c>
      <c r="F642" s="390">
        <v>1.32</v>
      </c>
      <c r="G642" s="390">
        <v>897.6</v>
      </c>
      <c r="H642" s="389">
        <v>0</v>
      </c>
      <c r="I642" s="389">
        <v>99.63</v>
      </c>
      <c r="J642" s="389">
        <v>0</v>
      </c>
      <c r="K642" s="389">
        <v>54.8</v>
      </c>
    </row>
    <row r="643" spans="1:11" hidden="1" x14ac:dyDescent="0.25">
      <c r="A643" s="389" t="s">
        <v>6109</v>
      </c>
      <c r="B643" s="394" t="s">
        <v>6110</v>
      </c>
      <c r="C643" s="389" t="s">
        <v>5164</v>
      </c>
      <c r="D643" s="389">
        <v>145</v>
      </c>
      <c r="E643" s="389" t="s">
        <v>4927</v>
      </c>
      <c r="F643" s="390">
        <v>6.04</v>
      </c>
      <c r="G643" s="390">
        <v>875.8</v>
      </c>
      <c r="H643" s="389">
        <v>0</v>
      </c>
      <c r="I643" s="389">
        <v>99.63</v>
      </c>
      <c r="J643" s="389">
        <v>0</v>
      </c>
      <c r="K643" s="389">
        <v>54.8</v>
      </c>
    </row>
    <row r="644" spans="1:11" ht="45" hidden="1" x14ac:dyDescent="0.25">
      <c r="A644" s="389" t="s">
        <v>6111</v>
      </c>
      <c r="B644" s="394" t="s">
        <v>6112</v>
      </c>
      <c r="C644" s="389" t="s">
        <v>5164</v>
      </c>
      <c r="D644" s="389">
        <v>26</v>
      </c>
      <c r="E644" s="389" t="s">
        <v>4927</v>
      </c>
      <c r="F644" s="390">
        <v>33.44</v>
      </c>
      <c r="G644" s="390">
        <v>869.44</v>
      </c>
      <c r="H644" s="389">
        <v>0</v>
      </c>
      <c r="I644" s="389">
        <v>99.63</v>
      </c>
      <c r="J644" s="389">
        <v>0</v>
      </c>
      <c r="K644" s="389">
        <v>54.8</v>
      </c>
    </row>
    <row r="645" spans="1:11" hidden="1" x14ac:dyDescent="0.25">
      <c r="A645" s="389" t="s">
        <v>6113</v>
      </c>
      <c r="B645" s="394" t="s">
        <v>6114</v>
      </c>
      <c r="C645" s="389" t="s">
        <v>4956</v>
      </c>
      <c r="D645" s="389">
        <v>19</v>
      </c>
      <c r="E645" s="389" t="s">
        <v>4927</v>
      </c>
      <c r="F645" s="390">
        <v>43.25</v>
      </c>
      <c r="G645" s="390">
        <v>821.75</v>
      </c>
      <c r="H645" s="389">
        <v>0</v>
      </c>
      <c r="I645" s="389">
        <v>99.63</v>
      </c>
      <c r="J645" s="389">
        <v>0</v>
      </c>
      <c r="K645" s="389">
        <v>54.8</v>
      </c>
    </row>
    <row r="646" spans="1:11" hidden="1" x14ac:dyDescent="0.25">
      <c r="A646" s="389" t="s">
        <v>6115</v>
      </c>
      <c r="B646" s="394" t="s">
        <v>6116</v>
      </c>
      <c r="C646" s="389" t="s">
        <v>5044</v>
      </c>
      <c r="D646" s="389">
        <v>1</v>
      </c>
      <c r="E646" s="389" t="s">
        <v>4927</v>
      </c>
      <c r="F646" s="390">
        <v>791.65</v>
      </c>
      <c r="G646" s="390">
        <v>791.65</v>
      </c>
      <c r="H646" s="389">
        <v>0</v>
      </c>
      <c r="I646" s="389">
        <v>99.63</v>
      </c>
      <c r="J646" s="389">
        <v>0</v>
      </c>
      <c r="K646" s="389">
        <v>54.8</v>
      </c>
    </row>
    <row r="647" spans="1:11" ht="30" hidden="1" x14ac:dyDescent="0.25">
      <c r="A647" s="389" t="s">
        <v>6117</v>
      </c>
      <c r="B647" s="394" t="s">
        <v>6118</v>
      </c>
      <c r="C647" s="389" t="s">
        <v>4979</v>
      </c>
      <c r="D647" s="389">
        <v>400</v>
      </c>
      <c r="E647" s="389" t="s">
        <v>4927</v>
      </c>
      <c r="F647" s="390">
        <v>1.97</v>
      </c>
      <c r="G647" s="390">
        <v>788</v>
      </c>
      <c r="H647" s="389">
        <v>0</v>
      </c>
      <c r="I647" s="389">
        <v>99.63</v>
      </c>
      <c r="J647" s="389">
        <v>0</v>
      </c>
      <c r="K647" s="389">
        <v>54.8</v>
      </c>
    </row>
    <row r="648" spans="1:11" hidden="1" x14ac:dyDescent="0.25">
      <c r="A648" s="389" t="s">
        <v>6119</v>
      </c>
      <c r="B648" s="394" t="s">
        <v>6120</v>
      </c>
      <c r="C648" s="389" t="s">
        <v>4979</v>
      </c>
      <c r="D648" s="389">
        <v>90</v>
      </c>
      <c r="E648" s="389" t="s">
        <v>4927</v>
      </c>
      <c r="F648" s="390">
        <v>8.4499999999999993</v>
      </c>
      <c r="G648" s="390">
        <v>760.5</v>
      </c>
      <c r="H648" s="389">
        <v>0</v>
      </c>
      <c r="I648" s="389">
        <v>99.63</v>
      </c>
      <c r="J648" s="389">
        <v>0</v>
      </c>
      <c r="K648" s="389">
        <v>54.8</v>
      </c>
    </row>
    <row r="649" spans="1:11" hidden="1" x14ac:dyDescent="0.25">
      <c r="A649" s="389" t="s">
        <v>6121</v>
      </c>
      <c r="B649" s="394" t="s">
        <v>6122</v>
      </c>
      <c r="C649" s="389" t="s">
        <v>4979</v>
      </c>
      <c r="D649" s="389">
        <v>420</v>
      </c>
      <c r="E649" s="389" t="s">
        <v>4927</v>
      </c>
      <c r="F649" s="390">
        <v>1.8</v>
      </c>
      <c r="G649" s="390">
        <v>756</v>
      </c>
      <c r="H649" s="389">
        <v>0</v>
      </c>
      <c r="I649" s="389">
        <v>99.63</v>
      </c>
      <c r="J649" s="389">
        <v>0</v>
      </c>
      <c r="K649" s="389">
        <v>54.8</v>
      </c>
    </row>
    <row r="650" spans="1:11" hidden="1" x14ac:dyDescent="0.25">
      <c r="A650" s="389" t="s">
        <v>6123</v>
      </c>
      <c r="B650" s="394" t="s">
        <v>6124</v>
      </c>
      <c r="C650" s="389" t="s">
        <v>4979</v>
      </c>
      <c r="D650" s="389">
        <v>24</v>
      </c>
      <c r="E650" s="389" t="s">
        <v>4927</v>
      </c>
      <c r="F650" s="390">
        <v>30.84</v>
      </c>
      <c r="G650" s="390">
        <v>740.16</v>
      </c>
      <c r="H650" s="389">
        <v>0</v>
      </c>
      <c r="I650" s="389">
        <v>99.63</v>
      </c>
      <c r="J650" s="389">
        <v>0</v>
      </c>
      <c r="K650" s="389">
        <v>54.8</v>
      </c>
    </row>
    <row r="651" spans="1:11" hidden="1" x14ac:dyDescent="0.25">
      <c r="A651" s="389" t="s">
        <v>6125</v>
      </c>
      <c r="B651" s="394" t="s">
        <v>6126</v>
      </c>
      <c r="C651" s="389" t="s">
        <v>4972</v>
      </c>
      <c r="D651" s="389">
        <v>77.5</v>
      </c>
      <c r="E651" s="389" t="s">
        <v>4927</v>
      </c>
      <c r="F651" s="390">
        <v>9.43</v>
      </c>
      <c r="G651" s="390">
        <v>730.83</v>
      </c>
      <c r="H651" s="389">
        <v>0</v>
      </c>
      <c r="I651" s="389">
        <v>99.63</v>
      </c>
      <c r="J651" s="389">
        <v>0</v>
      </c>
      <c r="K651" s="389">
        <v>54.8</v>
      </c>
    </row>
    <row r="652" spans="1:11" hidden="1" x14ac:dyDescent="0.25">
      <c r="A652" s="389" t="s">
        <v>6127</v>
      </c>
      <c r="B652" s="394" t="s">
        <v>6128</v>
      </c>
      <c r="C652" s="389" t="s">
        <v>4979</v>
      </c>
      <c r="D652" s="389">
        <v>130</v>
      </c>
      <c r="E652" s="389" t="s">
        <v>4927</v>
      </c>
      <c r="F652" s="390">
        <v>5.44</v>
      </c>
      <c r="G652" s="390">
        <v>707.2</v>
      </c>
      <c r="H652" s="389">
        <v>0</v>
      </c>
      <c r="I652" s="389">
        <v>99.63</v>
      </c>
      <c r="J652" s="389">
        <v>0</v>
      </c>
      <c r="K652" s="389">
        <v>54.8</v>
      </c>
    </row>
    <row r="653" spans="1:11" hidden="1" x14ac:dyDescent="0.25">
      <c r="A653" s="389" t="s">
        <v>6129</v>
      </c>
      <c r="B653" s="394" t="s">
        <v>6130</v>
      </c>
      <c r="C653" s="389" t="s">
        <v>4986</v>
      </c>
      <c r="D653" s="389">
        <v>10</v>
      </c>
      <c r="E653" s="389" t="s">
        <v>4927</v>
      </c>
      <c r="F653" s="390">
        <v>69.91</v>
      </c>
      <c r="G653" s="390">
        <v>699.1</v>
      </c>
      <c r="H653" s="389">
        <v>0</v>
      </c>
      <c r="I653" s="389">
        <v>99.63</v>
      </c>
      <c r="J653" s="389">
        <v>0</v>
      </c>
      <c r="K653" s="389">
        <v>54.8</v>
      </c>
    </row>
    <row r="654" spans="1:11" ht="30" hidden="1" x14ac:dyDescent="0.25">
      <c r="A654" s="389" t="s">
        <v>6131</v>
      </c>
      <c r="B654" s="394" t="s">
        <v>6132</v>
      </c>
      <c r="C654" s="389" t="s">
        <v>4979</v>
      </c>
      <c r="D654" s="389">
        <v>69.09</v>
      </c>
      <c r="E654" s="389" t="s">
        <v>4927</v>
      </c>
      <c r="F654" s="390">
        <v>10.09</v>
      </c>
      <c r="G654" s="390">
        <v>697.12</v>
      </c>
      <c r="H654" s="389">
        <v>0</v>
      </c>
      <c r="I654" s="389">
        <v>99.63</v>
      </c>
      <c r="J654" s="389">
        <v>0</v>
      </c>
      <c r="K654" s="389">
        <v>54.8</v>
      </c>
    </row>
    <row r="655" spans="1:11" ht="30" hidden="1" x14ac:dyDescent="0.25">
      <c r="A655" s="389" t="s">
        <v>6133</v>
      </c>
      <c r="B655" s="394" t="s">
        <v>6134</v>
      </c>
      <c r="C655" s="389" t="s">
        <v>4956</v>
      </c>
      <c r="D655" s="389">
        <v>3</v>
      </c>
      <c r="E655" s="389" t="s">
        <v>4927</v>
      </c>
      <c r="F655" s="390">
        <v>231.06</v>
      </c>
      <c r="G655" s="390">
        <v>693.18</v>
      </c>
      <c r="H655" s="389">
        <v>0</v>
      </c>
      <c r="I655" s="389">
        <v>99.63</v>
      </c>
      <c r="J655" s="389">
        <v>0</v>
      </c>
      <c r="K655" s="389">
        <v>54.8</v>
      </c>
    </row>
    <row r="656" spans="1:11" ht="45" hidden="1" x14ac:dyDescent="0.25">
      <c r="A656" s="389" t="s">
        <v>6135</v>
      </c>
      <c r="B656" s="394" t="s">
        <v>6136</v>
      </c>
      <c r="C656" s="389" t="s">
        <v>5164</v>
      </c>
      <c r="D656" s="389">
        <v>16</v>
      </c>
      <c r="E656" s="389" t="s">
        <v>4927</v>
      </c>
      <c r="F656" s="390">
        <v>42.32</v>
      </c>
      <c r="G656" s="390">
        <v>677.12</v>
      </c>
      <c r="H656" s="389">
        <v>0</v>
      </c>
      <c r="I656" s="389">
        <v>99.63</v>
      </c>
      <c r="J656" s="389">
        <v>0</v>
      </c>
      <c r="K656" s="389">
        <v>54.8</v>
      </c>
    </row>
    <row r="657" spans="1:11" ht="30" hidden="1" x14ac:dyDescent="0.25">
      <c r="A657" s="389" t="s">
        <v>6137</v>
      </c>
      <c r="B657" s="394" t="s">
        <v>6138</v>
      </c>
      <c r="C657" s="389" t="s">
        <v>4956</v>
      </c>
      <c r="D657" s="389">
        <v>2</v>
      </c>
      <c r="E657" s="389" t="s">
        <v>4927</v>
      </c>
      <c r="F657" s="390">
        <v>334.23</v>
      </c>
      <c r="G657" s="390">
        <v>668.46</v>
      </c>
      <c r="H657" s="389">
        <v>0</v>
      </c>
      <c r="I657" s="389">
        <v>99.63</v>
      </c>
      <c r="J657" s="389">
        <v>0</v>
      </c>
      <c r="K657" s="389">
        <v>54.8</v>
      </c>
    </row>
    <row r="658" spans="1:11" ht="30" hidden="1" x14ac:dyDescent="0.25">
      <c r="A658" s="389" t="s">
        <v>6139</v>
      </c>
      <c r="B658" s="394" t="s">
        <v>6140</v>
      </c>
      <c r="C658" s="389" t="s">
        <v>4956</v>
      </c>
      <c r="D658" s="389">
        <v>5</v>
      </c>
      <c r="E658" s="389" t="s">
        <v>4927</v>
      </c>
      <c r="F658" s="390">
        <v>133.52000000000001</v>
      </c>
      <c r="G658" s="390">
        <v>667.6</v>
      </c>
      <c r="H658" s="389">
        <v>0</v>
      </c>
      <c r="I658" s="389">
        <v>99.63</v>
      </c>
      <c r="J658" s="389">
        <v>0</v>
      </c>
      <c r="K658" s="389">
        <v>54.8</v>
      </c>
    </row>
    <row r="659" spans="1:11" ht="30" hidden="1" x14ac:dyDescent="0.25">
      <c r="A659" s="389" t="s">
        <v>6141</v>
      </c>
      <c r="B659" s="394" t="s">
        <v>6142</v>
      </c>
      <c r="C659" s="389" t="s">
        <v>4979</v>
      </c>
      <c r="D659" s="389">
        <v>53.53</v>
      </c>
      <c r="E659" s="389" t="s">
        <v>4927</v>
      </c>
      <c r="F659" s="390">
        <v>12.42</v>
      </c>
      <c r="G659" s="390">
        <v>664.84</v>
      </c>
      <c r="H659" s="389">
        <v>0</v>
      </c>
      <c r="I659" s="389">
        <v>99.63</v>
      </c>
      <c r="J659" s="389">
        <v>0</v>
      </c>
      <c r="K659" s="389">
        <v>54.8</v>
      </c>
    </row>
    <row r="660" spans="1:11" hidden="1" x14ac:dyDescent="0.25">
      <c r="A660" s="389" t="s">
        <v>6143</v>
      </c>
      <c r="B660" s="394" t="s">
        <v>6144</v>
      </c>
      <c r="C660" s="389" t="s">
        <v>4956</v>
      </c>
      <c r="D660" s="389">
        <v>2</v>
      </c>
      <c r="E660" s="389" t="s">
        <v>4927</v>
      </c>
      <c r="F660" s="390">
        <v>324.69</v>
      </c>
      <c r="G660" s="390">
        <v>649.38</v>
      </c>
      <c r="H660" s="389">
        <v>0</v>
      </c>
      <c r="I660" s="389">
        <v>99.63</v>
      </c>
      <c r="J660" s="389">
        <v>0</v>
      </c>
      <c r="K660" s="389">
        <v>54.8</v>
      </c>
    </row>
    <row r="661" spans="1:11" ht="30" hidden="1" x14ac:dyDescent="0.25">
      <c r="A661" s="389" t="s">
        <v>6145</v>
      </c>
      <c r="B661" s="394" t="s">
        <v>6146</v>
      </c>
      <c r="C661" s="389" t="s">
        <v>4956</v>
      </c>
      <c r="D661" s="389">
        <v>11</v>
      </c>
      <c r="E661" s="389" t="s">
        <v>4927</v>
      </c>
      <c r="F661" s="390">
        <v>58.04</v>
      </c>
      <c r="G661" s="390">
        <v>638.44000000000005</v>
      </c>
      <c r="H661" s="389">
        <v>0</v>
      </c>
      <c r="I661" s="389">
        <v>99.63</v>
      </c>
      <c r="J661" s="389">
        <v>0</v>
      </c>
      <c r="K661" s="389">
        <v>54.8</v>
      </c>
    </row>
    <row r="662" spans="1:11" ht="30" hidden="1" x14ac:dyDescent="0.25">
      <c r="A662" s="389" t="s">
        <v>6147</v>
      </c>
      <c r="B662" s="394" t="s">
        <v>6148</v>
      </c>
      <c r="C662" s="389" t="s">
        <v>5164</v>
      </c>
      <c r="D662" s="389">
        <v>23</v>
      </c>
      <c r="E662" s="389" t="s">
        <v>4927</v>
      </c>
      <c r="F662" s="390">
        <v>27.2</v>
      </c>
      <c r="G662" s="390">
        <v>625.6</v>
      </c>
      <c r="H662" s="389">
        <v>0</v>
      </c>
      <c r="I662" s="389">
        <v>99.63</v>
      </c>
      <c r="J662" s="389">
        <v>0</v>
      </c>
      <c r="K662" s="389">
        <v>54.8</v>
      </c>
    </row>
    <row r="663" spans="1:11" ht="45" hidden="1" x14ac:dyDescent="0.25">
      <c r="A663" s="389" t="s">
        <v>6149</v>
      </c>
      <c r="B663" s="394" t="s">
        <v>6150</v>
      </c>
      <c r="C663" s="389" t="s">
        <v>4956</v>
      </c>
      <c r="D663" s="389">
        <v>19</v>
      </c>
      <c r="E663" s="389" t="s">
        <v>4927</v>
      </c>
      <c r="F663" s="390">
        <v>30.23</v>
      </c>
      <c r="G663" s="390">
        <v>574.37</v>
      </c>
      <c r="H663" s="389">
        <v>0</v>
      </c>
      <c r="I663" s="389">
        <v>99.63</v>
      </c>
      <c r="J663" s="389">
        <v>0</v>
      </c>
      <c r="K663" s="389">
        <v>54.8</v>
      </c>
    </row>
    <row r="664" spans="1:11" hidden="1" x14ac:dyDescent="0.25">
      <c r="A664" s="389" t="s">
        <v>6151</v>
      </c>
      <c r="B664" s="394" t="s">
        <v>6152</v>
      </c>
      <c r="C664" s="389" t="s">
        <v>4956</v>
      </c>
      <c r="D664" s="389">
        <v>3</v>
      </c>
      <c r="E664" s="389" t="s">
        <v>4927</v>
      </c>
      <c r="F664" s="390">
        <v>191.19</v>
      </c>
      <c r="G664" s="390">
        <v>573.57000000000005</v>
      </c>
      <c r="H664" s="389">
        <v>0</v>
      </c>
      <c r="I664" s="389">
        <v>99.63</v>
      </c>
      <c r="J664" s="389">
        <v>0</v>
      </c>
      <c r="K664" s="389">
        <v>54.8</v>
      </c>
    </row>
    <row r="665" spans="1:11" hidden="1" x14ac:dyDescent="0.25">
      <c r="A665" s="389" t="s">
        <v>6153</v>
      </c>
      <c r="B665" s="394" t="s">
        <v>6154</v>
      </c>
      <c r="C665" s="389" t="s">
        <v>4956</v>
      </c>
      <c r="D665" s="389">
        <v>1</v>
      </c>
      <c r="E665" s="389" t="s">
        <v>4927</v>
      </c>
      <c r="F665" s="390">
        <v>550.92999999999995</v>
      </c>
      <c r="G665" s="390">
        <v>550.92999999999995</v>
      </c>
      <c r="H665" s="389">
        <v>0</v>
      </c>
      <c r="I665" s="389">
        <v>99.63</v>
      </c>
      <c r="J665" s="389">
        <v>0</v>
      </c>
      <c r="K665" s="389">
        <v>54.8</v>
      </c>
    </row>
    <row r="666" spans="1:11" ht="30" hidden="1" x14ac:dyDescent="0.25">
      <c r="A666" s="389" t="s">
        <v>6155</v>
      </c>
      <c r="B666" s="394" t="s">
        <v>6156</v>
      </c>
      <c r="C666" s="389" t="s">
        <v>5164</v>
      </c>
      <c r="D666" s="389">
        <v>13</v>
      </c>
      <c r="E666" s="389" t="s">
        <v>4927</v>
      </c>
      <c r="F666" s="390">
        <v>42.32</v>
      </c>
      <c r="G666" s="390">
        <v>550.16</v>
      </c>
      <c r="H666" s="389">
        <v>0</v>
      </c>
      <c r="I666" s="389">
        <v>99.63</v>
      </c>
      <c r="J666" s="389">
        <v>0</v>
      </c>
      <c r="K666" s="389">
        <v>54.8</v>
      </c>
    </row>
    <row r="667" spans="1:11" hidden="1" x14ac:dyDescent="0.25">
      <c r="A667" s="389" t="s">
        <v>425</v>
      </c>
      <c r="B667" s="394" t="s">
        <v>6157</v>
      </c>
      <c r="C667" s="389" t="s">
        <v>4949</v>
      </c>
      <c r="D667" s="391">
        <v>4894.9416549999996</v>
      </c>
      <c r="E667" s="389" t="s">
        <v>4927</v>
      </c>
      <c r="F667" s="390">
        <v>0.11</v>
      </c>
      <c r="G667" s="390">
        <v>545.66999999999996</v>
      </c>
      <c r="H667" s="389">
        <v>0</v>
      </c>
      <c r="I667" s="389">
        <v>99.63</v>
      </c>
      <c r="J667" s="389">
        <v>0</v>
      </c>
      <c r="K667" s="389">
        <v>54.8</v>
      </c>
    </row>
    <row r="668" spans="1:11" ht="30" hidden="1" x14ac:dyDescent="0.25">
      <c r="A668" s="389" t="s">
        <v>6158</v>
      </c>
      <c r="B668" s="394" t="s">
        <v>6159</v>
      </c>
      <c r="C668" s="389" t="s">
        <v>5164</v>
      </c>
      <c r="D668" s="389">
        <v>45</v>
      </c>
      <c r="E668" s="389" t="s">
        <v>4927</v>
      </c>
      <c r="F668" s="390">
        <v>11.82</v>
      </c>
      <c r="G668" s="390">
        <v>531.9</v>
      </c>
      <c r="H668" s="389">
        <v>0</v>
      </c>
      <c r="I668" s="389">
        <v>99.63</v>
      </c>
      <c r="J668" s="389">
        <v>0</v>
      </c>
      <c r="K668" s="389">
        <v>54.8</v>
      </c>
    </row>
    <row r="669" spans="1:11" ht="30" hidden="1" x14ac:dyDescent="0.25">
      <c r="A669" s="389" t="s">
        <v>6160</v>
      </c>
      <c r="B669" s="394" t="s">
        <v>6161</v>
      </c>
      <c r="C669" s="389" t="s">
        <v>4956</v>
      </c>
      <c r="D669" s="389">
        <v>5</v>
      </c>
      <c r="E669" s="389" t="s">
        <v>4927</v>
      </c>
      <c r="F669" s="390">
        <v>101.92</v>
      </c>
      <c r="G669" s="390">
        <v>509.6</v>
      </c>
      <c r="H669" s="389">
        <v>0</v>
      </c>
      <c r="I669" s="389">
        <v>99.63</v>
      </c>
      <c r="J669" s="389">
        <v>0</v>
      </c>
      <c r="K669" s="389">
        <v>54.8</v>
      </c>
    </row>
    <row r="670" spans="1:11" ht="45" hidden="1" x14ac:dyDescent="0.25">
      <c r="A670" s="389" t="s">
        <v>6162</v>
      </c>
      <c r="B670" s="394" t="s">
        <v>6163</v>
      </c>
      <c r="C670" s="389" t="s">
        <v>4986</v>
      </c>
      <c r="D670" s="389">
        <v>3</v>
      </c>
      <c r="E670" s="389" t="s">
        <v>4927</v>
      </c>
      <c r="F670" s="390">
        <v>167.98</v>
      </c>
      <c r="G670" s="390">
        <v>503.94</v>
      </c>
      <c r="H670" s="389">
        <v>0</v>
      </c>
      <c r="I670" s="389">
        <v>99.63</v>
      </c>
      <c r="J670" s="389">
        <v>0</v>
      </c>
      <c r="K670" s="389">
        <v>54.8</v>
      </c>
    </row>
    <row r="671" spans="1:11" ht="30" hidden="1" x14ac:dyDescent="0.25">
      <c r="A671" s="389" t="s">
        <v>6164</v>
      </c>
      <c r="B671" s="394" t="s">
        <v>6165</v>
      </c>
      <c r="C671" s="389" t="s">
        <v>4956</v>
      </c>
      <c r="D671" s="389">
        <v>2</v>
      </c>
      <c r="E671" s="389" t="s">
        <v>4927</v>
      </c>
      <c r="F671" s="390">
        <v>249.63</v>
      </c>
      <c r="G671" s="390">
        <v>499.26</v>
      </c>
      <c r="H671" s="389">
        <v>0</v>
      </c>
      <c r="I671" s="389">
        <v>99.63</v>
      </c>
      <c r="J671" s="389">
        <v>0</v>
      </c>
      <c r="K671" s="389">
        <v>54.8</v>
      </c>
    </row>
    <row r="672" spans="1:11" hidden="1" x14ac:dyDescent="0.25">
      <c r="A672" s="389" t="s">
        <v>6166</v>
      </c>
      <c r="B672" s="394" t="s">
        <v>6167</v>
      </c>
      <c r="C672" s="389" t="s">
        <v>4979</v>
      </c>
      <c r="D672" s="389">
        <v>9.75</v>
      </c>
      <c r="E672" s="389" t="s">
        <v>4927</v>
      </c>
      <c r="F672" s="390">
        <v>49.34</v>
      </c>
      <c r="G672" s="390">
        <v>481.07</v>
      </c>
      <c r="H672" s="389">
        <v>0</v>
      </c>
      <c r="I672" s="389">
        <v>99.63</v>
      </c>
      <c r="J672" s="389">
        <v>0</v>
      </c>
      <c r="K672" s="389">
        <v>54.8</v>
      </c>
    </row>
    <row r="673" spans="1:11" ht="30" hidden="1" x14ac:dyDescent="0.25">
      <c r="A673" s="389" t="s">
        <v>6168</v>
      </c>
      <c r="B673" s="394" t="s">
        <v>6169</v>
      </c>
      <c r="C673" s="389" t="s">
        <v>5164</v>
      </c>
      <c r="D673" s="389">
        <v>16</v>
      </c>
      <c r="E673" s="389" t="s">
        <v>4927</v>
      </c>
      <c r="F673" s="390">
        <v>28.29</v>
      </c>
      <c r="G673" s="390">
        <v>452.64</v>
      </c>
      <c r="H673" s="389">
        <v>0</v>
      </c>
      <c r="I673" s="389">
        <v>99.63</v>
      </c>
      <c r="J673" s="389">
        <v>0</v>
      </c>
      <c r="K673" s="389">
        <v>54.8</v>
      </c>
    </row>
    <row r="674" spans="1:11" ht="30" hidden="1" x14ac:dyDescent="0.25">
      <c r="A674" s="389" t="s">
        <v>6170</v>
      </c>
      <c r="B674" s="394" t="s">
        <v>6171</v>
      </c>
      <c r="C674" s="389" t="s">
        <v>4956</v>
      </c>
      <c r="D674" s="389">
        <v>5</v>
      </c>
      <c r="E674" s="389" t="s">
        <v>4927</v>
      </c>
      <c r="F674" s="390">
        <v>90.31</v>
      </c>
      <c r="G674" s="390">
        <v>451.55</v>
      </c>
      <c r="H674" s="389">
        <v>0</v>
      </c>
      <c r="I674" s="389">
        <v>99.63</v>
      </c>
      <c r="J674" s="389">
        <v>0</v>
      </c>
      <c r="K674" s="389">
        <v>54.8</v>
      </c>
    </row>
    <row r="675" spans="1:11" ht="30" hidden="1" x14ac:dyDescent="0.25">
      <c r="A675" s="389" t="s">
        <v>6172</v>
      </c>
      <c r="B675" s="394" t="s">
        <v>6173</v>
      </c>
      <c r="C675" s="389" t="s">
        <v>4956</v>
      </c>
      <c r="D675" s="389">
        <v>2.6</v>
      </c>
      <c r="E675" s="389" t="s">
        <v>4927</v>
      </c>
      <c r="F675" s="390">
        <v>165.46</v>
      </c>
      <c r="G675" s="390">
        <v>430.2</v>
      </c>
      <c r="H675" s="389">
        <v>0</v>
      </c>
      <c r="I675" s="389">
        <v>99.63</v>
      </c>
      <c r="J675" s="389">
        <v>0</v>
      </c>
      <c r="K675" s="389">
        <v>54.8</v>
      </c>
    </row>
    <row r="676" spans="1:11" ht="30" hidden="1" x14ac:dyDescent="0.25">
      <c r="A676" s="389" t="s">
        <v>6174</v>
      </c>
      <c r="B676" s="394" t="s">
        <v>5570</v>
      </c>
      <c r="C676" s="389" t="s">
        <v>5044</v>
      </c>
      <c r="D676" s="389">
        <v>1</v>
      </c>
      <c r="E676" s="389" t="s">
        <v>4927</v>
      </c>
      <c r="F676" s="390">
        <v>389.29</v>
      </c>
      <c r="G676" s="390">
        <v>389.29</v>
      </c>
      <c r="H676" s="389">
        <v>0</v>
      </c>
      <c r="I676" s="389">
        <v>99.63</v>
      </c>
      <c r="J676" s="389">
        <v>0</v>
      </c>
      <c r="K676" s="389">
        <v>54.8</v>
      </c>
    </row>
    <row r="677" spans="1:11" ht="30" hidden="1" x14ac:dyDescent="0.25">
      <c r="A677" s="389" t="s">
        <v>6175</v>
      </c>
      <c r="B677" s="394" t="s">
        <v>6176</v>
      </c>
      <c r="C677" s="389" t="s">
        <v>4956</v>
      </c>
      <c r="D677" s="389">
        <v>2</v>
      </c>
      <c r="E677" s="389" t="s">
        <v>4927</v>
      </c>
      <c r="F677" s="390">
        <v>191.48</v>
      </c>
      <c r="G677" s="390">
        <v>382.96</v>
      </c>
      <c r="H677" s="389">
        <v>0</v>
      </c>
      <c r="I677" s="389">
        <v>99.63</v>
      </c>
      <c r="J677" s="389">
        <v>0</v>
      </c>
      <c r="K677" s="389">
        <v>54.8</v>
      </c>
    </row>
    <row r="678" spans="1:11" hidden="1" x14ac:dyDescent="0.25">
      <c r="A678" s="389" t="s">
        <v>6177</v>
      </c>
      <c r="B678" s="394" t="s">
        <v>6178</v>
      </c>
      <c r="C678" s="389" t="s">
        <v>4956</v>
      </c>
      <c r="D678" s="389">
        <v>2</v>
      </c>
      <c r="E678" s="389" t="s">
        <v>4927</v>
      </c>
      <c r="F678" s="390">
        <v>188.96</v>
      </c>
      <c r="G678" s="390">
        <v>377.92</v>
      </c>
      <c r="H678" s="389">
        <v>0</v>
      </c>
      <c r="I678" s="389">
        <v>99.63</v>
      </c>
      <c r="J678" s="389">
        <v>0</v>
      </c>
      <c r="K678" s="389">
        <v>54.8</v>
      </c>
    </row>
    <row r="679" spans="1:11" ht="30" hidden="1" x14ac:dyDescent="0.25">
      <c r="A679" s="389" t="s">
        <v>6179</v>
      </c>
      <c r="B679" s="394" t="s">
        <v>6180</v>
      </c>
      <c r="C679" s="389" t="s">
        <v>4979</v>
      </c>
      <c r="D679" s="389">
        <v>53.46</v>
      </c>
      <c r="E679" s="389" t="s">
        <v>4927</v>
      </c>
      <c r="F679" s="390">
        <v>6.64</v>
      </c>
      <c r="G679" s="390">
        <v>354.97</v>
      </c>
      <c r="H679" s="389">
        <v>0</v>
      </c>
      <c r="I679" s="389">
        <v>99.63</v>
      </c>
      <c r="J679" s="389">
        <v>0</v>
      </c>
      <c r="K679" s="389">
        <v>54.8</v>
      </c>
    </row>
    <row r="680" spans="1:11" hidden="1" x14ac:dyDescent="0.25">
      <c r="A680" s="389" t="s">
        <v>6181</v>
      </c>
      <c r="B680" s="394" t="s">
        <v>6182</v>
      </c>
      <c r="C680" s="389" t="s">
        <v>5164</v>
      </c>
      <c r="D680" s="389">
        <v>9</v>
      </c>
      <c r="E680" s="389" t="s">
        <v>4927</v>
      </c>
      <c r="F680" s="390">
        <v>36.28</v>
      </c>
      <c r="G680" s="390">
        <v>326.52</v>
      </c>
      <c r="H680" s="389">
        <v>0</v>
      </c>
      <c r="I680" s="389">
        <v>99.63</v>
      </c>
      <c r="J680" s="389">
        <v>0</v>
      </c>
      <c r="K680" s="389">
        <v>54.8</v>
      </c>
    </row>
    <row r="681" spans="1:11" hidden="1" x14ac:dyDescent="0.25">
      <c r="A681" s="389" t="s">
        <v>6183</v>
      </c>
      <c r="B681" s="394" t="s">
        <v>6184</v>
      </c>
      <c r="C681" s="389" t="s">
        <v>4979</v>
      </c>
      <c r="D681" s="389">
        <v>90</v>
      </c>
      <c r="E681" s="389" t="s">
        <v>4927</v>
      </c>
      <c r="F681" s="390">
        <v>3.62</v>
      </c>
      <c r="G681" s="390">
        <v>325.8</v>
      </c>
      <c r="H681" s="389">
        <v>0</v>
      </c>
      <c r="I681" s="389">
        <v>99.63</v>
      </c>
      <c r="J681" s="389">
        <v>0</v>
      </c>
      <c r="K681" s="389">
        <v>54.8</v>
      </c>
    </row>
    <row r="682" spans="1:11" hidden="1" x14ac:dyDescent="0.25">
      <c r="A682" s="389" t="s">
        <v>6185</v>
      </c>
      <c r="B682" s="394" t="s">
        <v>6186</v>
      </c>
      <c r="C682" s="389" t="s">
        <v>4956</v>
      </c>
      <c r="D682" s="389">
        <v>2</v>
      </c>
      <c r="E682" s="389" t="s">
        <v>4927</v>
      </c>
      <c r="F682" s="390">
        <v>153.84</v>
      </c>
      <c r="G682" s="390">
        <v>307.68</v>
      </c>
      <c r="H682" s="389">
        <v>0</v>
      </c>
      <c r="I682" s="389">
        <v>99.63</v>
      </c>
      <c r="J682" s="389">
        <v>0</v>
      </c>
      <c r="K682" s="389">
        <v>54.8</v>
      </c>
    </row>
    <row r="683" spans="1:11" hidden="1" x14ac:dyDescent="0.25">
      <c r="A683" s="389" t="s">
        <v>6187</v>
      </c>
      <c r="B683" s="394" t="s">
        <v>6188</v>
      </c>
      <c r="C683" s="389" t="s">
        <v>4979</v>
      </c>
      <c r="D683" s="389">
        <v>40</v>
      </c>
      <c r="E683" s="389" t="s">
        <v>4927</v>
      </c>
      <c r="F683" s="390">
        <v>7.38</v>
      </c>
      <c r="G683" s="390">
        <v>295.2</v>
      </c>
      <c r="H683" s="389">
        <v>0</v>
      </c>
      <c r="I683" s="389">
        <v>99.63</v>
      </c>
      <c r="J683" s="389">
        <v>0</v>
      </c>
      <c r="K683" s="389">
        <v>54.8</v>
      </c>
    </row>
    <row r="684" spans="1:11" ht="45" hidden="1" x14ac:dyDescent="0.25">
      <c r="A684" s="389" t="s">
        <v>6189</v>
      </c>
      <c r="B684" s="394" t="s">
        <v>6190</v>
      </c>
      <c r="C684" s="389" t="s">
        <v>4979</v>
      </c>
      <c r="D684" s="389">
        <v>8</v>
      </c>
      <c r="E684" s="389" t="s">
        <v>4927</v>
      </c>
      <c r="F684" s="390">
        <v>36.57</v>
      </c>
      <c r="G684" s="390">
        <v>292.56</v>
      </c>
      <c r="H684" s="389">
        <v>0</v>
      </c>
      <c r="I684" s="389">
        <v>99.63</v>
      </c>
      <c r="J684" s="389">
        <v>0</v>
      </c>
      <c r="K684" s="389">
        <v>54.8</v>
      </c>
    </row>
    <row r="685" spans="1:11" hidden="1" x14ac:dyDescent="0.25">
      <c r="A685" s="389" t="s">
        <v>6191</v>
      </c>
      <c r="B685" s="394" t="s">
        <v>6192</v>
      </c>
      <c r="C685" s="389" t="s">
        <v>4979</v>
      </c>
      <c r="D685" s="389">
        <v>60</v>
      </c>
      <c r="E685" s="389" t="s">
        <v>4927</v>
      </c>
      <c r="F685" s="390">
        <v>4.83</v>
      </c>
      <c r="G685" s="390">
        <v>289.8</v>
      </c>
      <c r="H685" s="389">
        <v>0</v>
      </c>
      <c r="I685" s="389">
        <v>99.63</v>
      </c>
      <c r="J685" s="389">
        <v>0</v>
      </c>
      <c r="K685" s="389">
        <v>54.8</v>
      </c>
    </row>
    <row r="686" spans="1:11" hidden="1" x14ac:dyDescent="0.25">
      <c r="A686" s="389" t="s">
        <v>6193</v>
      </c>
      <c r="B686" s="394" t="s">
        <v>6194</v>
      </c>
      <c r="C686" s="389" t="s">
        <v>5164</v>
      </c>
      <c r="D686" s="389">
        <v>28</v>
      </c>
      <c r="E686" s="389" t="s">
        <v>4927</v>
      </c>
      <c r="F686" s="390">
        <v>9.06</v>
      </c>
      <c r="G686" s="390">
        <v>253.68</v>
      </c>
      <c r="H686" s="389">
        <v>0</v>
      </c>
      <c r="I686" s="389">
        <v>99.63</v>
      </c>
      <c r="J686" s="389">
        <v>0</v>
      </c>
      <c r="K686" s="389">
        <v>54.8</v>
      </c>
    </row>
    <row r="687" spans="1:11" hidden="1" x14ac:dyDescent="0.25">
      <c r="A687" s="389" t="s">
        <v>484</v>
      </c>
      <c r="B687" s="394" t="s">
        <v>6195</v>
      </c>
      <c r="C687" s="389" t="s">
        <v>4956</v>
      </c>
      <c r="D687" s="389">
        <v>14.882669999999999</v>
      </c>
      <c r="E687" s="389" t="s">
        <v>4927</v>
      </c>
      <c r="F687" s="390">
        <v>16.55</v>
      </c>
      <c r="G687" s="390">
        <v>247.05</v>
      </c>
      <c r="H687" s="389">
        <v>0</v>
      </c>
      <c r="I687" s="389">
        <v>99.63</v>
      </c>
      <c r="J687" s="389">
        <v>0</v>
      </c>
      <c r="K687" s="389">
        <v>54.8</v>
      </c>
    </row>
    <row r="688" spans="1:11" hidden="1" x14ac:dyDescent="0.25">
      <c r="A688" s="389" t="s">
        <v>6196</v>
      </c>
      <c r="B688" s="394" t="s">
        <v>6197</v>
      </c>
      <c r="C688" s="389" t="s">
        <v>4956</v>
      </c>
      <c r="D688" s="389">
        <v>1</v>
      </c>
      <c r="E688" s="389" t="s">
        <v>4927</v>
      </c>
      <c r="F688" s="390">
        <v>239.1</v>
      </c>
      <c r="G688" s="390">
        <v>239.1</v>
      </c>
      <c r="H688" s="389">
        <v>0</v>
      </c>
      <c r="I688" s="389">
        <v>99.63</v>
      </c>
      <c r="J688" s="389">
        <v>0</v>
      </c>
      <c r="K688" s="389">
        <v>54.8</v>
      </c>
    </row>
    <row r="689" spans="1:11" hidden="1" x14ac:dyDescent="0.25">
      <c r="A689" s="389" t="s">
        <v>6198</v>
      </c>
      <c r="B689" s="394" t="s">
        <v>6199</v>
      </c>
      <c r="C689" s="389" t="s">
        <v>5164</v>
      </c>
      <c r="D689" s="389">
        <v>3</v>
      </c>
      <c r="E689" s="389" t="s">
        <v>4927</v>
      </c>
      <c r="F689" s="390">
        <v>72.56</v>
      </c>
      <c r="G689" s="390">
        <v>217.68</v>
      </c>
      <c r="H689" s="389">
        <v>0</v>
      </c>
      <c r="I689" s="389">
        <v>99.63</v>
      </c>
      <c r="J689" s="389">
        <v>0</v>
      </c>
      <c r="K689" s="389">
        <v>54.8</v>
      </c>
    </row>
    <row r="690" spans="1:11" ht="30" hidden="1" x14ac:dyDescent="0.25">
      <c r="A690" s="389" t="s">
        <v>6200</v>
      </c>
      <c r="B690" s="394" t="s">
        <v>5916</v>
      </c>
      <c r="C690" s="389" t="s">
        <v>5164</v>
      </c>
      <c r="D690" s="389">
        <v>8</v>
      </c>
      <c r="E690" s="389" t="s">
        <v>4927</v>
      </c>
      <c r="F690" s="390">
        <v>27.2</v>
      </c>
      <c r="G690" s="390">
        <v>217.6</v>
      </c>
      <c r="H690" s="389">
        <v>0</v>
      </c>
      <c r="I690" s="389">
        <v>99.63</v>
      </c>
      <c r="J690" s="389">
        <v>0</v>
      </c>
      <c r="K690" s="389">
        <v>54.8</v>
      </c>
    </row>
    <row r="691" spans="1:11" hidden="1" x14ac:dyDescent="0.25">
      <c r="A691" s="389" t="s">
        <v>6201</v>
      </c>
      <c r="B691" s="394" t="s">
        <v>6202</v>
      </c>
      <c r="C691" s="389" t="s">
        <v>4956</v>
      </c>
      <c r="D691" s="389">
        <v>24</v>
      </c>
      <c r="E691" s="389" t="s">
        <v>4927</v>
      </c>
      <c r="F691" s="390">
        <v>8.8000000000000007</v>
      </c>
      <c r="G691" s="390">
        <v>211.2</v>
      </c>
      <c r="H691" s="389">
        <v>0</v>
      </c>
      <c r="I691" s="389">
        <v>99.63</v>
      </c>
      <c r="J691" s="389">
        <v>0</v>
      </c>
      <c r="K691" s="389">
        <v>54.8</v>
      </c>
    </row>
    <row r="692" spans="1:11" ht="30" hidden="1" x14ac:dyDescent="0.25">
      <c r="A692" s="389" t="s">
        <v>6203</v>
      </c>
      <c r="B692" s="394" t="s">
        <v>6204</v>
      </c>
      <c r="C692" s="389" t="s">
        <v>5164</v>
      </c>
      <c r="D692" s="389">
        <v>41</v>
      </c>
      <c r="E692" s="389" t="s">
        <v>4927</v>
      </c>
      <c r="F692" s="390">
        <v>4.83</v>
      </c>
      <c r="G692" s="390">
        <v>198.03</v>
      </c>
      <c r="H692" s="389">
        <v>0</v>
      </c>
      <c r="I692" s="389">
        <v>99.63</v>
      </c>
      <c r="J692" s="389">
        <v>0</v>
      </c>
      <c r="K692" s="389">
        <v>54.8</v>
      </c>
    </row>
    <row r="693" spans="1:11" hidden="1" x14ac:dyDescent="0.25">
      <c r="A693" s="389" t="s">
        <v>6205</v>
      </c>
      <c r="B693" s="394" t="s">
        <v>6206</v>
      </c>
      <c r="C693" s="389" t="s">
        <v>4979</v>
      </c>
      <c r="D693" s="389">
        <v>40</v>
      </c>
      <c r="E693" s="389" t="s">
        <v>4927</v>
      </c>
      <c r="F693" s="390">
        <v>4.6900000000000004</v>
      </c>
      <c r="G693" s="390">
        <v>187.6</v>
      </c>
      <c r="H693" s="389">
        <v>0</v>
      </c>
      <c r="I693" s="389">
        <v>99.63</v>
      </c>
      <c r="J693" s="389">
        <v>0</v>
      </c>
      <c r="K693" s="389">
        <v>54.8</v>
      </c>
    </row>
    <row r="694" spans="1:11" ht="30" hidden="1" x14ac:dyDescent="0.25">
      <c r="A694" s="389" t="s">
        <v>6207</v>
      </c>
      <c r="B694" s="394" t="s">
        <v>6159</v>
      </c>
      <c r="C694" s="389" t="s">
        <v>5164</v>
      </c>
      <c r="D694" s="389">
        <v>8</v>
      </c>
      <c r="E694" s="389" t="s">
        <v>4927</v>
      </c>
      <c r="F694" s="390">
        <v>21.15</v>
      </c>
      <c r="G694" s="390">
        <v>169.2</v>
      </c>
      <c r="H694" s="389">
        <v>0</v>
      </c>
      <c r="I694" s="389">
        <v>99.63</v>
      </c>
      <c r="J694" s="389">
        <v>0</v>
      </c>
      <c r="K694" s="389">
        <v>54.8</v>
      </c>
    </row>
    <row r="695" spans="1:11" ht="30" hidden="1" x14ac:dyDescent="0.25">
      <c r="A695" s="389" t="s">
        <v>6208</v>
      </c>
      <c r="B695" s="394" t="s">
        <v>6209</v>
      </c>
      <c r="C695" s="389" t="s">
        <v>5164</v>
      </c>
      <c r="D695" s="389">
        <v>12</v>
      </c>
      <c r="E695" s="389" t="s">
        <v>4927</v>
      </c>
      <c r="F695" s="390">
        <v>13.9</v>
      </c>
      <c r="G695" s="390">
        <v>166.8</v>
      </c>
      <c r="H695" s="389">
        <v>0</v>
      </c>
      <c r="I695" s="389">
        <v>99.63</v>
      </c>
      <c r="J695" s="389">
        <v>0</v>
      </c>
      <c r="K695" s="389">
        <v>54.8</v>
      </c>
    </row>
    <row r="696" spans="1:11" ht="30" hidden="1" x14ac:dyDescent="0.25">
      <c r="A696" s="389" t="s">
        <v>6210</v>
      </c>
      <c r="B696" s="394" t="s">
        <v>6211</v>
      </c>
      <c r="C696" s="389" t="s">
        <v>5164</v>
      </c>
      <c r="D696" s="389">
        <v>8</v>
      </c>
      <c r="E696" s="389" t="s">
        <v>4927</v>
      </c>
      <c r="F696" s="390">
        <v>20.55</v>
      </c>
      <c r="G696" s="390">
        <v>164.4</v>
      </c>
      <c r="H696" s="389">
        <v>0</v>
      </c>
      <c r="I696" s="389">
        <v>99.63</v>
      </c>
      <c r="J696" s="389">
        <v>0</v>
      </c>
      <c r="K696" s="389">
        <v>54.8</v>
      </c>
    </row>
    <row r="697" spans="1:11" hidden="1" x14ac:dyDescent="0.25">
      <c r="A697" s="389" t="s">
        <v>6212</v>
      </c>
      <c r="B697" s="394" t="s">
        <v>6213</v>
      </c>
      <c r="C697" s="389" t="s">
        <v>4972</v>
      </c>
      <c r="D697" s="389">
        <v>13</v>
      </c>
      <c r="E697" s="389" t="s">
        <v>4927</v>
      </c>
      <c r="F697" s="390">
        <v>10.84</v>
      </c>
      <c r="G697" s="390">
        <v>140.91999999999999</v>
      </c>
      <c r="H697" s="389">
        <v>0</v>
      </c>
      <c r="I697" s="389">
        <v>99.63</v>
      </c>
      <c r="J697" s="389">
        <v>0</v>
      </c>
      <c r="K697" s="389">
        <v>54.8</v>
      </c>
    </row>
    <row r="698" spans="1:11" ht="30" hidden="1" x14ac:dyDescent="0.25">
      <c r="A698" s="389" t="s">
        <v>6214</v>
      </c>
      <c r="B698" s="394" t="s">
        <v>6215</v>
      </c>
      <c r="C698" s="389" t="s">
        <v>5164</v>
      </c>
      <c r="D698" s="389">
        <v>3</v>
      </c>
      <c r="E698" s="389" t="s">
        <v>4927</v>
      </c>
      <c r="F698" s="390">
        <v>34.85</v>
      </c>
      <c r="G698" s="390">
        <v>104.55</v>
      </c>
      <c r="H698" s="389">
        <v>0</v>
      </c>
      <c r="I698" s="389">
        <v>99.63</v>
      </c>
      <c r="J698" s="389">
        <v>0</v>
      </c>
      <c r="K698" s="389">
        <v>54.8</v>
      </c>
    </row>
    <row r="699" spans="1:11" hidden="1" x14ac:dyDescent="0.25">
      <c r="A699" s="389" t="s">
        <v>6216</v>
      </c>
      <c r="B699" s="394" t="s">
        <v>6217</v>
      </c>
      <c r="C699" s="389" t="s">
        <v>4956</v>
      </c>
      <c r="D699" s="389">
        <v>8</v>
      </c>
      <c r="E699" s="389" t="s">
        <v>4927</v>
      </c>
      <c r="F699" s="390">
        <v>12</v>
      </c>
      <c r="G699" s="390">
        <v>96</v>
      </c>
      <c r="H699" s="389">
        <v>0</v>
      </c>
      <c r="I699" s="389">
        <v>99.63</v>
      </c>
      <c r="J699" s="389">
        <v>0</v>
      </c>
      <c r="K699" s="389">
        <v>54.8</v>
      </c>
    </row>
    <row r="700" spans="1:11" hidden="1" x14ac:dyDescent="0.25">
      <c r="A700" s="389" t="s">
        <v>6218</v>
      </c>
      <c r="B700" s="394" t="s">
        <v>6219</v>
      </c>
      <c r="C700" s="389" t="s">
        <v>4979</v>
      </c>
      <c r="D700" s="389">
        <v>40</v>
      </c>
      <c r="E700" s="389" t="s">
        <v>4927</v>
      </c>
      <c r="F700" s="390">
        <v>2.21</v>
      </c>
      <c r="G700" s="390">
        <v>88.4</v>
      </c>
      <c r="H700" s="389">
        <v>0</v>
      </c>
      <c r="I700" s="389">
        <v>99.63</v>
      </c>
      <c r="J700" s="389">
        <v>0</v>
      </c>
      <c r="K700" s="389">
        <v>54.8</v>
      </c>
    </row>
    <row r="701" spans="1:11" ht="30" hidden="1" x14ac:dyDescent="0.25">
      <c r="A701" s="389" t="s">
        <v>6220</v>
      </c>
      <c r="B701" s="394" t="s">
        <v>6221</v>
      </c>
      <c r="C701" s="389" t="s">
        <v>5044</v>
      </c>
      <c r="D701" s="389">
        <v>2</v>
      </c>
      <c r="E701" s="389" t="s">
        <v>4927</v>
      </c>
      <c r="F701" s="390">
        <v>30.23</v>
      </c>
      <c r="G701" s="390">
        <v>60.46</v>
      </c>
      <c r="H701" s="389">
        <v>0</v>
      </c>
      <c r="I701" s="389">
        <v>99.63</v>
      </c>
      <c r="J701" s="389">
        <v>0</v>
      </c>
      <c r="K701" s="389">
        <v>54.8</v>
      </c>
    </row>
    <row r="702" spans="1:11" ht="30" hidden="1" x14ac:dyDescent="0.25">
      <c r="A702" s="389" t="s">
        <v>6222</v>
      </c>
      <c r="B702" s="394" t="s">
        <v>6223</v>
      </c>
      <c r="C702" s="389" t="s">
        <v>5164</v>
      </c>
      <c r="D702" s="389">
        <v>3</v>
      </c>
      <c r="E702" s="389" t="s">
        <v>4927</v>
      </c>
      <c r="F702" s="390">
        <v>9.67</v>
      </c>
      <c r="G702" s="390">
        <v>29.01</v>
      </c>
      <c r="H702" s="389">
        <v>0</v>
      </c>
      <c r="I702" s="389">
        <v>99.63</v>
      </c>
      <c r="J702" s="389">
        <v>0</v>
      </c>
      <c r="K702" s="389">
        <v>54.8</v>
      </c>
    </row>
    <row r="703" spans="1:11" ht="30" hidden="1" x14ac:dyDescent="0.25">
      <c r="A703" s="389" t="s">
        <v>6224</v>
      </c>
      <c r="B703" s="394" t="s">
        <v>6225</v>
      </c>
      <c r="C703" s="389" t="s">
        <v>5164</v>
      </c>
      <c r="D703" s="389">
        <v>3</v>
      </c>
      <c r="E703" s="389" t="s">
        <v>4927</v>
      </c>
      <c r="F703" s="390">
        <v>7.25</v>
      </c>
      <c r="G703" s="390">
        <v>21.75</v>
      </c>
      <c r="H703" s="389">
        <v>0</v>
      </c>
      <c r="I703" s="389">
        <v>99.63</v>
      </c>
      <c r="J703" s="389">
        <v>0</v>
      </c>
      <c r="K703" s="389">
        <v>54.8</v>
      </c>
    </row>
    <row r="704" spans="1:11" hidden="1" x14ac:dyDescent="0.25">
      <c r="A704" s="389" t="s">
        <v>6226</v>
      </c>
      <c r="B704" s="394" t="s">
        <v>6227</v>
      </c>
      <c r="C704" s="389" t="s">
        <v>4949</v>
      </c>
      <c r="D704" s="389">
        <v>0.97860599999999998</v>
      </c>
      <c r="E704" s="389" t="s">
        <v>4927</v>
      </c>
      <c r="F704" s="390">
        <v>2</v>
      </c>
      <c r="G704" s="390">
        <v>1.62</v>
      </c>
      <c r="H704" s="389">
        <v>0</v>
      </c>
      <c r="I704" s="389">
        <v>99.63</v>
      </c>
      <c r="J704" s="389">
        <v>0</v>
      </c>
      <c r="K704" s="389">
        <v>54.8</v>
      </c>
    </row>
    <row r="705" spans="1:11" hidden="1" x14ac:dyDescent="0.25">
      <c r="A705" s="389" t="s">
        <v>271</v>
      </c>
      <c r="B705" s="394" t="s">
        <v>6228</v>
      </c>
      <c r="C705" s="389" t="s">
        <v>4932</v>
      </c>
      <c r="D705" s="389">
        <v>141.18844799999999</v>
      </c>
      <c r="E705" s="389" t="s">
        <v>4927</v>
      </c>
      <c r="F705" s="390">
        <v>0</v>
      </c>
      <c r="G705" s="390">
        <v>0</v>
      </c>
      <c r="H705" s="389">
        <v>0</v>
      </c>
      <c r="I705" s="389">
        <v>99.63</v>
      </c>
      <c r="J705" s="389">
        <v>0</v>
      </c>
      <c r="K705" s="389">
        <v>54.8</v>
      </c>
    </row>
    <row r="706" spans="1:11" ht="30" hidden="1" x14ac:dyDescent="0.25">
      <c r="A706" s="389" t="s">
        <v>6229</v>
      </c>
      <c r="B706" s="394" t="s">
        <v>6230</v>
      </c>
      <c r="C706" s="389" t="s">
        <v>5114</v>
      </c>
      <c r="D706" s="389">
        <v>323.99995899999999</v>
      </c>
      <c r="E706" s="389" t="s">
        <v>4927</v>
      </c>
      <c r="F706" s="390">
        <v>0</v>
      </c>
      <c r="G706" s="390">
        <v>0</v>
      </c>
      <c r="H706" s="389">
        <v>0</v>
      </c>
      <c r="I706" s="389">
        <v>99.63</v>
      </c>
      <c r="J706" s="389">
        <v>0</v>
      </c>
      <c r="K706" s="389">
        <v>54.8</v>
      </c>
    </row>
    <row r="707" spans="1:11" hidden="1" x14ac:dyDescent="0.25">
      <c r="A707" s="389" t="s">
        <v>6231</v>
      </c>
      <c r="B707" s="394" t="s">
        <v>6232</v>
      </c>
      <c r="C707" s="389" t="s">
        <v>4934</v>
      </c>
      <c r="D707" s="389">
        <v>0</v>
      </c>
      <c r="E707" s="389" t="s">
        <v>4927</v>
      </c>
      <c r="F707" s="390">
        <v>248.3</v>
      </c>
      <c r="G707" s="390">
        <v>0</v>
      </c>
      <c r="H707" s="389">
        <v>0</v>
      </c>
      <c r="I707" s="389">
        <v>99.63</v>
      </c>
      <c r="J707" s="389">
        <v>0</v>
      </c>
      <c r="K707" s="389">
        <v>54.8</v>
      </c>
    </row>
    <row r="708" spans="1:11" hidden="1" x14ac:dyDescent="0.25">
      <c r="A708" s="389" t="s">
        <v>6233</v>
      </c>
      <c r="B708" s="394" t="s">
        <v>6234</v>
      </c>
      <c r="C708" s="389" t="s">
        <v>4934</v>
      </c>
      <c r="D708" s="389">
        <v>0</v>
      </c>
      <c r="E708" s="389" t="s">
        <v>4927</v>
      </c>
      <c r="F708" s="390">
        <v>269.2</v>
      </c>
      <c r="G708" s="390">
        <v>0</v>
      </c>
      <c r="H708" s="389">
        <v>0</v>
      </c>
      <c r="I708" s="389">
        <v>99.63</v>
      </c>
      <c r="J708" s="389">
        <v>0</v>
      </c>
      <c r="K708" s="389">
        <v>54.8</v>
      </c>
    </row>
    <row r="709" spans="1:11" hidden="1" x14ac:dyDescent="0.25">
      <c r="A709" s="389" t="s">
        <v>6235</v>
      </c>
      <c r="B709" s="394" t="s">
        <v>6236</v>
      </c>
      <c r="C709" s="389" t="s">
        <v>4934</v>
      </c>
      <c r="D709" s="389">
        <v>0</v>
      </c>
      <c r="E709" s="389" t="s">
        <v>4927</v>
      </c>
      <c r="F709" s="390">
        <v>453.8</v>
      </c>
      <c r="G709" s="390">
        <v>0</v>
      </c>
      <c r="H709" s="389">
        <v>0</v>
      </c>
      <c r="I709" s="389">
        <v>99.63</v>
      </c>
      <c r="J709" s="389">
        <v>0</v>
      </c>
      <c r="K709" s="389">
        <v>54.8</v>
      </c>
    </row>
    <row r="710" spans="1:11" hidden="1" x14ac:dyDescent="0.25">
      <c r="A710" s="389" t="s">
        <v>6237</v>
      </c>
      <c r="B710" s="394" t="s">
        <v>6238</v>
      </c>
      <c r="C710" s="389" t="s">
        <v>4934</v>
      </c>
      <c r="D710" s="389">
        <v>0</v>
      </c>
      <c r="E710" s="389" t="s">
        <v>4927</v>
      </c>
      <c r="F710" s="390">
        <v>35</v>
      </c>
      <c r="G710" s="390">
        <v>0</v>
      </c>
      <c r="H710" s="389">
        <v>0</v>
      </c>
      <c r="I710" s="389">
        <v>99.63</v>
      </c>
      <c r="J710" s="389">
        <v>0</v>
      </c>
      <c r="K710" s="389">
        <v>54.8</v>
      </c>
    </row>
    <row r="711" spans="1:11" ht="30" hidden="1" x14ac:dyDescent="0.25">
      <c r="A711" s="389" t="s">
        <v>6239</v>
      </c>
      <c r="B711" s="394" t="s">
        <v>6240</v>
      </c>
      <c r="C711" s="389" t="s">
        <v>4972</v>
      </c>
      <c r="D711" s="389">
        <v>0</v>
      </c>
      <c r="E711" s="389" t="s">
        <v>4927</v>
      </c>
      <c r="F711" s="390">
        <v>532</v>
      </c>
      <c r="G711" s="390">
        <v>0</v>
      </c>
      <c r="H711" s="389">
        <v>0</v>
      </c>
      <c r="I711" s="389">
        <v>99.63</v>
      </c>
      <c r="J711" s="389">
        <v>0</v>
      </c>
      <c r="K711" s="389">
        <v>54.8</v>
      </c>
    </row>
    <row r="712" spans="1:11" ht="30" hidden="1" x14ac:dyDescent="0.25">
      <c r="A712" s="389" t="s">
        <v>6241</v>
      </c>
      <c r="B712" s="394" t="s">
        <v>6242</v>
      </c>
      <c r="C712" s="389" t="s">
        <v>4934</v>
      </c>
      <c r="D712" s="389">
        <v>0</v>
      </c>
      <c r="E712" s="389" t="s">
        <v>4927</v>
      </c>
      <c r="F712" s="390">
        <v>1424.75</v>
      </c>
      <c r="G712" s="390">
        <v>0</v>
      </c>
      <c r="H712" s="389">
        <v>0</v>
      </c>
      <c r="I712" s="389">
        <v>99.63</v>
      </c>
      <c r="J712" s="389">
        <v>0</v>
      </c>
      <c r="K712" s="389">
        <v>54.8</v>
      </c>
    </row>
    <row r="713" spans="1:11" hidden="1" x14ac:dyDescent="0.25">
      <c r="A713" s="389" t="s">
        <v>6243</v>
      </c>
      <c r="B713" s="394" t="s">
        <v>6244</v>
      </c>
      <c r="C713" s="389" t="s">
        <v>4979</v>
      </c>
      <c r="D713" s="389">
        <v>0</v>
      </c>
      <c r="E713" s="389" t="s">
        <v>4927</v>
      </c>
      <c r="F713" s="390">
        <v>44</v>
      </c>
      <c r="G713" s="390">
        <v>0</v>
      </c>
      <c r="H713" s="389">
        <v>0</v>
      </c>
      <c r="I713" s="389">
        <v>99.63</v>
      </c>
      <c r="J713" s="389">
        <v>0</v>
      </c>
      <c r="K713" s="389">
        <v>54.8</v>
      </c>
    </row>
    <row r="714" spans="1:11" hidden="1" x14ac:dyDescent="0.25">
      <c r="A714" s="389" t="s">
        <v>6245</v>
      </c>
      <c r="B714" s="394" t="s">
        <v>6246</v>
      </c>
      <c r="C714" s="389" t="s">
        <v>4934</v>
      </c>
      <c r="D714" s="391">
        <v>36539.874559999997</v>
      </c>
      <c r="E714" s="389" t="s">
        <v>4927</v>
      </c>
      <c r="F714" s="390">
        <v>0</v>
      </c>
      <c r="G714" s="390">
        <v>0</v>
      </c>
      <c r="H714" s="389">
        <v>0</v>
      </c>
      <c r="I714" s="389">
        <v>99.63</v>
      </c>
      <c r="J714" s="389">
        <v>0</v>
      </c>
      <c r="K714" s="389">
        <v>54.8</v>
      </c>
    </row>
    <row r="715" spans="1:11" hidden="1" x14ac:dyDescent="0.25">
      <c r="A715" s="389" t="s">
        <v>6247</v>
      </c>
      <c r="B715" s="394" t="s">
        <v>6248</v>
      </c>
      <c r="C715" s="389" t="s">
        <v>4926</v>
      </c>
      <c r="D715" s="389">
        <v>0</v>
      </c>
      <c r="E715" s="389" t="s">
        <v>4927</v>
      </c>
      <c r="F715" s="390">
        <v>1.1000000000000001</v>
      </c>
      <c r="G715" s="390">
        <v>0</v>
      </c>
      <c r="H715" s="389">
        <v>0</v>
      </c>
      <c r="I715" s="389">
        <v>99.63</v>
      </c>
      <c r="J715" s="389">
        <v>0</v>
      </c>
      <c r="K715" s="389">
        <v>54.8</v>
      </c>
    </row>
    <row r="716" spans="1:11" hidden="1" x14ac:dyDescent="0.25">
      <c r="A716" s="389" t="s">
        <v>6249</v>
      </c>
      <c r="B716" s="394" t="s">
        <v>6250</v>
      </c>
      <c r="C716" s="389" t="s">
        <v>4926</v>
      </c>
      <c r="D716" s="389">
        <v>0</v>
      </c>
      <c r="E716" s="389" t="s">
        <v>4927</v>
      </c>
      <c r="F716" s="390">
        <v>1.55</v>
      </c>
      <c r="G716" s="390">
        <v>0</v>
      </c>
      <c r="H716" s="389">
        <v>0</v>
      </c>
      <c r="I716" s="389">
        <v>99.63</v>
      </c>
      <c r="J716" s="389">
        <v>0</v>
      </c>
      <c r="K716" s="389">
        <v>54.8</v>
      </c>
    </row>
    <row r="717" spans="1:11" hidden="1" x14ac:dyDescent="0.25">
      <c r="A717" s="389" t="s">
        <v>6251</v>
      </c>
      <c r="B717" s="394" t="s">
        <v>6252</v>
      </c>
      <c r="C717" s="389" t="s">
        <v>4926</v>
      </c>
      <c r="D717" s="389">
        <v>0</v>
      </c>
      <c r="E717" s="389" t="s">
        <v>4927</v>
      </c>
      <c r="F717" s="390">
        <v>1.48</v>
      </c>
      <c r="G717" s="390">
        <v>0</v>
      </c>
      <c r="H717" s="389">
        <v>0</v>
      </c>
      <c r="I717" s="389">
        <v>99.63</v>
      </c>
      <c r="J717" s="389">
        <v>0</v>
      </c>
      <c r="K717" s="389">
        <v>54.8</v>
      </c>
    </row>
    <row r="718" spans="1:11" hidden="1" x14ac:dyDescent="0.25">
      <c r="A718" s="389" t="s">
        <v>6253</v>
      </c>
      <c r="B718" s="394" t="s">
        <v>6254</v>
      </c>
      <c r="C718" s="389" t="s">
        <v>4926</v>
      </c>
      <c r="D718" s="389">
        <v>0</v>
      </c>
      <c r="E718" s="389" t="s">
        <v>4927</v>
      </c>
      <c r="F718" s="390">
        <v>1.39</v>
      </c>
      <c r="G718" s="390">
        <v>0</v>
      </c>
      <c r="H718" s="389">
        <v>0</v>
      </c>
      <c r="I718" s="389">
        <v>99.63</v>
      </c>
      <c r="J718" s="389">
        <v>0</v>
      </c>
      <c r="K718" s="389">
        <v>54.8</v>
      </c>
    </row>
    <row r="719" spans="1:11" hidden="1" x14ac:dyDescent="0.25">
      <c r="A719" s="389" t="s">
        <v>6255</v>
      </c>
      <c r="B719" s="394" t="s">
        <v>6256</v>
      </c>
      <c r="C719" s="389" t="s">
        <v>4926</v>
      </c>
      <c r="D719" s="389">
        <v>0</v>
      </c>
      <c r="E719" s="389" t="s">
        <v>4927</v>
      </c>
      <c r="F719" s="390">
        <v>2.57</v>
      </c>
      <c r="G719" s="390">
        <v>0</v>
      </c>
      <c r="H719" s="389">
        <v>0</v>
      </c>
      <c r="I719" s="389">
        <v>99.63</v>
      </c>
      <c r="J719" s="389">
        <v>0</v>
      </c>
      <c r="K719" s="389">
        <v>54.8</v>
      </c>
    </row>
    <row r="720" spans="1:11" hidden="1" x14ac:dyDescent="0.25">
      <c r="A720" s="389" t="s">
        <v>6257</v>
      </c>
      <c r="B720" s="394" t="s">
        <v>6258</v>
      </c>
      <c r="C720" s="389" t="s">
        <v>4926</v>
      </c>
      <c r="D720" s="389">
        <v>0</v>
      </c>
      <c r="E720" s="389" t="s">
        <v>4927</v>
      </c>
      <c r="F720" s="390">
        <v>2.5299999999999998</v>
      </c>
      <c r="G720" s="390">
        <v>0</v>
      </c>
      <c r="H720" s="389">
        <v>0</v>
      </c>
      <c r="I720" s="389">
        <v>99.63</v>
      </c>
      <c r="J720" s="389">
        <v>0</v>
      </c>
      <c r="K720" s="389">
        <v>54.8</v>
      </c>
    </row>
    <row r="721" spans="1:11" hidden="1" x14ac:dyDescent="0.25">
      <c r="A721" s="389" t="s">
        <v>6259</v>
      </c>
      <c r="B721" s="394" t="s">
        <v>6260</v>
      </c>
      <c r="C721" s="389" t="s">
        <v>4926</v>
      </c>
      <c r="D721" s="389">
        <v>0</v>
      </c>
      <c r="E721" s="389" t="s">
        <v>4927</v>
      </c>
      <c r="F721" s="390">
        <v>2.23</v>
      </c>
      <c r="G721" s="390">
        <v>0</v>
      </c>
      <c r="H721" s="389">
        <v>0</v>
      </c>
      <c r="I721" s="389">
        <v>99.63</v>
      </c>
      <c r="J721" s="389">
        <v>0</v>
      </c>
      <c r="K721" s="389">
        <v>54.8</v>
      </c>
    </row>
    <row r="722" spans="1:11" hidden="1" x14ac:dyDescent="0.25">
      <c r="A722" s="389" t="s">
        <v>6261</v>
      </c>
      <c r="B722" s="394" t="s">
        <v>6262</v>
      </c>
      <c r="C722" s="389" t="s">
        <v>4926</v>
      </c>
      <c r="D722" s="389">
        <v>0</v>
      </c>
      <c r="E722" s="389" t="s">
        <v>4927</v>
      </c>
      <c r="F722" s="390">
        <v>2.62</v>
      </c>
      <c r="G722" s="390">
        <v>0</v>
      </c>
      <c r="H722" s="389">
        <v>0</v>
      </c>
      <c r="I722" s="389">
        <v>99.63</v>
      </c>
      <c r="J722" s="389">
        <v>0</v>
      </c>
      <c r="K722" s="389">
        <v>54.8</v>
      </c>
    </row>
    <row r="723" spans="1:11" hidden="1" x14ac:dyDescent="0.25">
      <c r="A723" s="389" t="s">
        <v>6263</v>
      </c>
      <c r="B723" s="394" t="s">
        <v>6264</v>
      </c>
      <c r="C723" s="389" t="s">
        <v>4934</v>
      </c>
      <c r="D723" s="389">
        <v>0</v>
      </c>
      <c r="E723" s="389" t="s">
        <v>4927</v>
      </c>
      <c r="F723" s="390">
        <v>50</v>
      </c>
      <c r="G723" s="390">
        <v>0</v>
      </c>
      <c r="H723" s="389">
        <v>0</v>
      </c>
      <c r="I723" s="389">
        <v>99.63</v>
      </c>
      <c r="J723" s="389">
        <v>0</v>
      </c>
      <c r="K723" s="389">
        <v>54.8</v>
      </c>
    </row>
    <row r="724" spans="1:11" hidden="1" x14ac:dyDescent="0.25">
      <c r="A724" s="389" t="s">
        <v>6265</v>
      </c>
      <c r="B724" s="394" t="s">
        <v>6266</v>
      </c>
      <c r="C724" s="389" t="s">
        <v>4934</v>
      </c>
      <c r="D724" s="389">
        <v>0</v>
      </c>
      <c r="E724" s="389" t="s">
        <v>4927</v>
      </c>
      <c r="F724" s="390">
        <v>0</v>
      </c>
      <c r="G724" s="390">
        <v>0</v>
      </c>
      <c r="H724" s="389">
        <v>0</v>
      </c>
      <c r="I724" s="389">
        <v>99.63</v>
      </c>
      <c r="J724" s="389">
        <v>0</v>
      </c>
      <c r="K724" s="389">
        <v>54.8</v>
      </c>
    </row>
    <row r="725" spans="1:11" hidden="1" x14ac:dyDescent="0.25">
      <c r="A725" s="389" t="s">
        <v>6267</v>
      </c>
      <c r="B725" s="394" t="s">
        <v>6268</v>
      </c>
      <c r="C725" s="389" t="s">
        <v>4934</v>
      </c>
      <c r="D725" s="389">
        <v>0</v>
      </c>
      <c r="E725" s="389" t="s">
        <v>4927</v>
      </c>
      <c r="F725" s="390">
        <v>0</v>
      </c>
      <c r="G725" s="390">
        <v>0</v>
      </c>
      <c r="H725" s="389">
        <v>0</v>
      </c>
      <c r="I725" s="389">
        <v>99.63</v>
      </c>
      <c r="J725" s="389">
        <v>0</v>
      </c>
      <c r="K725" s="389">
        <v>54.8</v>
      </c>
    </row>
    <row r="726" spans="1:11" ht="30" hidden="1" x14ac:dyDescent="0.25">
      <c r="A726" s="389" t="s">
        <v>6269</v>
      </c>
      <c r="B726" s="394" t="s">
        <v>6270</v>
      </c>
      <c r="C726" s="389" t="s">
        <v>4972</v>
      </c>
      <c r="D726" s="389">
        <v>0</v>
      </c>
      <c r="E726" s="389" t="s">
        <v>4927</v>
      </c>
      <c r="F726" s="390">
        <v>400</v>
      </c>
      <c r="G726" s="390">
        <v>0</v>
      </c>
      <c r="H726" s="389">
        <v>0</v>
      </c>
      <c r="I726" s="389">
        <v>99.63</v>
      </c>
      <c r="J726" s="389">
        <v>0</v>
      </c>
      <c r="K726" s="389">
        <v>54.8</v>
      </c>
    </row>
    <row r="727" spans="1:11" ht="30" hidden="1" x14ac:dyDescent="0.25">
      <c r="A727" s="389" t="s">
        <v>6271</v>
      </c>
      <c r="B727" s="394" t="s">
        <v>6272</v>
      </c>
      <c r="C727" s="389" t="s">
        <v>4972</v>
      </c>
      <c r="D727" s="389">
        <v>0</v>
      </c>
      <c r="E727" s="389" t="s">
        <v>4927</v>
      </c>
      <c r="F727" s="390">
        <v>488</v>
      </c>
      <c r="G727" s="390">
        <v>0</v>
      </c>
      <c r="H727" s="389">
        <v>0</v>
      </c>
      <c r="I727" s="389">
        <v>99.63</v>
      </c>
      <c r="J727" s="389">
        <v>0</v>
      </c>
      <c r="K727" s="389">
        <v>54.8</v>
      </c>
    </row>
    <row r="728" spans="1:11" hidden="1" x14ac:dyDescent="0.25">
      <c r="A728" s="389" t="s">
        <v>6273</v>
      </c>
      <c r="B728" s="394" t="s">
        <v>6274</v>
      </c>
      <c r="C728" s="389" t="s">
        <v>4979</v>
      </c>
      <c r="D728" s="389">
        <v>0</v>
      </c>
      <c r="E728" s="389" t="s">
        <v>4927</v>
      </c>
      <c r="F728" s="390">
        <v>0</v>
      </c>
      <c r="G728" s="390">
        <v>0</v>
      </c>
      <c r="H728" s="389">
        <v>0</v>
      </c>
      <c r="I728" s="389">
        <v>99.63</v>
      </c>
      <c r="J728" s="389">
        <v>0</v>
      </c>
      <c r="K728" s="389">
        <v>54.8</v>
      </c>
    </row>
    <row r="729" spans="1:11" hidden="1" x14ac:dyDescent="0.25">
      <c r="A729" s="389" t="s">
        <v>6275</v>
      </c>
      <c r="B729" s="394" t="s">
        <v>6276</v>
      </c>
      <c r="C729" s="389" t="s">
        <v>4979</v>
      </c>
      <c r="D729" s="389">
        <v>0</v>
      </c>
      <c r="E729" s="389" t="s">
        <v>4927</v>
      </c>
      <c r="F729" s="390">
        <v>0</v>
      </c>
      <c r="G729" s="390">
        <v>0</v>
      </c>
      <c r="H729" s="389">
        <v>0</v>
      </c>
      <c r="I729" s="389">
        <v>99.63</v>
      </c>
      <c r="J729" s="389">
        <v>0</v>
      </c>
      <c r="K729" s="389">
        <v>54.8</v>
      </c>
    </row>
    <row r="730" spans="1:11" hidden="1" x14ac:dyDescent="0.25">
      <c r="A730" s="389" t="s">
        <v>6277</v>
      </c>
      <c r="B730" s="394" t="s">
        <v>6278</v>
      </c>
      <c r="C730" s="389" t="s">
        <v>4979</v>
      </c>
      <c r="D730" s="389">
        <v>0</v>
      </c>
      <c r="E730" s="389" t="s">
        <v>4927</v>
      </c>
      <c r="F730" s="390">
        <v>0</v>
      </c>
      <c r="G730" s="390">
        <v>0</v>
      </c>
      <c r="H730" s="389">
        <v>0</v>
      </c>
      <c r="I730" s="389">
        <v>99.63</v>
      </c>
      <c r="J730" s="389">
        <v>0</v>
      </c>
      <c r="K730" s="389">
        <v>54.8</v>
      </c>
    </row>
    <row r="731" spans="1:11" hidden="1" x14ac:dyDescent="0.25">
      <c r="A731" s="389" t="s">
        <v>6279</v>
      </c>
      <c r="B731" s="394" t="s">
        <v>6280</v>
      </c>
      <c r="C731" s="389" t="s">
        <v>4979</v>
      </c>
      <c r="D731" s="389">
        <v>0</v>
      </c>
      <c r="E731" s="389" t="s">
        <v>4927</v>
      </c>
      <c r="F731" s="390">
        <v>0</v>
      </c>
      <c r="G731" s="390">
        <v>0</v>
      </c>
      <c r="H731" s="389">
        <v>0</v>
      </c>
      <c r="I731" s="389">
        <v>99.63</v>
      </c>
      <c r="J731" s="389">
        <v>0</v>
      </c>
      <c r="K731" s="389">
        <v>54.8</v>
      </c>
    </row>
    <row r="732" spans="1:11" hidden="1" x14ac:dyDescent="0.25">
      <c r="A732" s="389" t="s">
        <v>6281</v>
      </c>
      <c r="B732" s="394" t="s">
        <v>6282</v>
      </c>
      <c r="C732" s="389" t="s">
        <v>4979</v>
      </c>
      <c r="D732" s="389">
        <v>0</v>
      </c>
      <c r="E732" s="389" t="s">
        <v>4927</v>
      </c>
      <c r="F732" s="390">
        <v>0</v>
      </c>
      <c r="G732" s="390">
        <v>0</v>
      </c>
      <c r="H732" s="389">
        <v>0</v>
      </c>
      <c r="I732" s="389">
        <v>99.63</v>
      </c>
      <c r="J732" s="389">
        <v>0</v>
      </c>
      <c r="K732" s="389">
        <v>54.8</v>
      </c>
    </row>
    <row r="733" spans="1:11" hidden="1" x14ac:dyDescent="0.25">
      <c r="A733" s="389" t="s">
        <v>6283</v>
      </c>
      <c r="B733" s="394" t="s">
        <v>6284</v>
      </c>
      <c r="C733" s="389" t="s">
        <v>4979</v>
      </c>
      <c r="D733" s="389">
        <v>0</v>
      </c>
      <c r="E733" s="389" t="s">
        <v>4927</v>
      </c>
      <c r="F733" s="390">
        <v>0</v>
      </c>
      <c r="G733" s="390">
        <v>0</v>
      </c>
      <c r="H733" s="389">
        <v>0</v>
      </c>
      <c r="I733" s="389">
        <v>99.63</v>
      </c>
      <c r="J733" s="389">
        <v>0</v>
      </c>
      <c r="K733" s="389">
        <v>54.8</v>
      </c>
    </row>
    <row r="734" spans="1:11" hidden="1" x14ac:dyDescent="0.25">
      <c r="A734" s="389" t="s">
        <v>6285</v>
      </c>
      <c r="B734" s="394" t="s">
        <v>6286</v>
      </c>
      <c r="C734" s="389" t="s">
        <v>4979</v>
      </c>
      <c r="D734" s="389">
        <v>0</v>
      </c>
      <c r="E734" s="389" t="s">
        <v>4927</v>
      </c>
      <c r="F734" s="390">
        <v>0</v>
      </c>
      <c r="G734" s="390">
        <v>0</v>
      </c>
      <c r="H734" s="389">
        <v>0</v>
      </c>
      <c r="I734" s="389">
        <v>99.63</v>
      </c>
      <c r="J734" s="389">
        <v>0</v>
      </c>
      <c r="K734" s="389">
        <v>54.8</v>
      </c>
    </row>
    <row r="735" spans="1:11" hidden="1" x14ac:dyDescent="0.25">
      <c r="A735" s="389" t="s">
        <v>6287</v>
      </c>
      <c r="B735" s="394" t="s">
        <v>6288</v>
      </c>
      <c r="C735" s="389" t="s">
        <v>4979</v>
      </c>
      <c r="D735" s="389">
        <v>0</v>
      </c>
      <c r="E735" s="389" t="s">
        <v>4927</v>
      </c>
      <c r="F735" s="390">
        <v>0</v>
      </c>
      <c r="G735" s="390">
        <v>0</v>
      </c>
      <c r="H735" s="389">
        <v>0</v>
      </c>
      <c r="I735" s="389">
        <v>99.63</v>
      </c>
      <c r="J735" s="389">
        <v>0</v>
      </c>
      <c r="K735" s="389">
        <v>54.8</v>
      </c>
    </row>
    <row r="736" spans="1:11" hidden="1" x14ac:dyDescent="0.25">
      <c r="A736" s="389" t="s">
        <v>6289</v>
      </c>
      <c r="B736" s="394" t="s">
        <v>6290</v>
      </c>
      <c r="C736" s="389" t="s">
        <v>4979</v>
      </c>
      <c r="D736" s="389">
        <v>0</v>
      </c>
      <c r="E736" s="389" t="s">
        <v>4927</v>
      </c>
      <c r="F736" s="390">
        <v>0</v>
      </c>
      <c r="G736" s="390">
        <v>0</v>
      </c>
      <c r="H736" s="389">
        <v>0</v>
      </c>
      <c r="I736" s="389">
        <v>99.63</v>
      </c>
      <c r="J736" s="389">
        <v>0</v>
      </c>
      <c r="K736" s="389">
        <v>54.8</v>
      </c>
    </row>
    <row r="737" spans="1:11" hidden="1" x14ac:dyDescent="0.25">
      <c r="A737" s="389" t="s">
        <v>6291</v>
      </c>
      <c r="B737" s="394" t="s">
        <v>6292</v>
      </c>
      <c r="C737" s="389" t="s">
        <v>4979</v>
      </c>
      <c r="D737" s="389">
        <v>0</v>
      </c>
      <c r="E737" s="389" t="s">
        <v>4927</v>
      </c>
      <c r="F737" s="390">
        <v>0</v>
      </c>
      <c r="G737" s="390">
        <v>0</v>
      </c>
      <c r="H737" s="389">
        <v>0</v>
      </c>
      <c r="I737" s="389">
        <v>99.63</v>
      </c>
      <c r="J737" s="389">
        <v>0</v>
      </c>
      <c r="K737" s="389">
        <v>54.8</v>
      </c>
    </row>
    <row r="738" spans="1:11" hidden="1" x14ac:dyDescent="0.25">
      <c r="A738" s="389" t="s">
        <v>6293</v>
      </c>
      <c r="B738" s="394" t="s">
        <v>6294</v>
      </c>
      <c r="C738" s="389" t="s">
        <v>4979</v>
      </c>
      <c r="D738" s="389">
        <v>0</v>
      </c>
      <c r="E738" s="389" t="s">
        <v>4927</v>
      </c>
      <c r="F738" s="390">
        <v>0</v>
      </c>
      <c r="G738" s="390">
        <v>0</v>
      </c>
      <c r="H738" s="389">
        <v>0</v>
      </c>
      <c r="I738" s="389">
        <v>99.63</v>
      </c>
      <c r="J738" s="389">
        <v>0</v>
      </c>
      <c r="K738" s="389">
        <v>54.8</v>
      </c>
    </row>
    <row r="739" spans="1:11" hidden="1" x14ac:dyDescent="0.25">
      <c r="A739" s="389" t="s">
        <v>6295</v>
      </c>
      <c r="B739" s="394" t="s">
        <v>6296</v>
      </c>
      <c r="C739" s="389" t="s">
        <v>4926</v>
      </c>
      <c r="D739" s="391">
        <v>1305571.2</v>
      </c>
      <c r="E739" s="389" t="s">
        <v>4927</v>
      </c>
      <c r="F739" s="390">
        <v>0</v>
      </c>
      <c r="G739" s="390">
        <v>0</v>
      </c>
      <c r="H739" s="389">
        <v>0</v>
      </c>
      <c r="I739" s="389">
        <v>99.63</v>
      </c>
      <c r="J739" s="389">
        <v>0</v>
      </c>
      <c r="K739" s="389">
        <v>54.8</v>
      </c>
    </row>
    <row r="740" spans="1:11" hidden="1" x14ac:dyDescent="0.25">
      <c r="A740" s="389" t="s">
        <v>6297</v>
      </c>
      <c r="B740" s="394" t="s">
        <v>6298</v>
      </c>
      <c r="C740" s="389" t="s">
        <v>5332</v>
      </c>
      <c r="D740" s="391">
        <v>2570.3656380000002</v>
      </c>
      <c r="E740" s="389" t="s">
        <v>4927</v>
      </c>
      <c r="F740" s="390">
        <v>0</v>
      </c>
      <c r="G740" s="390">
        <v>0</v>
      </c>
      <c r="H740" s="389">
        <v>0</v>
      </c>
      <c r="I740" s="389">
        <v>99.63</v>
      </c>
      <c r="J740" s="389">
        <v>0</v>
      </c>
      <c r="K740" s="389">
        <v>54.8</v>
      </c>
    </row>
    <row r="741" spans="1:11" hidden="1" x14ac:dyDescent="0.25">
      <c r="A741" s="389" t="s">
        <v>6299</v>
      </c>
      <c r="B741" s="394" t="s">
        <v>6300</v>
      </c>
      <c r="C741" s="389" t="s">
        <v>5332</v>
      </c>
      <c r="D741" s="391">
        <v>2570.3656380000002</v>
      </c>
      <c r="E741" s="389" t="s">
        <v>4927</v>
      </c>
      <c r="F741" s="390">
        <v>0</v>
      </c>
      <c r="G741" s="390">
        <v>0</v>
      </c>
      <c r="H741" s="389">
        <v>0</v>
      </c>
      <c r="I741" s="389">
        <v>99.63</v>
      </c>
      <c r="J741" s="389">
        <v>0</v>
      </c>
      <c r="K741" s="389">
        <v>54.8</v>
      </c>
    </row>
    <row r="742" spans="1:11" hidden="1" x14ac:dyDescent="0.25">
      <c r="A742" s="389" t="s">
        <v>6301</v>
      </c>
      <c r="B742" s="394" t="s">
        <v>6302</v>
      </c>
      <c r="C742" s="389" t="s">
        <v>5332</v>
      </c>
      <c r="D742" s="389">
        <v>8</v>
      </c>
      <c r="E742" s="389" t="s">
        <v>4927</v>
      </c>
      <c r="F742" s="390">
        <v>0</v>
      </c>
      <c r="G742" s="390">
        <v>0</v>
      </c>
      <c r="H742" s="389">
        <v>0</v>
      </c>
      <c r="I742" s="389">
        <v>99.63</v>
      </c>
      <c r="J742" s="389">
        <v>0</v>
      </c>
      <c r="K742" s="389">
        <v>54.8</v>
      </c>
    </row>
    <row r="743" spans="1:11" hidden="1" x14ac:dyDescent="0.25">
      <c r="A743" s="389" t="s">
        <v>6303</v>
      </c>
      <c r="B743" s="394" t="s">
        <v>6304</v>
      </c>
      <c r="C743" s="389" t="s">
        <v>4926</v>
      </c>
      <c r="D743" s="391">
        <v>8553.58</v>
      </c>
      <c r="E743" s="389" t="s">
        <v>4927</v>
      </c>
      <c r="F743" s="390">
        <v>0</v>
      </c>
      <c r="G743" s="390">
        <v>0</v>
      </c>
      <c r="H743" s="389">
        <v>0</v>
      </c>
      <c r="I743" s="389">
        <v>99.63</v>
      </c>
      <c r="J743" s="389">
        <v>0</v>
      </c>
      <c r="K743" s="389">
        <v>54.8</v>
      </c>
    </row>
    <row r="744" spans="1:11" hidden="1" x14ac:dyDescent="0.25">
      <c r="A744" s="389" t="s">
        <v>6305</v>
      </c>
      <c r="B744" s="394" t="s">
        <v>6306</v>
      </c>
      <c r="C744" s="389" t="s">
        <v>4956</v>
      </c>
      <c r="D744" s="391">
        <v>2318.1</v>
      </c>
      <c r="E744" s="389" t="s">
        <v>4927</v>
      </c>
      <c r="F744" s="390">
        <v>0</v>
      </c>
      <c r="G744" s="390">
        <v>0</v>
      </c>
      <c r="H744" s="389">
        <v>0</v>
      </c>
      <c r="I744" s="389">
        <v>99.63</v>
      </c>
      <c r="J744" s="389">
        <v>0</v>
      </c>
      <c r="K744" s="389">
        <v>54.8</v>
      </c>
    </row>
    <row r="745" spans="1:11" hidden="1" x14ac:dyDescent="0.25">
      <c r="A745" s="389" t="s">
        <v>6307</v>
      </c>
      <c r="B745" s="394" t="s">
        <v>6308</v>
      </c>
      <c r="C745" s="389" t="s">
        <v>4972</v>
      </c>
      <c r="D745" s="391">
        <v>40161.856</v>
      </c>
      <c r="E745" s="389" t="s">
        <v>4927</v>
      </c>
      <c r="F745" s="390">
        <v>0</v>
      </c>
      <c r="G745" s="390">
        <v>0</v>
      </c>
      <c r="H745" s="389">
        <v>0</v>
      </c>
      <c r="I745" s="389">
        <v>99.63</v>
      </c>
      <c r="J745" s="389">
        <v>0</v>
      </c>
      <c r="K745" s="389">
        <v>54.8</v>
      </c>
    </row>
    <row r="746" spans="1:11" hidden="1" x14ac:dyDescent="0.25">
      <c r="A746" s="389" t="s">
        <v>6309</v>
      </c>
      <c r="B746" s="394" t="s">
        <v>6310</v>
      </c>
      <c r="C746" s="389" t="s">
        <v>4979</v>
      </c>
      <c r="D746" s="391">
        <v>31892.7</v>
      </c>
      <c r="E746" s="389" t="s">
        <v>4927</v>
      </c>
      <c r="F746" s="390">
        <v>0</v>
      </c>
      <c r="G746" s="390">
        <v>0</v>
      </c>
      <c r="H746" s="389">
        <v>0</v>
      </c>
      <c r="I746" s="389">
        <v>99.63</v>
      </c>
      <c r="J746" s="389">
        <v>0</v>
      </c>
      <c r="K746" s="389">
        <v>54.8</v>
      </c>
    </row>
    <row r="747" spans="1:11" hidden="1" x14ac:dyDescent="0.25">
      <c r="A747" s="389" t="s">
        <v>6311</v>
      </c>
      <c r="B747" s="394" t="s">
        <v>6312</v>
      </c>
      <c r="C747" s="389" t="s">
        <v>4956</v>
      </c>
      <c r="D747" s="391">
        <v>2278.0500000000002</v>
      </c>
      <c r="E747" s="389" t="s">
        <v>4927</v>
      </c>
      <c r="F747" s="390">
        <v>0</v>
      </c>
      <c r="G747" s="390">
        <v>0</v>
      </c>
      <c r="H747" s="389">
        <v>0</v>
      </c>
      <c r="I747" s="389">
        <v>99.63</v>
      </c>
      <c r="J747" s="389">
        <v>0</v>
      </c>
      <c r="K747" s="389">
        <v>54.8</v>
      </c>
    </row>
    <row r="748" spans="1:11" hidden="1" x14ac:dyDescent="0.25">
      <c r="A748" s="389" t="s">
        <v>6313</v>
      </c>
      <c r="B748" s="394" t="s">
        <v>6314</v>
      </c>
      <c r="C748" s="389" t="s">
        <v>4979</v>
      </c>
      <c r="D748" s="389">
        <v>30.373999999999999</v>
      </c>
      <c r="E748" s="389" t="s">
        <v>4927</v>
      </c>
      <c r="F748" s="390">
        <v>0</v>
      </c>
      <c r="G748" s="390">
        <v>0</v>
      </c>
      <c r="H748" s="389">
        <v>0</v>
      </c>
      <c r="I748" s="389">
        <v>99.63</v>
      </c>
      <c r="J748" s="389">
        <v>0</v>
      </c>
      <c r="K748" s="389">
        <v>54.8</v>
      </c>
    </row>
    <row r="749" spans="1:11" hidden="1" x14ac:dyDescent="0.25">
      <c r="A749" s="389" t="s">
        <v>6315</v>
      </c>
      <c r="B749" s="394" t="s">
        <v>6316</v>
      </c>
      <c r="C749" s="389" t="s">
        <v>4972</v>
      </c>
      <c r="D749" s="391">
        <v>38149.743999999999</v>
      </c>
      <c r="E749" s="389" t="s">
        <v>4927</v>
      </c>
      <c r="F749" s="390">
        <v>0</v>
      </c>
      <c r="G749" s="390">
        <v>0</v>
      </c>
      <c r="H749" s="389">
        <v>0</v>
      </c>
      <c r="I749" s="389">
        <v>99.63</v>
      </c>
      <c r="J749" s="389">
        <v>0</v>
      </c>
      <c r="K749" s="389">
        <v>54.8</v>
      </c>
    </row>
    <row r="750" spans="1:11" hidden="1" x14ac:dyDescent="0.25">
      <c r="A750" s="389" t="s">
        <v>558</v>
      </c>
      <c r="B750" s="394" t="s">
        <v>6317</v>
      </c>
      <c r="C750" s="389" t="s">
        <v>6318</v>
      </c>
      <c r="D750" s="389">
        <v>0</v>
      </c>
      <c r="E750" s="389" t="s">
        <v>4927</v>
      </c>
      <c r="F750" s="390">
        <v>0.25</v>
      </c>
      <c r="G750" s="390">
        <v>0</v>
      </c>
      <c r="H750" s="389">
        <v>0</v>
      </c>
      <c r="I750" s="389">
        <v>99.63</v>
      </c>
      <c r="J750" s="389">
        <v>0</v>
      </c>
      <c r="K750" s="389">
        <v>54.8</v>
      </c>
    </row>
    <row r="751" spans="1:11" hidden="1" x14ac:dyDescent="0.25">
      <c r="A751" s="389" t="s">
        <v>560</v>
      </c>
      <c r="B751" s="394" t="s">
        <v>6319</v>
      </c>
      <c r="C751" s="389" t="s">
        <v>6318</v>
      </c>
      <c r="D751" s="389">
        <v>0</v>
      </c>
      <c r="E751" s="389" t="s">
        <v>4927</v>
      </c>
      <c r="F751" s="390">
        <v>0</v>
      </c>
      <c r="G751" s="390">
        <v>0</v>
      </c>
      <c r="H751" s="389">
        <v>0</v>
      </c>
      <c r="I751" s="389">
        <v>99.63</v>
      </c>
      <c r="J751" s="389">
        <v>0</v>
      </c>
      <c r="K751" s="389">
        <v>54.8</v>
      </c>
    </row>
    <row r="752" spans="1:11" hidden="1" x14ac:dyDescent="0.25">
      <c r="A752" s="389" t="s">
        <v>562</v>
      </c>
      <c r="B752" s="394" t="s">
        <v>6320</v>
      </c>
      <c r="C752" s="389" t="s">
        <v>6318</v>
      </c>
      <c r="D752" s="389">
        <v>0</v>
      </c>
      <c r="E752" s="389" t="s">
        <v>4927</v>
      </c>
      <c r="F752" s="390">
        <v>0.35</v>
      </c>
      <c r="G752" s="390">
        <v>0</v>
      </c>
      <c r="H752" s="389">
        <v>0</v>
      </c>
      <c r="I752" s="389">
        <v>99.63</v>
      </c>
      <c r="J752" s="389">
        <v>0</v>
      </c>
      <c r="K752" s="389">
        <v>54.8</v>
      </c>
    </row>
    <row r="753" spans="1:11" hidden="1" x14ac:dyDescent="0.25">
      <c r="A753" s="389" t="s">
        <v>565</v>
      </c>
      <c r="B753" s="394" t="s">
        <v>6321</v>
      </c>
      <c r="C753" s="389" t="s">
        <v>6318</v>
      </c>
      <c r="D753" s="389">
        <v>0</v>
      </c>
      <c r="E753" s="389" t="s">
        <v>4927</v>
      </c>
      <c r="F753" s="390">
        <v>0</v>
      </c>
      <c r="G753" s="390">
        <v>0</v>
      </c>
      <c r="H753" s="389">
        <v>0</v>
      </c>
      <c r="I753" s="389">
        <v>99.63</v>
      </c>
      <c r="J753" s="389">
        <v>0</v>
      </c>
      <c r="K753" s="389">
        <v>54.8</v>
      </c>
    </row>
    <row r="754" spans="1:11" hidden="1" x14ac:dyDescent="0.25">
      <c r="A754" s="389" t="s">
        <v>566</v>
      </c>
      <c r="B754" s="394" t="s">
        <v>6322</v>
      </c>
      <c r="C754" s="389" t="s">
        <v>6318</v>
      </c>
      <c r="D754" s="389">
        <v>0</v>
      </c>
      <c r="E754" s="389" t="s">
        <v>4927</v>
      </c>
      <c r="F754" s="390">
        <v>0.35</v>
      </c>
      <c r="G754" s="390">
        <v>0</v>
      </c>
      <c r="H754" s="389">
        <v>0</v>
      </c>
      <c r="I754" s="389">
        <v>99.63</v>
      </c>
      <c r="J754" s="389">
        <v>0</v>
      </c>
      <c r="K754" s="389">
        <v>54.8</v>
      </c>
    </row>
    <row r="755" spans="1:11" hidden="1" x14ac:dyDescent="0.25">
      <c r="A755" s="389" t="s">
        <v>574</v>
      </c>
      <c r="B755" s="394" t="s">
        <v>6228</v>
      </c>
      <c r="C755" s="389" t="s">
        <v>6318</v>
      </c>
      <c r="D755" s="389">
        <v>0</v>
      </c>
      <c r="E755" s="389" t="s">
        <v>4927</v>
      </c>
      <c r="F755" s="390">
        <v>0</v>
      </c>
      <c r="G755" s="390">
        <v>0</v>
      </c>
      <c r="H755" s="389">
        <v>0</v>
      </c>
      <c r="I755" s="389">
        <v>99.63</v>
      </c>
      <c r="J755" s="389">
        <v>0</v>
      </c>
      <c r="K755" s="389">
        <v>54.8</v>
      </c>
    </row>
    <row r="756" spans="1:11" hidden="1" x14ac:dyDescent="0.25">
      <c r="A756" s="389" t="s">
        <v>575</v>
      </c>
      <c r="B756" s="394" t="s">
        <v>5139</v>
      </c>
      <c r="C756" s="389" t="s">
        <v>6318</v>
      </c>
      <c r="D756" s="389">
        <v>0</v>
      </c>
      <c r="E756" s="389" t="s">
        <v>4927</v>
      </c>
      <c r="F756" s="390">
        <v>0</v>
      </c>
      <c r="G756" s="390">
        <v>0</v>
      </c>
      <c r="H756" s="389">
        <v>0</v>
      </c>
      <c r="I756" s="389">
        <v>99.63</v>
      </c>
      <c r="J756" s="389">
        <v>0</v>
      </c>
      <c r="K756" s="389">
        <v>54.8</v>
      </c>
    </row>
    <row r="757" spans="1:11" hidden="1" x14ac:dyDescent="0.25">
      <c r="A757" s="389" t="s">
        <v>581</v>
      </c>
      <c r="B757" s="394" t="s">
        <v>4987</v>
      </c>
      <c r="C757" s="389" t="s">
        <v>6318</v>
      </c>
      <c r="D757" s="389">
        <v>0</v>
      </c>
      <c r="E757" s="389" t="s">
        <v>4927</v>
      </c>
      <c r="F757" s="390">
        <v>0</v>
      </c>
      <c r="G757" s="390">
        <v>0</v>
      </c>
      <c r="H757" s="389">
        <v>0</v>
      </c>
      <c r="I757" s="389">
        <v>99.63</v>
      </c>
      <c r="J757" s="389">
        <v>0</v>
      </c>
      <c r="K757" s="389">
        <v>54.8</v>
      </c>
    </row>
    <row r="758" spans="1:11" hidden="1" x14ac:dyDescent="0.25">
      <c r="A758" s="389" t="s">
        <v>582</v>
      </c>
      <c r="B758" s="394" t="s">
        <v>5367</v>
      </c>
      <c r="C758" s="389" t="s">
        <v>6318</v>
      </c>
      <c r="D758" s="389">
        <v>0</v>
      </c>
      <c r="E758" s="389" t="s">
        <v>4927</v>
      </c>
      <c r="F758" s="390">
        <v>0</v>
      </c>
      <c r="G758" s="390">
        <v>0</v>
      </c>
      <c r="H758" s="389">
        <v>0</v>
      </c>
      <c r="I758" s="389">
        <v>99.63</v>
      </c>
      <c r="J758" s="389">
        <v>0</v>
      </c>
      <c r="K758" s="389">
        <v>54.8</v>
      </c>
    </row>
    <row r="759" spans="1:11" hidden="1" x14ac:dyDescent="0.25">
      <c r="A759" s="389" t="s">
        <v>586</v>
      </c>
      <c r="B759" s="394" t="s">
        <v>6323</v>
      </c>
      <c r="C759" s="389" t="s">
        <v>6318</v>
      </c>
      <c r="D759" s="389">
        <v>0</v>
      </c>
      <c r="E759" s="389" t="s">
        <v>4927</v>
      </c>
      <c r="F759" s="390">
        <v>0</v>
      </c>
      <c r="G759" s="390">
        <v>0</v>
      </c>
      <c r="H759" s="389">
        <v>0</v>
      </c>
      <c r="I759" s="389">
        <v>99.63</v>
      </c>
      <c r="J759" s="389">
        <v>0</v>
      </c>
      <c r="K759" s="389">
        <v>54.8</v>
      </c>
    </row>
    <row r="760" spans="1:11" hidden="1" x14ac:dyDescent="0.25">
      <c r="A760" s="389" t="s">
        <v>587</v>
      </c>
      <c r="B760" s="394" t="s">
        <v>6324</v>
      </c>
      <c r="C760" s="389" t="s">
        <v>6318</v>
      </c>
      <c r="D760" s="389">
        <v>0</v>
      </c>
      <c r="E760" s="389" t="s">
        <v>4927</v>
      </c>
      <c r="F760" s="390">
        <v>0</v>
      </c>
      <c r="G760" s="390">
        <v>0</v>
      </c>
      <c r="H760" s="389">
        <v>0</v>
      </c>
      <c r="I760" s="389">
        <v>99.63</v>
      </c>
      <c r="J760" s="389">
        <v>0</v>
      </c>
      <c r="K760" s="389">
        <v>54.8</v>
      </c>
    </row>
    <row r="761" spans="1:11" hidden="1" x14ac:dyDescent="0.25">
      <c r="A761" s="389" t="s">
        <v>601</v>
      </c>
      <c r="B761" s="394" t="s">
        <v>6325</v>
      </c>
      <c r="C761" s="389" t="s">
        <v>6318</v>
      </c>
      <c r="D761" s="389">
        <v>0</v>
      </c>
      <c r="E761" s="389" t="s">
        <v>4927</v>
      </c>
      <c r="F761" s="390">
        <v>0</v>
      </c>
      <c r="G761" s="390">
        <v>0</v>
      </c>
      <c r="H761" s="389">
        <v>0</v>
      </c>
      <c r="I761" s="389">
        <v>99.63</v>
      </c>
      <c r="J761" s="389">
        <v>0</v>
      </c>
      <c r="K761" s="389">
        <v>54.8</v>
      </c>
    </row>
    <row r="762" spans="1:11" hidden="1" x14ac:dyDescent="0.25">
      <c r="A762" s="389" t="s">
        <v>625</v>
      </c>
      <c r="B762" s="394" t="s">
        <v>6326</v>
      </c>
      <c r="C762" s="389" t="s">
        <v>6318</v>
      </c>
      <c r="D762" s="389">
        <v>0</v>
      </c>
      <c r="E762" s="389" t="s">
        <v>4927</v>
      </c>
      <c r="F762" s="390">
        <v>0</v>
      </c>
      <c r="G762" s="390">
        <v>0</v>
      </c>
      <c r="H762" s="389">
        <v>0</v>
      </c>
      <c r="I762" s="389">
        <v>99.63</v>
      </c>
      <c r="J762" s="389">
        <v>0</v>
      </c>
      <c r="K762" s="389">
        <v>54.8</v>
      </c>
    </row>
    <row r="763" spans="1:11" hidden="1" x14ac:dyDescent="0.25">
      <c r="A763" s="389" t="s">
        <v>680</v>
      </c>
      <c r="B763" s="394" t="s">
        <v>6327</v>
      </c>
      <c r="C763" s="389" t="s">
        <v>6318</v>
      </c>
      <c r="D763" s="389">
        <v>0</v>
      </c>
      <c r="E763" s="389" t="s">
        <v>4927</v>
      </c>
      <c r="F763" s="390">
        <v>0</v>
      </c>
      <c r="G763" s="390">
        <v>0</v>
      </c>
      <c r="H763" s="389">
        <v>0</v>
      </c>
      <c r="I763" s="389">
        <v>99.63</v>
      </c>
      <c r="J763" s="389">
        <v>0</v>
      </c>
      <c r="K763" s="389">
        <v>54.8</v>
      </c>
    </row>
    <row r="764" spans="1:11" hidden="1" x14ac:dyDescent="0.25">
      <c r="A764" s="389" t="s">
        <v>682</v>
      </c>
      <c r="B764" s="394" t="s">
        <v>6328</v>
      </c>
      <c r="C764" s="389" t="s">
        <v>6318</v>
      </c>
      <c r="D764" s="389">
        <v>0</v>
      </c>
      <c r="E764" s="389" t="s">
        <v>4927</v>
      </c>
      <c r="F764" s="390">
        <v>0</v>
      </c>
      <c r="G764" s="390">
        <v>0</v>
      </c>
      <c r="H764" s="389">
        <v>0</v>
      </c>
      <c r="I764" s="389">
        <v>99.63</v>
      </c>
      <c r="J764" s="389">
        <v>0</v>
      </c>
      <c r="K764" s="389">
        <v>54.8</v>
      </c>
    </row>
    <row r="765" spans="1:11" hidden="1" x14ac:dyDescent="0.25">
      <c r="A765" s="389" t="s">
        <v>261</v>
      </c>
      <c r="B765" s="394" t="s">
        <v>6329</v>
      </c>
      <c r="C765" s="389" t="s">
        <v>5114</v>
      </c>
      <c r="D765" s="391">
        <v>805498.43226899998</v>
      </c>
      <c r="E765" s="389" t="s">
        <v>4927</v>
      </c>
      <c r="F765" s="389">
        <v>14.42</v>
      </c>
      <c r="G765" s="389">
        <v>35822274.520000003</v>
      </c>
      <c r="H765" s="389">
        <v>18.3</v>
      </c>
      <c r="I765" s="389">
        <v>18.3</v>
      </c>
      <c r="J765" s="389">
        <v>2.5</v>
      </c>
      <c r="K765" s="389">
        <v>2.5</v>
      </c>
    </row>
    <row r="766" spans="1:11" hidden="1" x14ac:dyDescent="0.25">
      <c r="A766" s="389" t="s">
        <v>6330</v>
      </c>
      <c r="B766" s="394" t="s">
        <v>6331</v>
      </c>
      <c r="C766" s="389" t="s">
        <v>5114</v>
      </c>
      <c r="D766" s="391">
        <v>2217694.2801100002</v>
      </c>
      <c r="E766" s="389" t="s">
        <v>4927</v>
      </c>
      <c r="F766" s="389">
        <v>18.84</v>
      </c>
      <c r="G766" s="389">
        <v>26944985.489999998</v>
      </c>
      <c r="H766" s="389">
        <v>13.77</v>
      </c>
      <c r="I766" s="389">
        <v>32.07</v>
      </c>
      <c r="J766" s="389">
        <v>1.88</v>
      </c>
      <c r="K766" s="389">
        <v>4.38</v>
      </c>
    </row>
    <row r="767" spans="1:11" hidden="1" x14ac:dyDescent="0.25">
      <c r="A767" s="389" t="s">
        <v>255</v>
      </c>
      <c r="B767" s="394" t="s">
        <v>6332</v>
      </c>
      <c r="C767" s="389" t="s">
        <v>5114</v>
      </c>
      <c r="D767" s="391">
        <v>76429.129264000003</v>
      </c>
      <c r="E767" s="389" t="s">
        <v>4927</v>
      </c>
      <c r="F767" s="389">
        <v>17.29</v>
      </c>
      <c r="G767" s="389">
        <v>17985700.34</v>
      </c>
      <c r="H767" s="389">
        <v>9.19</v>
      </c>
      <c r="I767" s="389">
        <v>41.26</v>
      </c>
      <c r="J767" s="389">
        <v>1.26</v>
      </c>
      <c r="K767" s="389">
        <v>5.64</v>
      </c>
    </row>
    <row r="768" spans="1:11" hidden="1" x14ac:dyDescent="0.25">
      <c r="A768" s="389" t="s">
        <v>249</v>
      </c>
      <c r="B768" s="394" t="s">
        <v>6333</v>
      </c>
      <c r="C768" s="389" t="s">
        <v>5114</v>
      </c>
      <c r="D768" s="391">
        <v>1577.305615</v>
      </c>
      <c r="E768" s="389" t="s">
        <v>4927</v>
      </c>
      <c r="F768" s="389">
        <v>51.08</v>
      </c>
      <c r="G768" s="389">
        <v>16730137.98</v>
      </c>
      <c r="H768" s="389">
        <v>8.5500000000000007</v>
      </c>
      <c r="I768" s="389">
        <v>49.81</v>
      </c>
      <c r="J768" s="389">
        <v>1.17</v>
      </c>
      <c r="K768" s="389">
        <v>6.81</v>
      </c>
    </row>
    <row r="769" spans="1:11" hidden="1" x14ac:dyDescent="0.25">
      <c r="A769" s="389" t="s">
        <v>6334</v>
      </c>
      <c r="B769" s="394" t="s">
        <v>6335</v>
      </c>
      <c r="C769" s="389" t="s">
        <v>5114</v>
      </c>
      <c r="D769" s="391">
        <v>804369.828721</v>
      </c>
      <c r="E769" s="389" t="s">
        <v>4927</v>
      </c>
      <c r="F769" s="389">
        <v>31.14</v>
      </c>
      <c r="G769" s="389">
        <v>16150238.07</v>
      </c>
      <c r="H769" s="389">
        <v>8.25</v>
      </c>
      <c r="I769" s="389">
        <v>58.06</v>
      </c>
      <c r="J769" s="389">
        <v>1.1299999999999999</v>
      </c>
      <c r="K769" s="389">
        <v>7.94</v>
      </c>
    </row>
    <row r="770" spans="1:11" hidden="1" x14ac:dyDescent="0.25">
      <c r="A770" s="389" t="s">
        <v>6336</v>
      </c>
      <c r="B770" s="394" t="s">
        <v>6337</v>
      </c>
      <c r="C770" s="389" t="s">
        <v>5114</v>
      </c>
      <c r="D770" s="391">
        <v>514507.58758599998</v>
      </c>
      <c r="E770" s="389" t="s">
        <v>4927</v>
      </c>
      <c r="F770" s="389">
        <v>47.7</v>
      </c>
      <c r="G770" s="389">
        <v>15826252.720000001</v>
      </c>
      <c r="H770" s="389">
        <v>8.09</v>
      </c>
      <c r="I770" s="389">
        <v>66.150000000000006</v>
      </c>
      <c r="J770" s="389">
        <v>1.1100000000000001</v>
      </c>
      <c r="K770" s="389">
        <v>9.0500000000000007</v>
      </c>
    </row>
    <row r="771" spans="1:11" hidden="1" x14ac:dyDescent="0.25">
      <c r="A771" s="389" t="s">
        <v>6338</v>
      </c>
      <c r="B771" s="394" t="s">
        <v>6339</v>
      </c>
      <c r="C771" s="389" t="s">
        <v>5114</v>
      </c>
      <c r="D771" s="391">
        <v>1281775.086345</v>
      </c>
      <c r="E771" s="389" t="s">
        <v>4927</v>
      </c>
      <c r="F771" s="389">
        <v>14.48</v>
      </c>
      <c r="G771" s="389">
        <v>11971258.630000001</v>
      </c>
      <c r="H771" s="389">
        <v>6.12</v>
      </c>
      <c r="I771" s="389">
        <v>72.27</v>
      </c>
      <c r="J771" s="389">
        <v>0.84</v>
      </c>
      <c r="K771" s="389">
        <v>9.89</v>
      </c>
    </row>
    <row r="772" spans="1:11" hidden="1" x14ac:dyDescent="0.25">
      <c r="A772" s="389" t="s">
        <v>6340</v>
      </c>
      <c r="B772" s="394" t="s">
        <v>6341</v>
      </c>
      <c r="C772" s="389" t="s">
        <v>5114</v>
      </c>
      <c r="D772" s="391">
        <v>396207.21791299997</v>
      </c>
      <c r="E772" s="389" t="s">
        <v>4927</v>
      </c>
      <c r="F772" s="389">
        <v>14.42</v>
      </c>
      <c r="G772" s="389">
        <v>8431423</v>
      </c>
      <c r="H772" s="389">
        <v>4.3099999999999996</v>
      </c>
      <c r="I772" s="389">
        <v>76.58</v>
      </c>
      <c r="J772" s="389">
        <v>0.59</v>
      </c>
      <c r="K772" s="389">
        <v>10.48</v>
      </c>
    </row>
    <row r="773" spans="1:11" hidden="1" x14ac:dyDescent="0.25">
      <c r="A773" s="389" t="s">
        <v>6342</v>
      </c>
      <c r="B773" s="394" t="s">
        <v>6343</v>
      </c>
      <c r="C773" s="389" t="s">
        <v>5114</v>
      </c>
      <c r="D773" s="391">
        <v>483822.20173600002</v>
      </c>
      <c r="E773" s="389" t="s">
        <v>4927</v>
      </c>
      <c r="F773" s="389">
        <v>18.84</v>
      </c>
      <c r="G773" s="389">
        <v>5878439.75</v>
      </c>
      <c r="H773" s="389">
        <v>3</v>
      </c>
      <c r="I773" s="389">
        <v>79.58</v>
      </c>
      <c r="J773" s="389">
        <v>0.41</v>
      </c>
      <c r="K773" s="389">
        <v>10.89</v>
      </c>
    </row>
    <row r="774" spans="1:11" hidden="1" x14ac:dyDescent="0.25">
      <c r="A774" s="389" t="s">
        <v>248</v>
      </c>
      <c r="B774" s="394" t="s">
        <v>6344</v>
      </c>
      <c r="C774" s="389" t="s">
        <v>5114</v>
      </c>
      <c r="D774" s="391">
        <v>61219.383949000003</v>
      </c>
      <c r="E774" s="389" t="s">
        <v>4927</v>
      </c>
      <c r="F774" s="389">
        <v>43.35</v>
      </c>
      <c r="G774" s="389">
        <v>5076361.47</v>
      </c>
      <c r="H774" s="389">
        <v>2.59</v>
      </c>
      <c r="I774" s="389">
        <v>82.17</v>
      </c>
      <c r="J774" s="389">
        <v>0.35</v>
      </c>
      <c r="K774" s="389">
        <v>11.24</v>
      </c>
    </row>
    <row r="775" spans="1:11" hidden="1" x14ac:dyDescent="0.25">
      <c r="A775" s="389" t="s">
        <v>6345</v>
      </c>
      <c r="B775" s="394" t="s">
        <v>6346</v>
      </c>
      <c r="C775" s="389" t="s">
        <v>5114</v>
      </c>
      <c r="D775" s="391">
        <v>492845.992348</v>
      </c>
      <c r="E775" s="389" t="s">
        <v>4927</v>
      </c>
      <c r="F775" s="389">
        <v>14.48</v>
      </c>
      <c r="G775" s="389">
        <v>4603181.6100000003</v>
      </c>
      <c r="H775" s="389">
        <v>2.35</v>
      </c>
      <c r="I775" s="389">
        <v>84.52</v>
      </c>
      <c r="J775" s="389">
        <v>0.32</v>
      </c>
      <c r="K775" s="389">
        <v>11.56</v>
      </c>
    </row>
    <row r="776" spans="1:11" hidden="1" x14ac:dyDescent="0.25">
      <c r="A776" s="389" t="s">
        <v>6347</v>
      </c>
      <c r="B776" s="394" t="s">
        <v>6348</v>
      </c>
      <c r="C776" s="389" t="s">
        <v>5114</v>
      </c>
      <c r="D776" s="391">
        <v>136468.10510399999</v>
      </c>
      <c r="E776" s="389" t="s">
        <v>4927</v>
      </c>
      <c r="F776" s="389">
        <v>21.66</v>
      </c>
      <c r="G776" s="389">
        <v>4283209.96</v>
      </c>
      <c r="H776" s="389">
        <v>2.19</v>
      </c>
      <c r="I776" s="389">
        <v>86.71</v>
      </c>
      <c r="J776" s="389">
        <v>0.3</v>
      </c>
      <c r="K776" s="389">
        <v>11.86</v>
      </c>
    </row>
    <row r="777" spans="1:11" hidden="1" x14ac:dyDescent="0.25">
      <c r="A777" s="389" t="s">
        <v>241</v>
      </c>
      <c r="B777" s="394" t="s">
        <v>6349</v>
      </c>
      <c r="C777" s="389" t="s">
        <v>5114</v>
      </c>
      <c r="D777" s="391">
        <v>342324.26472199999</v>
      </c>
      <c r="E777" s="389" t="s">
        <v>4927</v>
      </c>
      <c r="F777" s="389">
        <v>15.34</v>
      </c>
      <c r="G777" s="389">
        <v>3385586.98</v>
      </c>
      <c r="H777" s="389">
        <v>1.73</v>
      </c>
      <c r="I777" s="389">
        <v>88.44</v>
      </c>
      <c r="J777" s="389">
        <v>0.24</v>
      </c>
      <c r="K777" s="389">
        <v>12.1</v>
      </c>
    </row>
    <row r="778" spans="1:11" hidden="1" x14ac:dyDescent="0.25">
      <c r="A778" s="389" t="s">
        <v>254</v>
      </c>
      <c r="B778" s="394" t="s">
        <v>6350</v>
      </c>
      <c r="C778" s="389" t="s">
        <v>5114</v>
      </c>
      <c r="D778" s="391">
        <v>224093.33223199999</v>
      </c>
      <c r="E778" s="389" t="s">
        <v>4927</v>
      </c>
      <c r="F778" s="389">
        <v>17.29</v>
      </c>
      <c r="G778" s="389">
        <v>3359586.41</v>
      </c>
      <c r="H778" s="389">
        <v>1.72</v>
      </c>
      <c r="I778" s="389">
        <v>90.16</v>
      </c>
      <c r="J778" s="389">
        <v>0.23</v>
      </c>
      <c r="K778" s="389">
        <v>12.33</v>
      </c>
    </row>
    <row r="779" spans="1:11" hidden="1" x14ac:dyDescent="0.25">
      <c r="A779" s="389" t="s">
        <v>262</v>
      </c>
      <c r="B779" s="394" t="s">
        <v>6351</v>
      </c>
      <c r="C779" s="389" t="s">
        <v>5114</v>
      </c>
      <c r="D779" s="391">
        <v>265095.79113600001</v>
      </c>
      <c r="E779" s="389" t="s">
        <v>4927</v>
      </c>
      <c r="F779" s="389">
        <v>14.42</v>
      </c>
      <c r="G779" s="389">
        <v>3168496.64</v>
      </c>
      <c r="H779" s="389">
        <v>1.62</v>
      </c>
      <c r="I779" s="389">
        <v>91.78</v>
      </c>
      <c r="J779" s="389">
        <v>0.22</v>
      </c>
      <c r="K779" s="389">
        <v>12.55</v>
      </c>
    </row>
    <row r="780" spans="1:11" hidden="1" x14ac:dyDescent="0.25">
      <c r="A780" s="389" t="s">
        <v>4792</v>
      </c>
      <c r="B780" s="394" t="s">
        <v>6352</v>
      </c>
      <c r="C780" s="389" t="s">
        <v>5114</v>
      </c>
      <c r="D780" s="391">
        <v>258099.63693000001</v>
      </c>
      <c r="E780" s="389" t="s">
        <v>4927</v>
      </c>
      <c r="F780" s="389">
        <v>18.84</v>
      </c>
      <c r="G780" s="389">
        <v>3135910.6</v>
      </c>
      <c r="H780" s="389">
        <v>1.6</v>
      </c>
      <c r="I780" s="389">
        <v>93.38</v>
      </c>
      <c r="J780" s="389">
        <v>0.22</v>
      </c>
      <c r="K780" s="389">
        <v>12.77</v>
      </c>
    </row>
    <row r="781" spans="1:11" hidden="1" x14ac:dyDescent="0.25">
      <c r="A781" s="389" t="s">
        <v>253</v>
      </c>
      <c r="B781" s="394" t="s">
        <v>6353</v>
      </c>
      <c r="C781" s="389" t="s">
        <v>5114</v>
      </c>
      <c r="D781" s="391">
        <v>124848.918962</v>
      </c>
      <c r="E781" s="389" t="s">
        <v>4927</v>
      </c>
      <c r="F781" s="389">
        <v>17.29</v>
      </c>
      <c r="G781" s="389">
        <v>1392065.46</v>
      </c>
      <c r="H781" s="389">
        <v>0.71</v>
      </c>
      <c r="I781" s="389">
        <v>94.09</v>
      </c>
      <c r="J781" s="389">
        <v>0.1</v>
      </c>
      <c r="K781" s="389">
        <v>12.87</v>
      </c>
    </row>
    <row r="782" spans="1:11" hidden="1" x14ac:dyDescent="0.25">
      <c r="A782" s="389" t="s">
        <v>6354</v>
      </c>
      <c r="B782" s="394" t="s">
        <v>6355</v>
      </c>
      <c r="C782" s="389" t="s">
        <v>5114</v>
      </c>
      <c r="D782" s="391">
        <v>91049.593657000005</v>
      </c>
      <c r="E782" s="389" t="s">
        <v>4927</v>
      </c>
      <c r="F782" s="389">
        <v>17.29</v>
      </c>
      <c r="G782" s="389">
        <v>1296191.1399999999</v>
      </c>
      <c r="H782" s="389">
        <v>0.66</v>
      </c>
      <c r="I782" s="389">
        <v>94.75</v>
      </c>
      <c r="J782" s="389">
        <v>0.09</v>
      </c>
      <c r="K782" s="389">
        <v>12.96</v>
      </c>
    </row>
    <row r="783" spans="1:11" hidden="1" x14ac:dyDescent="0.25">
      <c r="A783" s="389" t="s">
        <v>243</v>
      </c>
      <c r="B783" s="394" t="s">
        <v>6356</v>
      </c>
      <c r="C783" s="389" t="s">
        <v>5114</v>
      </c>
      <c r="D783" s="391">
        <v>126276.61663999999</v>
      </c>
      <c r="E783" s="389" t="s">
        <v>4927</v>
      </c>
      <c r="F783" s="389">
        <v>15.34</v>
      </c>
      <c r="G783" s="389">
        <v>1248886.17</v>
      </c>
      <c r="H783" s="389">
        <v>0.64</v>
      </c>
      <c r="I783" s="389">
        <v>95.39</v>
      </c>
      <c r="J783" s="389">
        <v>0.09</v>
      </c>
      <c r="K783" s="389">
        <v>13.05</v>
      </c>
    </row>
    <row r="784" spans="1:11" hidden="1" x14ac:dyDescent="0.25">
      <c r="A784" s="389" t="s">
        <v>6357</v>
      </c>
      <c r="B784" s="394" t="s">
        <v>6358</v>
      </c>
      <c r="C784" s="389" t="s">
        <v>5114</v>
      </c>
      <c r="D784" s="391">
        <v>50541.425996999998</v>
      </c>
      <c r="E784" s="389" t="s">
        <v>4927</v>
      </c>
      <c r="F784" s="389">
        <v>30.72</v>
      </c>
      <c r="G784" s="389">
        <v>1001712.89</v>
      </c>
      <c r="H784" s="389">
        <v>0.51</v>
      </c>
      <c r="I784" s="389">
        <v>95.9</v>
      </c>
      <c r="J784" s="389">
        <v>7.0000000000000007E-2</v>
      </c>
      <c r="K784" s="389">
        <v>13.12</v>
      </c>
    </row>
    <row r="785" spans="1:11" hidden="1" x14ac:dyDescent="0.25">
      <c r="A785" s="389" t="s">
        <v>6359</v>
      </c>
      <c r="B785" s="394" t="s">
        <v>6360</v>
      </c>
      <c r="C785" s="389" t="s">
        <v>5114</v>
      </c>
      <c r="D785" s="391">
        <v>37425.393934</v>
      </c>
      <c r="E785" s="389" t="s">
        <v>4927</v>
      </c>
      <c r="F785" s="389">
        <v>32.25</v>
      </c>
      <c r="G785" s="389">
        <v>778452.89</v>
      </c>
      <c r="H785" s="389">
        <v>0.4</v>
      </c>
      <c r="I785" s="389">
        <v>96.3</v>
      </c>
      <c r="J785" s="389">
        <v>0.05</v>
      </c>
      <c r="K785" s="389">
        <v>13.17</v>
      </c>
    </row>
    <row r="786" spans="1:11" hidden="1" x14ac:dyDescent="0.25">
      <c r="A786" s="389" t="s">
        <v>6361</v>
      </c>
      <c r="B786" s="394" t="s">
        <v>6362</v>
      </c>
      <c r="C786" s="389" t="s">
        <v>5114</v>
      </c>
      <c r="D786" s="391">
        <v>40074.597680999999</v>
      </c>
      <c r="E786" s="389" t="s">
        <v>4927</v>
      </c>
      <c r="F786" s="389">
        <v>23.89</v>
      </c>
      <c r="G786" s="389">
        <v>617555.37</v>
      </c>
      <c r="H786" s="389">
        <v>0.32</v>
      </c>
      <c r="I786" s="389">
        <v>96.62</v>
      </c>
      <c r="J786" s="389">
        <v>0.04</v>
      </c>
      <c r="K786" s="389">
        <v>13.21</v>
      </c>
    </row>
    <row r="787" spans="1:11" hidden="1" x14ac:dyDescent="0.25">
      <c r="A787" s="389" t="s">
        <v>6363</v>
      </c>
      <c r="B787" s="394" t="s">
        <v>6364</v>
      </c>
      <c r="C787" s="389" t="s">
        <v>5114</v>
      </c>
      <c r="D787" s="391">
        <v>38881.809930000003</v>
      </c>
      <c r="E787" s="389" t="s">
        <v>4927</v>
      </c>
      <c r="F787" s="389">
        <v>24.5</v>
      </c>
      <c r="G787" s="389">
        <v>614315.96</v>
      </c>
      <c r="H787" s="389">
        <v>0.31</v>
      </c>
      <c r="I787" s="389">
        <v>96.93</v>
      </c>
      <c r="J787" s="389">
        <v>0.04</v>
      </c>
      <c r="K787" s="389">
        <v>13.25</v>
      </c>
    </row>
    <row r="788" spans="1:11" hidden="1" x14ac:dyDescent="0.25">
      <c r="A788" s="389" t="s">
        <v>6365</v>
      </c>
      <c r="B788" s="394" t="s">
        <v>6366</v>
      </c>
      <c r="C788" s="389" t="s">
        <v>5114</v>
      </c>
      <c r="D788" s="391">
        <v>30262.538637000001</v>
      </c>
      <c r="E788" s="389" t="s">
        <v>4927</v>
      </c>
      <c r="F788" s="389">
        <v>30.72</v>
      </c>
      <c r="G788" s="389">
        <v>599498.82999999996</v>
      </c>
      <c r="H788" s="389">
        <v>0.31</v>
      </c>
      <c r="I788" s="389">
        <v>97.24</v>
      </c>
      <c r="J788" s="389">
        <v>0.04</v>
      </c>
      <c r="K788" s="389">
        <v>13.29</v>
      </c>
    </row>
    <row r="789" spans="1:11" hidden="1" x14ac:dyDescent="0.25">
      <c r="A789" s="389" t="s">
        <v>245</v>
      </c>
      <c r="B789" s="394" t="s">
        <v>6367</v>
      </c>
      <c r="C789" s="389" t="s">
        <v>5114</v>
      </c>
      <c r="D789" s="391">
        <v>33708.487816000001</v>
      </c>
      <c r="E789" s="389" t="s">
        <v>4927</v>
      </c>
      <c r="F789" s="389">
        <v>27.28</v>
      </c>
      <c r="G789" s="389">
        <v>593009.76</v>
      </c>
      <c r="H789" s="389">
        <v>0.3</v>
      </c>
      <c r="I789" s="389">
        <v>97.54</v>
      </c>
      <c r="J789" s="389">
        <v>0.04</v>
      </c>
      <c r="K789" s="389">
        <v>13.33</v>
      </c>
    </row>
    <row r="790" spans="1:11" hidden="1" x14ac:dyDescent="0.25">
      <c r="A790" s="389" t="s">
        <v>6368</v>
      </c>
      <c r="B790" s="394" t="s">
        <v>6369</v>
      </c>
      <c r="C790" s="389" t="s">
        <v>5114</v>
      </c>
      <c r="D790" s="391">
        <v>25283.139875000001</v>
      </c>
      <c r="E790" s="389" t="s">
        <v>4927</v>
      </c>
      <c r="F790" s="389">
        <v>30.72</v>
      </c>
      <c r="G790" s="389">
        <v>500882.22</v>
      </c>
      <c r="H790" s="389">
        <v>0.26</v>
      </c>
      <c r="I790" s="389">
        <v>97.8</v>
      </c>
      <c r="J790" s="389">
        <v>0.04</v>
      </c>
      <c r="K790" s="389">
        <v>13.37</v>
      </c>
    </row>
    <row r="791" spans="1:11" hidden="1" x14ac:dyDescent="0.25">
      <c r="A791" s="389" t="s">
        <v>6370</v>
      </c>
      <c r="B791" s="394" t="s">
        <v>6371</v>
      </c>
      <c r="C791" s="389" t="s">
        <v>5114</v>
      </c>
      <c r="D791" s="391">
        <v>30926.416246000001</v>
      </c>
      <c r="E791" s="389" t="s">
        <v>4927</v>
      </c>
      <c r="F791" s="389">
        <v>23.51</v>
      </c>
      <c r="G791" s="389">
        <v>468844.11</v>
      </c>
      <c r="H791" s="389">
        <v>0.24</v>
      </c>
      <c r="I791" s="389">
        <v>98.04</v>
      </c>
      <c r="J791" s="389">
        <v>0.03</v>
      </c>
      <c r="K791" s="389">
        <v>13.4</v>
      </c>
    </row>
    <row r="792" spans="1:11" hidden="1" x14ac:dyDescent="0.25">
      <c r="A792" s="389" t="s">
        <v>6372</v>
      </c>
      <c r="B792" s="394" t="s">
        <v>6373</v>
      </c>
      <c r="C792" s="389" t="s">
        <v>5114</v>
      </c>
      <c r="D792" s="391">
        <v>26241.048573</v>
      </c>
      <c r="E792" s="389" t="s">
        <v>4927</v>
      </c>
      <c r="F792" s="389">
        <v>25.65</v>
      </c>
      <c r="G792" s="389">
        <v>433218.39</v>
      </c>
      <c r="H792" s="389">
        <v>0.22</v>
      </c>
      <c r="I792" s="389">
        <v>98.26</v>
      </c>
      <c r="J792" s="389">
        <v>0.03</v>
      </c>
      <c r="K792" s="389">
        <v>13.43</v>
      </c>
    </row>
    <row r="793" spans="1:11" hidden="1" x14ac:dyDescent="0.25">
      <c r="A793" s="389" t="s">
        <v>6374</v>
      </c>
      <c r="B793" s="394" t="s">
        <v>6375</v>
      </c>
      <c r="C793" s="389" t="s">
        <v>5114</v>
      </c>
      <c r="D793" s="391">
        <v>6627.803062</v>
      </c>
      <c r="E793" s="389" t="s">
        <v>4927</v>
      </c>
      <c r="F793" s="389">
        <v>43.35</v>
      </c>
      <c r="G793" s="389">
        <v>423158.46</v>
      </c>
      <c r="H793" s="389">
        <v>0.22</v>
      </c>
      <c r="I793" s="389">
        <v>98.48</v>
      </c>
      <c r="J793" s="389">
        <v>0.03</v>
      </c>
      <c r="K793" s="389">
        <v>13.46</v>
      </c>
    </row>
    <row r="794" spans="1:11" hidden="1" x14ac:dyDescent="0.25">
      <c r="A794" s="389" t="s">
        <v>244</v>
      </c>
      <c r="B794" s="394" t="s">
        <v>6376</v>
      </c>
      <c r="C794" s="389" t="s">
        <v>5114</v>
      </c>
      <c r="D794" s="391">
        <v>33573.896907000002</v>
      </c>
      <c r="E794" s="389" t="s">
        <v>4927</v>
      </c>
      <c r="F794" s="389">
        <v>17.37</v>
      </c>
      <c r="G794" s="389">
        <v>410113.91</v>
      </c>
      <c r="H794" s="389">
        <v>0.21</v>
      </c>
      <c r="I794" s="389">
        <v>98.69</v>
      </c>
      <c r="J794" s="389">
        <v>0.03</v>
      </c>
      <c r="K794" s="389">
        <v>13.49</v>
      </c>
    </row>
    <row r="795" spans="1:11" hidden="1" x14ac:dyDescent="0.25">
      <c r="A795" s="389" t="s">
        <v>6377</v>
      </c>
      <c r="B795" s="394" t="s">
        <v>6378</v>
      </c>
      <c r="C795" s="389" t="s">
        <v>5114</v>
      </c>
      <c r="D795" s="391">
        <v>23001.909967</v>
      </c>
      <c r="E795" s="389" t="s">
        <v>4927</v>
      </c>
      <c r="F795" s="389">
        <v>27.38</v>
      </c>
      <c r="G795" s="389">
        <v>406199.98</v>
      </c>
      <c r="H795" s="389">
        <v>0.21</v>
      </c>
      <c r="I795" s="389">
        <v>98.9</v>
      </c>
      <c r="J795" s="389">
        <v>0.03</v>
      </c>
      <c r="K795" s="389">
        <v>13.52</v>
      </c>
    </row>
    <row r="796" spans="1:11" hidden="1" x14ac:dyDescent="0.25">
      <c r="A796" s="389" t="s">
        <v>6379</v>
      </c>
      <c r="B796" s="394" t="s">
        <v>6380</v>
      </c>
      <c r="C796" s="389" t="s">
        <v>5114</v>
      </c>
      <c r="D796" s="391">
        <v>40571.344052</v>
      </c>
      <c r="E796" s="389" t="s">
        <v>4927</v>
      </c>
      <c r="F796" s="389">
        <v>15.4</v>
      </c>
      <c r="G796" s="389">
        <v>402871.4</v>
      </c>
      <c r="H796" s="389">
        <v>0.21</v>
      </c>
      <c r="I796" s="389">
        <v>99.11</v>
      </c>
      <c r="J796" s="389">
        <v>0.03</v>
      </c>
      <c r="K796" s="389">
        <v>13.55</v>
      </c>
    </row>
    <row r="797" spans="1:11" hidden="1" x14ac:dyDescent="0.25">
      <c r="A797" s="389" t="s">
        <v>258</v>
      </c>
      <c r="B797" s="394" t="s">
        <v>6381</v>
      </c>
      <c r="C797" s="389" t="s">
        <v>5114</v>
      </c>
      <c r="D797" s="391">
        <v>27553.532825999999</v>
      </c>
      <c r="E797" s="389" t="s">
        <v>4927</v>
      </c>
      <c r="F797" s="389">
        <v>21.66</v>
      </c>
      <c r="G797" s="389">
        <v>384919.4</v>
      </c>
      <c r="H797" s="389">
        <v>0.2</v>
      </c>
      <c r="I797" s="389">
        <v>99.31</v>
      </c>
      <c r="J797" s="389">
        <v>0.03</v>
      </c>
      <c r="K797" s="389">
        <v>13.58</v>
      </c>
    </row>
    <row r="798" spans="1:11" hidden="1" x14ac:dyDescent="0.25">
      <c r="A798" s="389" t="s">
        <v>246</v>
      </c>
      <c r="B798" s="394" t="s">
        <v>6382</v>
      </c>
      <c r="C798" s="389" t="s">
        <v>5114</v>
      </c>
      <c r="D798" s="391">
        <v>15261.592989999999</v>
      </c>
      <c r="E798" s="389" t="s">
        <v>4927</v>
      </c>
      <c r="F798" s="389">
        <v>30.58</v>
      </c>
      <c r="G798" s="389">
        <v>300959.58</v>
      </c>
      <c r="H798" s="389">
        <v>0.15</v>
      </c>
      <c r="I798" s="389">
        <v>99.46</v>
      </c>
      <c r="J798" s="389">
        <v>0.02</v>
      </c>
      <c r="K798" s="389">
        <v>13.6</v>
      </c>
    </row>
    <row r="799" spans="1:11" hidden="1" x14ac:dyDescent="0.25">
      <c r="A799" s="389" t="s">
        <v>6383</v>
      </c>
      <c r="B799" s="394" t="s">
        <v>6384</v>
      </c>
      <c r="C799" s="389" t="s">
        <v>5114</v>
      </c>
      <c r="D799" s="391">
        <v>10308.805415000001</v>
      </c>
      <c r="E799" s="389" t="s">
        <v>4927</v>
      </c>
      <c r="F799" s="389">
        <v>37.49</v>
      </c>
      <c r="G799" s="389">
        <v>249266.8</v>
      </c>
      <c r="H799" s="389">
        <v>0.13</v>
      </c>
      <c r="I799" s="389">
        <v>99.59</v>
      </c>
      <c r="J799" s="389">
        <v>0.02</v>
      </c>
      <c r="K799" s="389">
        <v>13.62</v>
      </c>
    </row>
    <row r="800" spans="1:11" hidden="1" x14ac:dyDescent="0.25">
      <c r="A800" s="389" t="s">
        <v>6385</v>
      </c>
      <c r="B800" s="394" t="s">
        <v>6386</v>
      </c>
      <c r="C800" s="389" t="s">
        <v>5114</v>
      </c>
      <c r="D800" s="391">
        <v>22350.579312999998</v>
      </c>
      <c r="E800" s="389" t="s">
        <v>4927</v>
      </c>
      <c r="F800" s="389">
        <v>14.48</v>
      </c>
      <c r="G800" s="389">
        <v>208900.75</v>
      </c>
      <c r="H800" s="389">
        <v>0.11</v>
      </c>
      <c r="I800" s="389">
        <v>99.7</v>
      </c>
      <c r="J800" s="389">
        <v>0.01</v>
      </c>
      <c r="K800" s="389">
        <v>13.63</v>
      </c>
    </row>
    <row r="801" spans="1:11" hidden="1" x14ac:dyDescent="0.25">
      <c r="A801" s="389" t="s">
        <v>6387</v>
      </c>
      <c r="B801" s="394" t="s">
        <v>6388</v>
      </c>
      <c r="C801" s="389" t="s">
        <v>5114</v>
      </c>
      <c r="D801" s="391">
        <v>10308.805415000001</v>
      </c>
      <c r="E801" s="389" t="s">
        <v>4927</v>
      </c>
      <c r="F801" s="389">
        <v>30.72</v>
      </c>
      <c r="G801" s="389">
        <v>204218.49</v>
      </c>
      <c r="H801" s="389">
        <v>0.1</v>
      </c>
      <c r="I801" s="389">
        <v>99.8</v>
      </c>
      <c r="J801" s="389">
        <v>0.01</v>
      </c>
      <c r="K801" s="389">
        <v>13.64</v>
      </c>
    </row>
    <row r="802" spans="1:11" hidden="1" x14ac:dyDescent="0.25">
      <c r="A802" s="389" t="s">
        <v>250</v>
      </c>
      <c r="B802" s="394" t="s">
        <v>6389</v>
      </c>
      <c r="C802" s="389" t="s">
        <v>5114</v>
      </c>
      <c r="D802" s="391">
        <v>2987.5179950000002</v>
      </c>
      <c r="E802" s="389" t="s">
        <v>4927</v>
      </c>
      <c r="F802" s="389">
        <v>85.98</v>
      </c>
      <c r="G802" s="389">
        <v>165657.88</v>
      </c>
      <c r="H802" s="389">
        <v>0.08</v>
      </c>
      <c r="I802" s="389">
        <v>99.88</v>
      </c>
      <c r="J802" s="389">
        <v>0.01</v>
      </c>
      <c r="K802" s="389">
        <v>13.65</v>
      </c>
    </row>
    <row r="803" spans="1:11" hidden="1" x14ac:dyDescent="0.25">
      <c r="A803" s="389" t="s">
        <v>6390</v>
      </c>
      <c r="B803" s="394" t="s">
        <v>6391</v>
      </c>
      <c r="C803" s="389" t="s">
        <v>5114</v>
      </c>
      <c r="D803" s="391">
        <v>6611.5286299999998</v>
      </c>
      <c r="E803" s="389" t="s">
        <v>4927</v>
      </c>
      <c r="F803" s="389">
        <v>37.49</v>
      </c>
      <c r="G803" s="389">
        <v>160277.29999999999</v>
      </c>
      <c r="H803" s="389">
        <v>0.08</v>
      </c>
      <c r="I803" s="389">
        <v>99.96</v>
      </c>
      <c r="J803" s="389">
        <v>0.01</v>
      </c>
      <c r="K803" s="389">
        <v>13.66</v>
      </c>
    </row>
    <row r="804" spans="1:11" hidden="1" x14ac:dyDescent="0.25">
      <c r="A804" s="389" t="s">
        <v>6392</v>
      </c>
      <c r="B804" s="394" t="s">
        <v>6393</v>
      </c>
      <c r="C804" s="389" t="s">
        <v>5114</v>
      </c>
      <c r="D804" s="391">
        <v>8426.3421820000003</v>
      </c>
      <c r="E804" s="389" t="s">
        <v>4927</v>
      </c>
      <c r="F804" s="389">
        <v>21.75</v>
      </c>
      <c r="G804" s="389">
        <v>118221.58</v>
      </c>
      <c r="H804" s="389">
        <v>0.06</v>
      </c>
      <c r="I804" s="389">
        <v>100</v>
      </c>
      <c r="J804" s="389">
        <v>0.01</v>
      </c>
      <c r="K804" s="389">
        <v>13.67</v>
      </c>
    </row>
    <row r="805" spans="1:11" hidden="1" x14ac:dyDescent="0.25">
      <c r="A805" s="389" t="s">
        <v>252</v>
      </c>
      <c r="B805" s="394" t="s">
        <v>6394</v>
      </c>
      <c r="C805" s="389" t="s">
        <v>5114</v>
      </c>
      <c r="D805" s="389">
        <v>573.75805000000003</v>
      </c>
      <c r="E805" s="389" t="s">
        <v>4927</v>
      </c>
      <c r="F805" s="389">
        <v>21.66</v>
      </c>
      <c r="G805" s="389">
        <v>8015.44</v>
      </c>
      <c r="H805" s="389">
        <v>0</v>
      </c>
      <c r="I805" s="389">
        <v>100</v>
      </c>
      <c r="J805" s="389">
        <v>0</v>
      </c>
      <c r="K805" s="389">
        <v>13.67</v>
      </c>
    </row>
    <row r="806" spans="1:11" hidden="1" x14ac:dyDescent="0.25">
      <c r="A806" s="389" t="s">
        <v>6395</v>
      </c>
      <c r="B806" s="394" t="s">
        <v>6396</v>
      </c>
      <c r="C806" s="389" t="s">
        <v>5114</v>
      </c>
      <c r="D806" s="389">
        <v>10.805211</v>
      </c>
      <c r="E806" s="389" t="s">
        <v>4927</v>
      </c>
      <c r="F806" s="389">
        <v>31.26</v>
      </c>
      <c r="G806" s="389">
        <v>0</v>
      </c>
      <c r="H806" s="389">
        <v>0</v>
      </c>
      <c r="I806" s="389">
        <v>100</v>
      </c>
      <c r="J806" s="389">
        <v>0</v>
      </c>
      <c r="K806" s="389">
        <v>13.67</v>
      </c>
    </row>
    <row r="807" spans="1:11" x14ac:dyDescent="0.25">
      <c r="A807" s="389" t="s">
        <v>6397</v>
      </c>
      <c r="B807" s="394" t="s">
        <v>6398</v>
      </c>
      <c r="C807" s="389" t="s">
        <v>5114</v>
      </c>
      <c r="D807" s="391">
        <v>7799.9893599999996</v>
      </c>
      <c r="E807" s="389">
        <v>21.802</v>
      </c>
      <c r="F807" s="389">
        <v>25317.59</v>
      </c>
      <c r="G807" s="389">
        <v>197978706.88</v>
      </c>
      <c r="H807" s="389">
        <v>43.66</v>
      </c>
      <c r="I807" s="389">
        <v>43.66</v>
      </c>
      <c r="J807" s="389">
        <v>13.84</v>
      </c>
      <c r="K807" s="389">
        <v>13.84</v>
      </c>
    </row>
    <row r="808" spans="1:11" hidden="1" x14ac:dyDescent="0.25">
      <c r="A808" s="389" t="s">
        <v>109</v>
      </c>
      <c r="B808" s="394" t="s">
        <v>6399</v>
      </c>
      <c r="C808" s="389" t="s">
        <v>5114</v>
      </c>
      <c r="D808" s="391">
        <v>325120.32502300001</v>
      </c>
      <c r="E808" s="389">
        <v>790.66200000000003</v>
      </c>
      <c r="F808" s="389">
        <v>123.69</v>
      </c>
      <c r="G808" s="389">
        <v>40156776.780000001</v>
      </c>
      <c r="H808" s="389">
        <v>8.85</v>
      </c>
      <c r="I808" s="389">
        <v>52.51</v>
      </c>
      <c r="J808" s="389">
        <v>2.81</v>
      </c>
      <c r="K808" s="389">
        <v>16.649999999999999</v>
      </c>
    </row>
    <row r="809" spans="1:11" hidden="1" x14ac:dyDescent="0.25">
      <c r="A809" s="389" t="s">
        <v>121</v>
      </c>
      <c r="B809" s="394" t="s">
        <v>6400</v>
      </c>
      <c r="C809" s="389" t="s">
        <v>5114</v>
      </c>
      <c r="D809" s="391">
        <v>84197.327499999999</v>
      </c>
      <c r="E809" s="389">
        <v>370989.83100000001</v>
      </c>
      <c r="F809" s="389">
        <v>144.41</v>
      </c>
      <c r="G809" s="389">
        <v>18022530.82</v>
      </c>
      <c r="H809" s="389">
        <v>3.97</v>
      </c>
      <c r="I809" s="389">
        <v>56.48</v>
      </c>
      <c r="J809" s="389">
        <v>1.26</v>
      </c>
      <c r="K809" s="389">
        <v>17.91</v>
      </c>
    </row>
    <row r="810" spans="1:11" hidden="1" x14ac:dyDescent="0.25">
      <c r="A810" s="389" t="s">
        <v>6401</v>
      </c>
      <c r="B810" s="394" t="s">
        <v>6402</v>
      </c>
      <c r="C810" s="389" t="s">
        <v>5114</v>
      </c>
      <c r="D810" s="391">
        <v>32640.430669000001</v>
      </c>
      <c r="E810" s="389">
        <v>732.79600000000005</v>
      </c>
      <c r="F810" s="389">
        <v>534.83000000000004</v>
      </c>
      <c r="G810" s="389">
        <v>17611294.629999999</v>
      </c>
      <c r="H810" s="389">
        <v>3.88</v>
      </c>
      <c r="I810" s="389">
        <v>60.36</v>
      </c>
      <c r="J810" s="389">
        <v>1.23</v>
      </c>
      <c r="K810" s="389">
        <v>19.14</v>
      </c>
    </row>
    <row r="811" spans="1:11" hidden="1" x14ac:dyDescent="0.25">
      <c r="A811" s="389" t="s">
        <v>6403</v>
      </c>
      <c r="B811" s="394" t="s">
        <v>6404</v>
      </c>
      <c r="C811" s="389" t="s">
        <v>5114</v>
      </c>
      <c r="D811" s="391">
        <v>37613.306926999998</v>
      </c>
      <c r="E811" s="389">
        <v>3313.2939999999999</v>
      </c>
      <c r="F811" s="389">
        <v>451.32</v>
      </c>
      <c r="G811" s="389">
        <v>16975640.859999999</v>
      </c>
      <c r="H811" s="389">
        <v>3.74</v>
      </c>
      <c r="I811" s="389">
        <v>64.099999999999994</v>
      </c>
      <c r="J811" s="389">
        <v>1.19</v>
      </c>
      <c r="K811" s="389">
        <v>20.329999999999998</v>
      </c>
    </row>
    <row r="812" spans="1:11" x14ac:dyDescent="0.25">
      <c r="A812" s="389" t="s">
        <v>6405</v>
      </c>
      <c r="B812" s="394" t="s">
        <v>6406</v>
      </c>
      <c r="C812" s="389" t="s">
        <v>5114</v>
      </c>
      <c r="D812" s="391">
        <v>3119.9993180000001</v>
      </c>
      <c r="E812" s="389">
        <v>63.570999999999998</v>
      </c>
      <c r="F812" s="389">
        <v>4357</v>
      </c>
      <c r="G812" s="389">
        <v>13848747.75</v>
      </c>
      <c r="H812" s="389">
        <v>3.05</v>
      </c>
      <c r="I812" s="389">
        <v>67.150000000000006</v>
      </c>
      <c r="J812" s="389">
        <v>0.97</v>
      </c>
      <c r="K812" s="389">
        <v>21.3</v>
      </c>
    </row>
    <row r="813" spans="1:11" x14ac:dyDescent="0.25">
      <c r="A813" s="389" t="s">
        <v>6407</v>
      </c>
      <c r="B813" s="394" t="s">
        <v>6408</v>
      </c>
      <c r="C813" s="389" t="s">
        <v>5114</v>
      </c>
      <c r="D813" s="391">
        <v>2423.5740540000002</v>
      </c>
      <c r="E813" s="389">
        <v>40.405999999999999</v>
      </c>
      <c r="F813" s="389">
        <v>5216.51</v>
      </c>
      <c r="G813" s="389">
        <v>12837439.279999999</v>
      </c>
      <c r="H813" s="389">
        <v>2.83</v>
      </c>
      <c r="I813" s="389">
        <v>69.98</v>
      </c>
      <c r="J813" s="389">
        <v>0.9</v>
      </c>
      <c r="K813" s="389">
        <v>22.2</v>
      </c>
    </row>
    <row r="814" spans="1:11" hidden="1" x14ac:dyDescent="0.25">
      <c r="A814" s="389" t="s">
        <v>6409</v>
      </c>
      <c r="B814" s="394" t="s">
        <v>6410</v>
      </c>
      <c r="C814" s="389" t="s">
        <v>5114</v>
      </c>
      <c r="D814" s="391">
        <v>15054.749216</v>
      </c>
      <c r="E814" s="389" t="s">
        <v>4927</v>
      </c>
      <c r="F814" s="389">
        <v>803</v>
      </c>
      <c r="G814" s="389">
        <v>12088604.75</v>
      </c>
      <c r="H814" s="389">
        <v>2.67</v>
      </c>
      <c r="I814" s="389">
        <v>72.650000000000006</v>
      </c>
      <c r="J814" s="389">
        <v>0.84</v>
      </c>
      <c r="K814" s="389">
        <v>23.04</v>
      </c>
    </row>
    <row r="815" spans="1:11" hidden="1" x14ac:dyDescent="0.25">
      <c r="A815" s="389" t="s">
        <v>6411</v>
      </c>
      <c r="B815" s="394" t="s">
        <v>6412</v>
      </c>
      <c r="C815" s="389" t="s">
        <v>5114</v>
      </c>
      <c r="D815" s="391">
        <v>9638.5207019999998</v>
      </c>
      <c r="E815" s="389">
        <v>732.79600000000005</v>
      </c>
      <c r="F815" s="389">
        <v>1199.8800000000001</v>
      </c>
      <c r="G815" s="389">
        <v>11565103.220000001</v>
      </c>
      <c r="H815" s="389">
        <v>2.5499999999999998</v>
      </c>
      <c r="I815" s="389">
        <v>75.2</v>
      </c>
      <c r="J815" s="389">
        <v>0.81</v>
      </c>
      <c r="K815" s="389">
        <v>23.85</v>
      </c>
    </row>
    <row r="816" spans="1:11" hidden="1" x14ac:dyDescent="0.25">
      <c r="A816" s="389" t="s">
        <v>61</v>
      </c>
      <c r="B816" s="394" t="s">
        <v>6413</v>
      </c>
      <c r="C816" s="389" t="s">
        <v>5114</v>
      </c>
      <c r="D816" s="391">
        <v>23000.485234</v>
      </c>
      <c r="E816" s="389">
        <v>469887.15100000001</v>
      </c>
      <c r="F816" s="389">
        <v>71.010000000000005</v>
      </c>
      <c r="G816" s="389">
        <v>8892589.9399999995</v>
      </c>
      <c r="H816" s="389">
        <v>1.96</v>
      </c>
      <c r="I816" s="389">
        <v>77.16</v>
      </c>
      <c r="J816" s="389">
        <v>0.62</v>
      </c>
      <c r="K816" s="389">
        <v>24.47</v>
      </c>
    </row>
    <row r="817" spans="1:11" hidden="1" x14ac:dyDescent="0.25">
      <c r="A817" s="389" t="s">
        <v>6414</v>
      </c>
      <c r="B817" s="394" t="s">
        <v>6415</v>
      </c>
      <c r="C817" s="389" t="s">
        <v>5114</v>
      </c>
      <c r="D817" s="391">
        <v>102210.83975899999</v>
      </c>
      <c r="E817" s="389">
        <v>31412.088</v>
      </c>
      <c r="F817" s="389">
        <v>70</v>
      </c>
      <c r="G817" s="389">
        <v>7153321.79</v>
      </c>
      <c r="H817" s="389">
        <v>1.58</v>
      </c>
      <c r="I817" s="389">
        <v>78.739999999999995</v>
      </c>
      <c r="J817" s="389">
        <v>0.5</v>
      </c>
      <c r="K817" s="389">
        <v>24.97</v>
      </c>
    </row>
    <row r="818" spans="1:11" hidden="1" x14ac:dyDescent="0.25">
      <c r="A818" s="389" t="s">
        <v>6416</v>
      </c>
      <c r="B818" s="394" t="s">
        <v>6417</v>
      </c>
      <c r="C818" s="389" t="s">
        <v>5114</v>
      </c>
      <c r="D818" s="391">
        <v>46177.856965999999</v>
      </c>
      <c r="E818" s="389">
        <v>34117.54</v>
      </c>
      <c r="F818" s="389">
        <v>103.5</v>
      </c>
      <c r="G818" s="389">
        <v>6072382.6399999997</v>
      </c>
      <c r="H818" s="389">
        <v>1.34</v>
      </c>
      <c r="I818" s="389">
        <v>80.08</v>
      </c>
      <c r="J818" s="389">
        <v>0.42</v>
      </c>
      <c r="K818" s="389">
        <v>25.39</v>
      </c>
    </row>
    <row r="819" spans="1:11" x14ac:dyDescent="0.25">
      <c r="A819" s="389" t="s">
        <v>6418</v>
      </c>
      <c r="B819" s="394" t="s">
        <v>6419</v>
      </c>
      <c r="C819" s="389" t="s">
        <v>5114</v>
      </c>
      <c r="D819" s="391">
        <v>1596.5080399999999</v>
      </c>
      <c r="E819" s="389">
        <v>72.114000000000004</v>
      </c>
      <c r="F819" s="389">
        <v>3519.23</v>
      </c>
      <c r="G819" s="389">
        <v>5777115.5300000003</v>
      </c>
      <c r="H819" s="389">
        <v>1.27</v>
      </c>
      <c r="I819" s="389">
        <v>81.349999999999994</v>
      </c>
      <c r="J819" s="389">
        <v>0.4</v>
      </c>
      <c r="K819" s="389">
        <v>25.79</v>
      </c>
    </row>
    <row r="820" spans="1:11" hidden="1" x14ac:dyDescent="0.25">
      <c r="A820" s="389" t="s">
        <v>111</v>
      </c>
      <c r="B820" s="394" t="s">
        <v>6420</v>
      </c>
      <c r="C820" s="389" t="s">
        <v>5114</v>
      </c>
      <c r="D820" s="391">
        <v>12271.395664</v>
      </c>
      <c r="E820" s="389">
        <v>93265.524999999994</v>
      </c>
      <c r="F820" s="389">
        <v>126.23</v>
      </c>
      <c r="G820" s="389">
        <v>5171144.03</v>
      </c>
      <c r="H820" s="389">
        <v>1.1399999999999999</v>
      </c>
      <c r="I820" s="389">
        <v>82.49</v>
      </c>
      <c r="J820" s="389">
        <v>0.36</v>
      </c>
      <c r="K820" s="389">
        <v>26.15</v>
      </c>
    </row>
    <row r="821" spans="1:11" hidden="1" x14ac:dyDescent="0.25">
      <c r="A821" s="389" t="s">
        <v>4793</v>
      </c>
      <c r="B821" s="394" t="s">
        <v>6421</v>
      </c>
      <c r="C821" s="389" t="s">
        <v>5114</v>
      </c>
      <c r="D821" s="391">
        <v>34301.528128999998</v>
      </c>
      <c r="E821" s="389">
        <v>474874.38299999997</v>
      </c>
      <c r="F821" s="389">
        <v>150</v>
      </c>
      <c r="G821" s="389">
        <v>4972469.79</v>
      </c>
      <c r="H821" s="389">
        <v>1.1000000000000001</v>
      </c>
      <c r="I821" s="389">
        <v>83.59</v>
      </c>
      <c r="J821" s="389">
        <v>0.35</v>
      </c>
      <c r="K821" s="389">
        <v>26.5</v>
      </c>
    </row>
    <row r="822" spans="1:11" hidden="1" x14ac:dyDescent="0.25">
      <c r="A822" s="389" t="s">
        <v>4862</v>
      </c>
      <c r="B822" s="394" t="s">
        <v>6422</v>
      </c>
      <c r="C822" s="389" t="s">
        <v>5114</v>
      </c>
      <c r="D822" s="391">
        <v>10211.417953</v>
      </c>
      <c r="E822" s="389">
        <v>1152.836</v>
      </c>
      <c r="F822" s="389">
        <v>460</v>
      </c>
      <c r="G822" s="389">
        <v>4697046.0599999996</v>
      </c>
      <c r="H822" s="389">
        <v>1.04</v>
      </c>
      <c r="I822" s="389">
        <v>84.63</v>
      </c>
      <c r="J822" s="389">
        <v>0.33</v>
      </c>
      <c r="K822" s="389">
        <v>26.83</v>
      </c>
    </row>
    <row r="823" spans="1:11" hidden="1" x14ac:dyDescent="0.25">
      <c r="A823" s="389" t="s">
        <v>6423</v>
      </c>
      <c r="B823" s="394" t="s">
        <v>6424</v>
      </c>
      <c r="C823" s="389" t="s">
        <v>5114</v>
      </c>
      <c r="D823" s="391">
        <v>24313.520035000001</v>
      </c>
      <c r="E823" s="389">
        <v>138.08000000000001</v>
      </c>
      <c r="F823" s="389">
        <v>178.22</v>
      </c>
      <c r="G823" s="389">
        <v>4349222.6100000003</v>
      </c>
      <c r="H823" s="389">
        <v>0.96</v>
      </c>
      <c r="I823" s="389">
        <v>85.59</v>
      </c>
      <c r="J823" s="389">
        <v>0.3</v>
      </c>
      <c r="K823" s="389">
        <v>27.13</v>
      </c>
    </row>
    <row r="824" spans="1:11" hidden="1" x14ac:dyDescent="0.25">
      <c r="A824" s="389" t="s">
        <v>54</v>
      </c>
      <c r="B824" s="394" t="s">
        <v>6425</v>
      </c>
      <c r="C824" s="389" t="s">
        <v>5114</v>
      </c>
      <c r="D824" s="389">
        <v>466.3802</v>
      </c>
      <c r="E824" s="389" t="s">
        <v>4927</v>
      </c>
      <c r="F824" s="389">
        <v>8223.76</v>
      </c>
      <c r="G824" s="389">
        <v>3835437.11</v>
      </c>
      <c r="H824" s="389">
        <v>0.85</v>
      </c>
      <c r="I824" s="389">
        <v>86.44</v>
      </c>
      <c r="J824" s="389">
        <v>0.27</v>
      </c>
      <c r="K824" s="389">
        <v>27.4</v>
      </c>
    </row>
    <row r="825" spans="1:11" hidden="1" x14ac:dyDescent="0.25">
      <c r="A825" s="389" t="s">
        <v>6426</v>
      </c>
      <c r="B825" s="394" t="s">
        <v>6427</v>
      </c>
      <c r="C825" s="389" t="s">
        <v>5114</v>
      </c>
      <c r="D825" s="391">
        <v>6227.0418090000003</v>
      </c>
      <c r="E825" s="389">
        <v>360.89299999999997</v>
      </c>
      <c r="F825" s="389">
        <v>600</v>
      </c>
      <c r="G825" s="389">
        <v>3783551.91</v>
      </c>
      <c r="H825" s="389">
        <v>0.83</v>
      </c>
      <c r="I825" s="389">
        <v>87.27</v>
      </c>
      <c r="J825" s="389">
        <v>0.26</v>
      </c>
      <c r="K825" s="389">
        <v>27.66</v>
      </c>
    </row>
    <row r="826" spans="1:11" hidden="1" x14ac:dyDescent="0.25">
      <c r="A826" s="389" t="s">
        <v>6428</v>
      </c>
      <c r="B826" s="394" t="s">
        <v>6429</v>
      </c>
      <c r="C826" s="389" t="s">
        <v>5114</v>
      </c>
      <c r="D826" s="391">
        <v>184648.396477</v>
      </c>
      <c r="E826" s="389">
        <v>386155.86200000002</v>
      </c>
      <c r="F826" s="389">
        <v>20</v>
      </c>
      <c r="G826" s="389">
        <v>3605804.95</v>
      </c>
      <c r="H826" s="389">
        <v>0.8</v>
      </c>
      <c r="I826" s="389">
        <v>88.07</v>
      </c>
      <c r="J826" s="389">
        <v>0.25</v>
      </c>
      <c r="K826" s="389">
        <v>27.91</v>
      </c>
    </row>
    <row r="827" spans="1:11" hidden="1" x14ac:dyDescent="0.25">
      <c r="A827" s="389" t="s">
        <v>6430</v>
      </c>
      <c r="B827" s="394" t="s">
        <v>6431</v>
      </c>
      <c r="C827" s="389" t="s">
        <v>5114</v>
      </c>
      <c r="D827" s="391">
        <v>32390.859994999999</v>
      </c>
      <c r="E827" s="389">
        <v>40116.798000000003</v>
      </c>
      <c r="F827" s="389">
        <v>84.2</v>
      </c>
      <c r="G827" s="389">
        <v>3356917.2</v>
      </c>
      <c r="H827" s="389">
        <v>0.74</v>
      </c>
      <c r="I827" s="389">
        <v>88.81</v>
      </c>
      <c r="J827" s="389">
        <v>0.23</v>
      </c>
      <c r="K827" s="389">
        <v>28.14</v>
      </c>
    </row>
    <row r="828" spans="1:11" hidden="1" x14ac:dyDescent="0.25">
      <c r="A828" s="389" t="s">
        <v>6432</v>
      </c>
      <c r="B828" s="394" t="s">
        <v>6433</v>
      </c>
      <c r="C828" s="389" t="s">
        <v>5114</v>
      </c>
      <c r="D828" s="391">
        <v>10568.502093999999</v>
      </c>
      <c r="E828" s="389">
        <v>71212.650999999998</v>
      </c>
      <c r="F828" s="389">
        <v>101.24</v>
      </c>
      <c r="G828" s="389">
        <v>3262404.86</v>
      </c>
      <c r="H828" s="389">
        <v>0.72</v>
      </c>
      <c r="I828" s="389">
        <v>89.53</v>
      </c>
      <c r="J828" s="389">
        <v>0.23</v>
      </c>
      <c r="K828" s="389">
        <v>28.37</v>
      </c>
    </row>
    <row r="829" spans="1:11" x14ac:dyDescent="0.25">
      <c r="A829" s="389" t="s">
        <v>6434</v>
      </c>
      <c r="B829" s="394" t="s">
        <v>6435</v>
      </c>
      <c r="C829" s="389" t="s">
        <v>5114</v>
      </c>
      <c r="D829" s="391">
        <v>42119.990260999999</v>
      </c>
      <c r="E829" s="389">
        <v>209.88399999999999</v>
      </c>
      <c r="F829" s="389">
        <v>77</v>
      </c>
      <c r="G829" s="389">
        <v>3240738.2</v>
      </c>
      <c r="H829" s="389">
        <v>0.71</v>
      </c>
      <c r="I829" s="389">
        <v>90.24</v>
      </c>
      <c r="J829" s="389">
        <v>0.23</v>
      </c>
      <c r="K829" s="389">
        <v>28.6</v>
      </c>
    </row>
    <row r="830" spans="1:11" hidden="1" x14ac:dyDescent="0.25">
      <c r="A830" s="389" t="s">
        <v>6436</v>
      </c>
      <c r="B830" s="394" t="s">
        <v>6437</v>
      </c>
      <c r="C830" s="389" t="s">
        <v>5114</v>
      </c>
      <c r="D830" s="391">
        <v>31102.471170000001</v>
      </c>
      <c r="E830" s="389">
        <v>1441.297</v>
      </c>
      <c r="F830" s="389">
        <v>85.74</v>
      </c>
      <c r="G830" s="389">
        <v>2719913.29</v>
      </c>
      <c r="H830" s="389">
        <v>0.6</v>
      </c>
      <c r="I830" s="389">
        <v>90.84</v>
      </c>
      <c r="J830" s="389">
        <v>0.19</v>
      </c>
      <c r="K830" s="389">
        <v>28.79</v>
      </c>
    </row>
    <row r="831" spans="1:11" hidden="1" x14ac:dyDescent="0.25">
      <c r="A831" s="389" t="s">
        <v>6438</v>
      </c>
      <c r="B831" s="394" t="s">
        <v>6439</v>
      </c>
      <c r="C831" s="389" t="s">
        <v>5114</v>
      </c>
      <c r="D831" s="391">
        <v>4620.8485579999997</v>
      </c>
      <c r="E831" s="389">
        <v>1962.9459999999999</v>
      </c>
      <c r="F831" s="389">
        <v>500</v>
      </c>
      <c r="G831" s="389">
        <v>2341129.09</v>
      </c>
      <c r="H831" s="389">
        <v>0.52</v>
      </c>
      <c r="I831" s="389">
        <v>91.36</v>
      </c>
      <c r="J831" s="389">
        <v>0.16</v>
      </c>
      <c r="K831" s="389">
        <v>28.95</v>
      </c>
    </row>
    <row r="832" spans="1:11" hidden="1" x14ac:dyDescent="0.25">
      <c r="A832" s="389" t="s">
        <v>6440</v>
      </c>
      <c r="B832" s="394" t="s">
        <v>6441</v>
      </c>
      <c r="C832" s="389" t="s">
        <v>5114</v>
      </c>
      <c r="D832" s="391">
        <v>100758.796889</v>
      </c>
      <c r="E832" s="389">
        <v>5812.6059999999998</v>
      </c>
      <c r="F832" s="389">
        <v>22.37</v>
      </c>
      <c r="G832" s="389">
        <v>2286149.83</v>
      </c>
      <c r="H832" s="389">
        <v>0.5</v>
      </c>
      <c r="I832" s="389">
        <v>91.86</v>
      </c>
      <c r="J832" s="389">
        <v>0.16</v>
      </c>
      <c r="K832" s="389">
        <v>29.11</v>
      </c>
    </row>
    <row r="833" spans="1:11" hidden="1" x14ac:dyDescent="0.25">
      <c r="A833" s="389" t="s">
        <v>6442</v>
      </c>
      <c r="B833" s="394" t="s">
        <v>6443</v>
      </c>
      <c r="C833" s="389" t="s">
        <v>5114</v>
      </c>
      <c r="D833" s="391">
        <v>15693.058080999999</v>
      </c>
      <c r="E833" s="389">
        <v>461736.24699999997</v>
      </c>
      <c r="F833" s="389">
        <v>17.190000000000001</v>
      </c>
      <c r="G833" s="389">
        <v>2235938.39</v>
      </c>
      <c r="H833" s="389">
        <v>0.49</v>
      </c>
      <c r="I833" s="389">
        <v>92.35</v>
      </c>
      <c r="J833" s="389">
        <v>0.16</v>
      </c>
      <c r="K833" s="389">
        <v>29.27</v>
      </c>
    </row>
    <row r="834" spans="1:11" hidden="1" x14ac:dyDescent="0.25">
      <c r="A834" s="389" t="s">
        <v>6444</v>
      </c>
      <c r="B834" s="394" t="s">
        <v>6445</v>
      </c>
      <c r="C834" s="389" t="s">
        <v>5114</v>
      </c>
      <c r="D834" s="391">
        <v>14570.015835</v>
      </c>
      <c r="E834" s="389">
        <v>319.98899999999998</v>
      </c>
      <c r="F834" s="389">
        <v>140</v>
      </c>
      <c r="G834" s="389">
        <v>2038196.21</v>
      </c>
      <c r="H834" s="389">
        <v>0.45</v>
      </c>
      <c r="I834" s="389">
        <v>92.8</v>
      </c>
      <c r="J834" s="389">
        <v>0.14000000000000001</v>
      </c>
      <c r="K834" s="389">
        <v>29.41</v>
      </c>
    </row>
    <row r="835" spans="1:11" hidden="1" x14ac:dyDescent="0.25">
      <c r="A835" s="389" t="s">
        <v>17</v>
      </c>
      <c r="B835" s="394" t="s">
        <v>6446</v>
      </c>
      <c r="C835" s="389" t="s">
        <v>5114</v>
      </c>
      <c r="D835" s="391">
        <v>12832.381844</v>
      </c>
      <c r="E835" s="389">
        <v>15714.964</v>
      </c>
      <c r="F835" s="389">
        <v>130.71</v>
      </c>
      <c r="G835" s="389">
        <v>2001377.03</v>
      </c>
      <c r="H835" s="389">
        <v>0.44</v>
      </c>
      <c r="I835" s="389">
        <v>93.24</v>
      </c>
      <c r="J835" s="389">
        <v>0.14000000000000001</v>
      </c>
      <c r="K835" s="389">
        <v>29.55</v>
      </c>
    </row>
    <row r="836" spans="1:11" hidden="1" x14ac:dyDescent="0.25">
      <c r="A836" s="389" t="s">
        <v>4858</v>
      </c>
      <c r="B836" s="394" t="s">
        <v>6447</v>
      </c>
      <c r="C836" s="389" t="s">
        <v>5114</v>
      </c>
      <c r="D836" s="391">
        <v>10200.897321</v>
      </c>
      <c r="E836" s="389">
        <v>42238.457999999999</v>
      </c>
      <c r="F836" s="389">
        <v>193</v>
      </c>
      <c r="G836" s="389">
        <v>1952121.18</v>
      </c>
      <c r="H836" s="389">
        <v>0.43</v>
      </c>
      <c r="I836" s="389">
        <v>93.67</v>
      </c>
      <c r="J836" s="389">
        <v>0.14000000000000001</v>
      </c>
      <c r="K836" s="389">
        <v>29.69</v>
      </c>
    </row>
    <row r="837" spans="1:11" hidden="1" x14ac:dyDescent="0.25">
      <c r="A837" s="389" t="s">
        <v>6448</v>
      </c>
      <c r="B837" s="394" t="s">
        <v>6449</v>
      </c>
      <c r="C837" s="389" t="s">
        <v>5114</v>
      </c>
      <c r="D837" s="391">
        <v>23001.909967</v>
      </c>
      <c r="E837" s="389" t="s">
        <v>4927</v>
      </c>
      <c r="F837" s="389">
        <v>83.42</v>
      </c>
      <c r="G837" s="389">
        <v>1917899.48</v>
      </c>
      <c r="H837" s="389">
        <v>0.42</v>
      </c>
      <c r="I837" s="389">
        <v>94.09</v>
      </c>
      <c r="J837" s="389">
        <v>0.13</v>
      </c>
      <c r="K837" s="389">
        <v>29.82</v>
      </c>
    </row>
    <row r="838" spans="1:11" hidden="1" x14ac:dyDescent="0.25">
      <c r="A838" s="389" t="s">
        <v>6450</v>
      </c>
      <c r="B838" s="394" t="s">
        <v>6451</v>
      </c>
      <c r="C838" s="389" t="s">
        <v>5114</v>
      </c>
      <c r="D838" s="391">
        <v>16216.951168</v>
      </c>
      <c r="E838" s="389">
        <v>0.40500000000000003</v>
      </c>
      <c r="F838" s="389">
        <v>115.51</v>
      </c>
      <c r="G838" s="389">
        <v>1876778.08</v>
      </c>
      <c r="H838" s="389">
        <v>0.41</v>
      </c>
      <c r="I838" s="389">
        <v>94.5</v>
      </c>
      <c r="J838" s="389">
        <v>0.13</v>
      </c>
      <c r="K838" s="389">
        <v>29.95</v>
      </c>
    </row>
    <row r="839" spans="1:11" hidden="1" x14ac:dyDescent="0.25">
      <c r="A839" s="389" t="s">
        <v>6452</v>
      </c>
      <c r="B839" s="394" t="s">
        <v>6453</v>
      </c>
      <c r="C839" s="389" t="s">
        <v>5114</v>
      </c>
      <c r="D839" s="391">
        <v>11528.317365000001</v>
      </c>
      <c r="E839" s="389">
        <v>48996.186999999998</v>
      </c>
      <c r="F839" s="389">
        <v>65.87</v>
      </c>
      <c r="G839" s="389">
        <v>1844605.97</v>
      </c>
      <c r="H839" s="389">
        <v>0.41</v>
      </c>
      <c r="I839" s="389">
        <v>94.91</v>
      </c>
      <c r="J839" s="389">
        <v>0.13</v>
      </c>
      <c r="K839" s="389">
        <v>30.08</v>
      </c>
    </row>
    <row r="840" spans="1:11" hidden="1" x14ac:dyDescent="0.25">
      <c r="A840" s="389" t="s">
        <v>6454</v>
      </c>
      <c r="B840" s="394" t="s">
        <v>6455</v>
      </c>
      <c r="C840" s="389" t="s">
        <v>5114</v>
      </c>
      <c r="D840" s="391">
        <v>13782.184891000001</v>
      </c>
      <c r="E840" s="389">
        <v>38459.760999999999</v>
      </c>
      <c r="F840" s="389">
        <v>68.34</v>
      </c>
      <c r="G840" s="389">
        <v>1758493.37</v>
      </c>
      <c r="H840" s="389">
        <v>0.39</v>
      </c>
      <c r="I840" s="389">
        <v>95.3</v>
      </c>
      <c r="J840" s="389">
        <v>0.12</v>
      </c>
      <c r="K840" s="389">
        <v>30.2</v>
      </c>
    </row>
    <row r="841" spans="1:11" hidden="1" x14ac:dyDescent="0.25">
      <c r="A841" s="389" t="s">
        <v>6456</v>
      </c>
      <c r="B841" s="394" t="s">
        <v>6457</v>
      </c>
      <c r="C841" s="389" t="s">
        <v>5114</v>
      </c>
      <c r="D841" s="391">
        <v>3300.6318390000001</v>
      </c>
      <c r="E841" s="389">
        <v>324.15600000000001</v>
      </c>
      <c r="F841" s="389">
        <v>500</v>
      </c>
      <c r="G841" s="389">
        <v>1620781.68</v>
      </c>
      <c r="H841" s="389">
        <v>0.36</v>
      </c>
      <c r="I841" s="389">
        <v>95.66</v>
      </c>
      <c r="J841" s="389">
        <v>0.11</v>
      </c>
      <c r="K841" s="389">
        <v>30.31</v>
      </c>
    </row>
    <row r="842" spans="1:11" hidden="1" x14ac:dyDescent="0.25">
      <c r="A842" s="389" t="s">
        <v>6458</v>
      </c>
      <c r="B842" s="394" t="s">
        <v>6459</v>
      </c>
      <c r="C842" s="389" t="s">
        <v>5114</v>
      </c>
      <c r="D842" s="391">
        <v>25753.685364000001</v>
      </c>
      <c r="E842" s="389" t="s">
        <v>4927</v>
      </c>
      <c r="F842" s="389">
        <v>61.45</v>
      </c>
      <c r="G842" s="389">
        <v>1580983.12</v>
      </c>
      <c r="H842" s="389">
        <v>0.35</v>
      </c>
      <c r="I842" s="389">
        <v>96.01</v>
      </c>
      <c r="J842" s="389">
        <v>0.11</v>
      </c>
      <c r="K842" s="389">
        <v>30.42</v>
      </c>
    </row>
    <row r="843" spans="1:11" hidden="1" x14ac:dyDescent="0.25">
      <c r="A843" s="389" t="s">
        <v>80</v>
      </c>
      <c r="B843" s="394" t="s">
        <v>6460</v>
      </c>
      <c r="C843" s="389" t="s">
        <v>5114</v>
      </c>
      <c r="D843" s="391">
        <v>61582.210691</v>
      </c>
      <c r="E843" s="389">
        <v>645912.91099999996</v>
      </c>
      <c r="F843" s="389">
        <v>6.43</v>
      </c>
      <c r="G843" s="389">
        <v>1293359.3400000001</v>
      </c>
      <c r="H843" s="389">
        <v>0.28999999999999998</v>
      </c>
      <c r="I843" s="389">
        <v>96.3</v>
      </c>
      <c r="J843" s="389">
        <v>0.09</v>
      </c>
      <c r="K843" s="389">
        <v>30.51</v>
      </c>
    </row>
    <row r="844" spans="1:11" hidden="1" x14ac:dyDescent="0.25">
      <c r="A844" s="389" t="s">
        <v>6461</v>
      </c>
      <c r="B844" s="394" t="s">
        <v>6462</v>
      </c>
      <c r="C844" s="389" t="s">
        <v>4956</v>
      </c>
      <c r="D844" s="389">
        <v>4.0734310000000002</v>
      </c>
      <c r="E844" s="389" t="s">
        <v>4927</v>
      </c>
      <c r="F844" s="389">
        <v>300000</v>
      </c>
      <c r="G844" s="389">
        <v>1222734.24</v>
      </c>
      <c r="H844" s="389">
        <v>0.27</v>
      </c>
      <c r="I844" s="389">
        <v>96.57</v>
      </c>
      <c r="J844" s="389">
        <v>0.09</v>
      </c>
      <c r="K844" s="389">
        <v>30.6</v>
      </c>
    </row>
    <row r="845" spans="1:11" hidden="1" x14ac:dyDescent="0.25">
      <c r="A845" s="389" t="s">
        <v>6463</v>
      </c>
      <c r="B845" s="394" t="s">
        <v>6464</v>
      </c>
      <c r="C845" s="389" t="s">
        <v>5114</v>
      </c>
      <c r="D845" s="391">
        <v>8903.4739250000002</v>
      </c>
      <c r="E845" s="389">
        <v>6746.8789999999999</v>
      </c>
      <c r="F845" s="389">
        <v>94</v>
      </c>
      <c r="G845" s="389">
        <v>1071371.8799999999</v>
      </c>
      <c r="H845" s="389">
        <v>0.24</v>
      </c>
      <c r="I845" s="389">
        <v>96.81</v>
      </c>
      <c r="J845" s="389">
        <v>7.0000000000000007E-2</v>
      </c>
      <c r="K845" s="389">
        <v>30.67</v>
      </c>
    </row>
    <row r="846" spans="1:11" hidden="1" x14ac:dyDescent="0.25">
      <c r="A846" s="389" t="s">
        <v>6465</v>
      </c>
      <c r="B846" s="394" t="s">
        <v>6466</v>
      </c>
      <c r="C846" s="389" t="s">
        <v>5114</v>
      </c>
      <c r="D846" s="391">
        <v>2281.2299069999999</v>
      </c>
      <c r="E846" s="389" t="s">
        <v>4927</v>
      </c>
      <c r="F846" s="389">
        <v>464.71</v>
      </c>
      <c r="G846" s="389">
        <v>1060100.6599999999</v>
      </c>
      <c r="H846" s="389">
        <v>0.23</v>
      </c>
      <c r="I846" s="389">
        <v>97.04</v>
      </c>
      <c r="J846" s="389">
        <v>7.0000000000000007E-2</v>
      </c>
      <c r="K846" s="389">
        <v>30.74</v>
      </c>
    </row>
    <row r="847" spans="1:11" hidden="1" x14ac:dyDescent="0.25">
      <c r="A847" s="389" t="s">
        <v>4860</v>
      </c>
      <c r="B847" s="394" t="s">
        <v>6467</v>
      </c>
      <c r="C847" s="389" t="s">
        <v>5114</v>
      </c>
      <c r="D847" s="391">
        <v>4654.1973180000005</v>
      </c>
      <c r="E847" s="389">
        <v>10886.763999999999</v>
      </c>
      <c r="F847" s="389">
        <v>193</v>
      </c>
      <c r="G847" s="389">
        <v>1013287.02</v>
      </c>
      <c r="H847" s="389">
        <v>0.22</v>
      </c>
      <c r="I847" s="389">
        <v>97.26</v>
      </c>
      <c r="J847" s="389">
        <v>7.0000000000000007E-2</v>
      </c>
      <c r="K847" s="389">
        <v>30.81</v>
      </c>
    </row>
    <row r="848" spans="1:11" x14ac:dyDescent="0.25">
      <c r="A848" s="389" t="s">
        <v>6468</v>
      </c>
      <c r="B848" s="394" t="s">
        <v>6469</v>
      </c>
      <c r="C848" s="389" t="s">
        <v>5114</v>
      </c>
      <c r="D848" s="391">
        <v>12479.999521</v>
      </c>
      <c r="E848" s="389" t="s">
        <v>4927</v>
      </c>
      <c r="F848" s="389">
        <v>77</v>
      </c>
      <c r="G848" s="389">
        <v>961437.8</v>
      </c>
      <c r="H848" s="389">
        <v>0.21</v>
      </c>
      <c r="I848" s="389">
        <v>97.47</v>
      </c>
      <c r="J848" s="389">
        <v>7.0000000000000007E-2</v>
      </c>
      <c r="K848" s="389">
        <v>30.88</v>
      </c>
    </row>
    <row r="849" spans="1:11" hidden="1" x14ac:dyDescent="0.25">
      <c r="A849" s="389" t="s">
        <v>62</v>
      </c>
      <c r="B849" s="394" t="s">
        <v>6470</v>
      </c>
      <c r="C849" s="389" t="s">
        <v>5114</v>
      </c>
      <c r="D849" s="391">
        <v>14580.286497999999</v>
      </c>
      <c r="E849" s="389">
        <v>1311.61</v>
      </c>
      <c r="F849" s="389">
        <v>59.4</v>
      </c>
      <c r="G849" s="389">
        <v>887202.68</v>
      </c>
      <c r="H849" s="389">
        <v>0.2</v>
      </c>
      <c r="I849" s="389">
        <v>97.67</v>
      </c>
      <c r="J849" s="389">
        <v>0.06</v>
      </c>
      <c r="K849" s="389">
        <v>30.94</v>
      </c>
    </row>
    <row r="850" spans="1:11" hidden="1" x14ac:dyDescent="0.25">
      <c r="A850" s="389" t="s">
        <v>6471</v>
      </c>
      <c r="B850" s="394" t="s">
        <v>6472</v>
      </c>
      <c r="C850" s="389" t="s">
        <v>5114</v>
      </c>
      <c r="D850" s="391">
        <v>7864.490057</v>
      </c>
      <c r="E850" s="389" t="s">
        <v>4927</v>
      </c>
      <c r="F850" s="389">
        <v>108.37</v>
      </c>
      <c r="G850" s="389">
        <v>845485.22</v>
      </c>
      <c r="H850" s="389">
        <v>0.19</v>
      </c>
      <c r="I850" s="389">
        <v>97.86</v>
      </c>
      <c r="J850" s="389">
        <v>0.06</v>
      </c>
      <c r="K850" s="389">
        <v>31</v>
      </c>
    </row>
    <row r="851" spans="1:11" hidden="1" x14ac:dyDescent="0.25">
      <c r="A851" s="389" t="s">
        <v>6473</v>
      </c>
      <c r="B851" s="394" t="s">
        <v>6466</v>
      </c>
      <c r="C851" s="389" t="s">
        <v>5114</v>
      </c>
      <c r="D851" s="391">
        <v>1614.9478799999999</v>
      </c>
      <c r="E851" s="389">
        <v>379.98599999999999</v>
      </c>
      <c r="F851" s="389">
        <v>500</v>
      </c>
      <c r="G851" s="389">
        <v>807553.88</v>
      </c>
      <c r="H851" s="389">
        <v>0.18</v>
      </c>
      <c r="I851" s="389">
        <v>98.04</v>
      </c>
      <c r="J851" s="389">
        <v>0.06</v>
      </c>
      <c r="K851" s="389">
        <v>31.06</v>
      </c>
    </row>
    <row r="852" spans="1:11" x14ac:dyDescent="0.25">
      <c r="A852" s="389" t="s">
        <v>6474</v>
      </c>
      <c r="B852" s="394" t="s">
        <v>6475</v>
      </c>
      <c r="C852" s="389" t="s">
        <v>5114</v>
      </c>
      <c r="D852" s="391">
        <v>9444.7017899999992</v>
      </c>
      <c r="E852" s="389" t="s">
        <v>4927</v>
      </c>
      <c r="F852" s="389">
        <v>77</v>
      </c>
      <c r="G852" s="389">
        <v>727927.84</v>
      </c>
      <c r="H852" s="389">
        <v>0.16</v>
      </c>
      <c r="I852" s="389">
        <v>98.2</v>
      </c>
      <c r="J852" s="389">
        <v>0.05</v>
      </c>
      <c r="K852" s="389">
        <v>31.11</v>
      </c>
    </row>
    <row r="853" spans="1:11" hidden="1" x14ac:dyDescent="0.25">
      <c r="A853" s="389" t="s">
        <v>6476</v>
      </c>
      <c r="B853" s="394" t="s">
        <v>6477</v>
      </c>
      <c r="C853" s="389" t="s">
        <v>4956</v>
      </c>
      <c r="D853" s="389">
        <v>0.71284999999999998</v>
      </c>
      <c r="E853" s="389" t="s">
        <v>4927</v>
      </c>
      <c r="F853" s="389">
        <v>1000000</v>
      </c>
      <c r="G853" s="389">
        <v>713555.29</v>
      </c>
      <c r="H853" s="389">
        <v>0.16</v>
      </c>
      <c r="I853" s="389">
        <v>98.36</v>
      </c>
      <c r="J853" s="389">
        <v>0.05</v>
      </c>
      <c r="K853" s="389">
        <v>31.16</v>
      </c>
    </row>
    <row r="854" spans="1:11" hidden="1" x14ac:dyDescent="0.25">
      <c r="A854" s="389" t="s">
        <v>6478</v>
      </c>
      <c r="B854" s="394" t="s">
        <v>6479</v>
      </c>
      <c r="C854" s="389" t="s">
        <v>4956</v>
      </c>
      <c r="D854" s="389">
        <v>2.8</v>
      </c>
      <c r="E854" s="389" t="s">
        <v>4927</v>
      </c>
      <c r="F854" s="389">
        <v>252000</v>
      </c>
      <c r="G854" s="389">
        <v>706029</v>
      </c>
      <c r="H854" s="389">
        <v>0.16</v>
      </c>
      <c r="I854" s="389">
        <v>98.52</v>
      </c>
      <c r="J854" s="389">
        <v>0.05</v>
      </c>
      <c r="K854" s="389">
        <v>31.21</v>
      </c>
    </row>
    <row r="855" spans="1:11" hidden="1" x14ac:dyDescent="0.25">
      <c r="A855" s="389" t="s">
        <v>6480</v>
      </c>
      <c r="B855" s="394" t="s">
        <v>6481</v>
      </c>
      <c r="C855" s="389" t="s">
        <v>5114</v>
      </c>
      <c r="D855" s="391">
        <v>4266.666647</v>
      </c>
      <c r="E855" s="389" t="s">
        <v>4927</v>
      </c>
      <c r="F855" s="389">
        <v>135</v>
      </c>
      <c r="G855" s="389">
        <v>576188.78</v>
      </c>
      <c r="H855" s="389">
        <v>0.13</v>
      </c>
      <c r="I855" s="389">
        <v>98.65</v>
      </c>
      <c r="J855" s="389">
        <v>0.04</v>
      </c>
      <c r="K855" s="389">
        <v>31.25</v>
      </c>
    </row>
    <row r="856" spans="1:11" hidden="1" x14ac:dyDescent="0.25">
      <c r="A856" s="389" t="s">
        <v>132</v>
      </c>
      <c r="B856" s="394" t="s">
        <v>6482</v>
      </c>
      <c r="C856" s="389" t="s">
        <v>5114</v>
      </c>
      <c r="D856" s="391">
        <v>27266.213069000001</v>
      </c>
      <c r="E856" s="389">
        <v>7213.66</v>
      </c>
      <c r="F856" s="389">
        <v>17.91</v>
      </c>
      <c r="G856" s="389">
        <v>512604.31</v>
      </c>
      <c r="H856" s="389">
        <v>0.11</v>
      </c>
      <c r="I856" s="389">
        <v>98.76</v>
      </c>
      <c r="J856" s="389">
        <v>0.04</v>
      </c>
      <c r="K856" s="389">
        <v>31.29</v>
      </c>
    </row>
    <row r="857" spans="1:11" hidden="1" x14ac:dyDescent="0.25">
      <c r="A857" s="389" t="s">
        <v>6483</v>
      </c>
      <c r="B857" s="394" t="s">
        <v>6484</v>
      </c>
      <c r="C857" s="389" t="s">
        <v>5114</v>
      </c>
      <c r="D857" s="391">
        <v>4465.6793260000004</v>
      </c>
      <c r="E857" s="389">
        <v>202855.261</v>
      </c>
      <c r="F857" s="389">
        <v>80</v>
      </c>
      <c r="G857" s="389">
        <v>458773.49</v>
      </c>
      <c r="H857" s="389">
        <v>0.1</v>
      </c>
      <c r="I857" s="389">
        <v>98.86</v>
      </c>
      <c r="J857" s="389">
        <v>0.03</v>
      </c>
      <c r="K857" s="389">
        <v>31.32</v>
      </c>
    </row>
    <row r="858" spans="1:11" hidden="1" x14ac:dyDescent="0.25">
      <c r="A858" s="389" t="s">
        <v>158</v>
      </c>
      <c r="B858" s="394" t="s">
        <v>6485</v>
      </c>
      <c r="C858" s="389" t="s">
        <v>5114</v>
      </c>
      <c r="D858" s="391">
        <v>113083.217171</v>
      </c>
      <c r="E858" s="389">
        <v>1015902.786</v>
      </c>
      <c r="F858" s="389">
        <v>3.39</v>
      </c>
      <c r="G858" s="389">
        <v>382746.99</v>
      </c>
      <c r="H858" s="389">
        <v>0.08</v>
      </c>
      <c r="I858" s="389">
        <v>98.94</v>
      </c>
      <c r="J858" s="389">
        <v>0.03</v>
      </c>
      <c r="K858" s="389">
        <v>31.35</v>
      </c>
    </row>
    <row r="859" spans="1:11" hidden="1" x14ac:dyDescent="0.25">
      <c r="A859" s="389" t="s">
        <v>6486</v>
      </c>
      <c r="B859" s="394" t="s">
        <v>6487</v>
      </c>
      <c r="C859" s="389" t="s">
        <v>5114</v>
      </c>
      <c r="D859" s="391">
        <v>4260.755357</v>
      </c>
      <c r="E859" s="389" t="s">
        <v>4927</v>
      </c>
      <c r="F859" s="389">
        <v>81.069999999999993</v>
      </c>
      <c r="G859" s="389">
        <v>352713.34</v>
      </c>
      <c r="H859" s="389">
        <v>0.08</v>
      </c>
      <c r="I859" s="389">
        <v>99.02</v>
      </c>
      <c r="J859" s="389">
        <v>0.02</v>
      </c>
      <c r="K859" s="389">
        <v>31.37</v>
      </c>
    </row>
    <row r="860" spans="1:11" hidden="1" x14ac:dyDescent="0.25">
      <c r="A860" s="389" t="s">
        <v>6488</v>
      </c>
      <c r="B860" s="394" t="s">
        <v>6489</v>
      </c>
      <c r="C860" s="389" t="s">
        <v>5114</v>
      </c>
      <c r="D860" s="391">
        <v>4770.7225189999999</v>
      </c>
      <c r="E860" s="389">
        <v>1027.8800000000001</v>
      </c>
      <c r="F860" s="389">
        <v>73.42</v>
      </c>
      <c r="G860" s="389">
        <v>349699.41</v>
      </c>
      <c r="H860" s="389">
        <v>0.08</v>
      </c>
      <c r="I860" s="389">
        <v>99.1</v>
      </c>
      <c r="J860" s="389">
        <v>0.02</v>
      </c>
      <c r="K860" s="389">
        <v>31.39</v>
      </c>
    </row>
    <row r="861" spans="1:11" hidden="1" x14ac:dyDescent="0.25">
      <c r="A861" s="389" t="s">
        <v>6490</v>
      </c>
      <c r="B861" s="394" t="s">
        <v>6491</v>
      </c>
      <c r="C861" s="389" t="s">
        <v>5332</v>
      </c>
      <c r="D861" s="389">
        <v>3</v>
      </c>
      <c r="E861" s="389" t="s">
        <v>4927</v>
      </c>
      <c r="F861" s="389">
        <v>110000</v>
      </c>
      <c r="G861" s="389">
        <v>329508.52</v>
      </c>
      <c r="H861" s="389">
        <v>7.0000000000000007E-2</v>
      </c>
      <c r="I861" s="389">
        <v>99.17</v>
      </c>
      <c r="J861" s="389">
        <v>0.02</v>
      </c>
      <c r="K861" s="389">
        <v>31.41</v>
      </c>
    </row>
    <row r="862" spans="1:11" hidden="1" x14ac:dyDescent="0.25">
      <c r="A862" s="389" t="s">
        <v>6492</v>
      </c>
      <c r="B862" s="394" t="s">
        <v>6493</v>
      </c>
      <c r="C862" s="389" t="s">
        <v>5114</v>
      </c>
      <c r="D862" s="391">
        <v>2916.8016539999999</v>
      </c>
      <c r="E862" s="389" t="s">
        <v>4927</v>
      </c>
      <c r="F862" s="389">
        <v>107.95</v>
      </c>
      <c r="G862" s="389">
        <v>315021.14</v>
      </c>
      <c r="H862" s="389">
        <v>7.0000000000000007E-2</v>
      </c>
      <c r="I862" s="389">
        <v>99.24</v>
      </c>
      <c r="J862" s="389">
        <v>0.02</v>
      </c>
      <c r="K862" s="389">
        <v>31.43</v>
      </c>
    </row>
    <row r="863" spans="1:11" hidden="1" x14ac:dyDescent="0.25">
      <c r="A863" s="389" t="s">
        <v>6494</v>
      </c>
      <c r="B863" s="394" t="s">
        <v>6495</v>
      </c>
      <c r="C863" s="389" t="s">
        <v>4956</v>
      </c>
      <c r="D863" s="389">
        <v>0.74688200000000005</v>
      </c>
      <c r="E863" s="389" t="s">
        <v>4927</v>
      </c>
      <c r="F863" s="389">
        <v>375000</v>
      </c>
      <c r="G863" s="389">
        <v>280005.58</v>
      </c>
      <c r="H863" s="389">
        <v>0.06</v>
      </c>
      <c r="I863" s="389">
        <v>99.3</v>
      </c>
      <c r="J863" s="389">
        <v>0.02</v>
      </c>
      <c r="K863" s="389">
        <v>31.45</v>
      </c>
    </row>
    <row r="864" spans="1:11" hidden="1" x14ac:dyDescent="0.25">
      <c r="A864" s="389" t="s">
        <v>6496</v>
      </c>
      <c r="B864" s="394" t="s">
        <v>6497</v>
      </c>
      <c r="C864" s="389" t="s">
        <v>4956</v>
      </c>
      <c r="D864" s="389">
        <v>2.1</v>
      </c>
      <c r="E864" s="389" t="s">
        <v>4927</v>
      </c>
      <c r="F864" s="389">
        <v>130000</v>
      </c>
      <c r="G864" s="389">
        <v>273128.74</v>
      </c>
      <c r="H864" s="389">
        <v>0.06</v>
      </c>
      <c r="I864" s="389">
        <v>99.36</v>
      </c>
      <c r="J864" s="389">
        <v>0.02</v>
      </c>
      <c r="K864" s="389">
        <v>31.47</v>
      </c>
    </row>
    <row r="865" spans="1:11" hidden="1" x14ac:dyDescent="0.25">
      <c r="A865" s="389" t="s">
        <v>6498</v>
      </c>
      <c r="B865" s="394" t="s">
        <v>6499</v>
      </c>
      <c r="C865" s="389" t="s">
        <v>5114</v>
      </c>
      <c r="D865" s="391">
        <v>5418.3206149999996</v>
      </c>
      <c r="E865" s="389" t="s">
        <v>4927</v>
      </c>
      <c r="F865" s="389">
        <v>50</v>
      </c>
      <c r="G865" s="389">
        <v>263580.33</v>
      </c>
      <c r="H865" s="389">
        <v>0.06</v>
      </c>
      <c r="I865" s="389">
        <v>99.42</v>
      </c>
      <c r="J865" s="389">
        <v>0.02</v>
      </c>
      <c r="K865" s="389">
        <v>31.49</v>
      </c>
    </row>
    <row r="866" spans="1:11" hidden="1" x14ac:dyDescent="0.25">
      <c r="A866" s="389" t="s">
        <v>70</v>
      </c>
      <c r="B866" s="394" t="s">
        <v>6500</v>
      </c>
      <c r="C866" s="389" t="s">
        <v>5114</v>
      </c>
      <c r="D866" s="391">
        <v>12866.692762000001</v>
      </c>
      <c r="E866" s="389">
        <v>1045.3779999999999</v>
      </c>
      <c r="F866" s="389">
        <v>16.66</v>
      </c>
      <c r="G866" s="389">
        <v>229747.26</v>
      </c>
      <c r="H866" s="389">
        <v>0.05</v>
      </c>
      <c r="I866" s="389">
        <v>99.47</v>
      </c>
      <c r="J866" s="389">
        <v>0.02</v>
      </c>
      <c r="K866" s="389">
        <v>31.51</v>
      </c>
    </row>
    <row r="867" spans="1:11" hidden="1" x14ac:dyDescent="0.25">
      <c r="A867" s="389" t="s">
        <v>6501</v>
      </c>
      <c r="B867" s="394" t="s">
        <v>6502</v>
      </c>
      <c r="C867" s="389" t="s">
        <v>5114</v>
      </c>
      <c r="D867" s="391">
        <v>2281.2299069999999</v>
      </c>
      <c r="E867" s="389" t="s">
        <v>4927</v>
      </c>
      <c r="F867" s="389">
        <v>90.38</v>
      </c>
      <c r="G867" s="389">
        <v>206142.32</v>
      </c>
      <c r="H867" s="389">
        <v>0.05</v>
      </c>
      <c r="I867" s="389">
        <v>99.52</v>
      </c>
      <c r="J867" s="389">
        <v>0.01</v>
      </c>
      <c r="K867" s="389">
        <v>31.52</v>
      </c>
    </row>
    <row r="868" spans="1:11" hidden="1" x14ac:dyDescent="0.25">
      <c r="A868" s="389" t="s">
        <v>6503</v>
      </c>
      <c r="B868" s="394" t="s">
        <v>6504</v>
      </c>
      <c r="C868" s="389" t="s">
        <v>5114</v>
      </c>
      <c r="D868" s="391">
        <v>3968.5179979999998</v>
      </c>
      <c r="E868" s="389">
        <v>1793.9559999999999</v>
      </c>
      <c r="F868" s="389">
        <v>50</v>
      </c>
      <c r="G868" s="389">
        <v>199282.42</v>
      </c>
      <c r="H868" s="389">
        <v>0.04</v>
      </c>
      <c r="I868" s="389">
        <v>99.56</v>
      </c>
      <c r="J868" s="389">
        <v>0.01</v>
      </c>
      <c r="K868" s="389">
        <v>31.53</v>
      </c>
    </row>
    <row r="869" spans="1:11" hidden="1" x14ac:dyDescent="0.25">
      <c r="A869" s="389" t="s">
        <v>6505</v>
      </c>
      <c r="B869" s="394" t="s">
        <v>6506</v>
      </c>
      <c r="C869" s="389" t="s">
        <v>5114</v>
      </c>
      <c r="D869" s="391">
        <v>12792.979583</v>
      </c>
      <c r="E869" s="389">
        <v>70754.683999999994</v>
      </c>
      <c r="F869" s="389">
        <v>15.33</v>
      </c>
      <c r="G869" s="389">
        <v>196233.54</v>
      </c>
      <c r="H869" s="389">
        <v>0.04</v>
      </c>
      <c r="I869" s="389">
        <v>99.6</v>
      </c>
      <c r="J869" s="389">
        <v>0.01</v>
      </c>
      <c r="K869" s="389">
        <v>31.54</v>
      </c>
    </row>
    <row r="870" spans="1:11" hidden="1" x14ac:dyDescent="0.25">
      <c r="A870" s="389" t="s">
        <v>13</v>
      </c>
      <c r="B870" s="394" t="s">
        <v>6507</v>
      </c>
      <c r="C870" s="389" t="s">
        <v>5114</v>
      </c>
      <c r="D870" s="391">
        <v>1899.2763359999999</v>
      </c>
      <c r="E870" s="389">
        <v>166.56700000000001</v>
      </c>
      <c r="F870" s="389">
        <v>77.47</v>
      </c>
      <c r="G870" s="389">
        <v>151253.76000000001</v>
      </c>
      <c r="H870" s="389">
        <v>0.03</v>
      </c>
      <c r="I870" s="389">
        <v>99.63</v>
      </c>
      <c r="J870" s="389">
        <v>0.01</v>
      </c>
      <c r="K870" s="389">
        <v>31.55</v>
      </c>
    </row>
    <row r="871" spans="1:11" hidden="1" x14ac:dyDescent="0.25">
      <c r="A871" s="389" t="s">
        <v>6508</v>
      </c>
      <c r="B871" s="394" t="s">
        <v>6509</v>
      </c>
      <c r="C871" s="389" t="s">
        <v>5114</v>
      </c>
      <c r="D871" s="391">
        <v>1165.5886250000001</v>
      </c>
      <c r="E871" s="389" t="s">
        <v>4927</v>
      </c>
      <c r="F871" s="389">
        <v>125.28</v>
      </c>
      <c r="G871" s="389">
        <v>145579.65</v>
      </c>
      <c r="H871" s="389">
        <v>0.03</v>
      </c>
      <c r="I871" s="389">
        <v>99.66</v>
      </c>
      <c r="J871" s="389">
        <v>0.01</v>
      </c>
      <c r="K871" s="389">
        <v>31.56</v>
      </c>
    </row>
    <row r="872" spans="1:11" hidden="1" x14ac:dyDescent="0.25">
      <c r="A872" s="389" t="s">
        <v>6510</v>
      </c>
      <c r="B872" s="394" t="s">
        <v>6511</v>
      </c>
      <c r="C872" s="389" t="s">
        <v>5114</v>
      </c>
      <c r="D872" s="391">
        <v>1075.0941069999999</v>
      </c>
      <c r="E872" s="389" t="s">
        <v>4927</v>
      </c>
      <c r="F872" s="389">
        <v>109.96</v>
      </c>
      <c r="G872" s="389">
        <v>118337.54</v>
      </c>
      <c r="H872" s="389">
        <v>0.03</v>
      </c>
      <c r="I872" s="389">
        <v>99.69</v>
      </c>
      <c r="J872" s="389">
        <v>0.01</v>
      </c>
      <c r="K872" s="389">
        <v>31.57</v>
      </c>
    </row>
    <row r="873" spans="1:11" hidden="1" x14ac:dyDescent="0.25">
      <c r="A873" s="389" t="s">
        <v>6512</v>
      </c>
      <c r="B873" s="394" t="s">
        <v>6513</v>
      </c>
      <c r="C873" s="389" t="s">
        <v>4956</v>
      </c>
      <c r="D873" s="389">
        <v>9.9590999999999999E-2</v>
      </c>
      <c r="E873" s="389" t="s">
        <v>4927</v>
      </c>
      <c r="F873" s="389">
        <v>1152600</v>
      </c>
      <c r="G873" s="389">
        <v>114797.36</v>
      </c>
      <c r="H873" s="389">
        <v>0.03</v>
      </c>
      <c r="I873" s="389">
        <v>99.72</v>
      </c>
      <c r="J873" s="389">
        <v>0.01</v>
      </c>
      <c r="K873" s="389">
        <v>31.58</v>
      </c>
    </row>
    <row r="874" spans="1:11" hidden="1" x14ac:dyDescent="0.25">
      <c r="A874" s="389" t="s">
        <v>34</v>
      </c>
      <c r="B874" s="394" t="s">
        <v>6514</v>
      </c>
      <c r="C874" s="389" t="s">
        <v>5114</v>
      </c>
      <c r="D874" s="389">
        <v>910.58124599999996</v>
      </c>
      <c r="E874" s="389" t="s">
        <v>4927</v>
      </c>
      <c r="F874" s="389">
        <v>119.59</v>
      </c>
      <c r="G874" s="389">
        <v>109009.75</v>
      </c>
      <c r="H874" s="389">
        <v>0.02</v>
      </c>
      <c r="I874" s="389">
        <v>99.74</v>
      </c>
      <c r="J874" s="389">
        <v>0.01</v>
      </c>
      <c r="K874" s="389">
        <v>31.59</v>
      </c>
    </row>
    <row r="875" spans="1:11" hidden="1" x14ac:dyDescent="0.25">
      <c r="A875" s="389" t="s">
        <v>35</v>
      </c>
      <c r="B875" s="394" t="s">
        <v>6515</v>
      </c>
      <c r="C875" s="389" t="s">
        <v>5114</v>
      </c>
      <c r="D875" s="391">
        <v>1069.571803</v>
      </c>
      <c r="E875" s="389" t="s">
        <v>4927</v>
      </c>
      <c r="F875" s="389">
        <v>101.29</v>
      </c>
      <c r="G875" s="389">
        <v>108319.49</v>
      </c>
      <c r="H875" s="389">
        <v>0.02</v>
      </c>
      <c r="I875" s="389">
        <v>99.76</v>
      </c>
      <c r="J875" s="389">
        <v>0.01</v>
      </c>
      <c r="K875" s="389">
        <v>31.6</v>
      </c>
    </row>
    <row r="876" spans="1:11" hidden="1" x14ac:dyDescent="0.25">
      <c r="A876" s="389" t="s">
        <v>6516</v>
      </c>
      <c r="B876" s="394" t="s">
        <v>6517</v>
      </c>
      <c r="C876" s="389" t="s">
        <v>4956</v>
      </c>
      <c r="D876" s="389">
        <v>0.49771500000000002</v>
      </c>
      <c r="E876" s="389" t="s">
        <v>4927</v>
      </c>
      <c r="F876" s="389">
        <v>207000</v>
      </c>
      <c r="G876" s="389">
        <v>102957.19</v>
      </c>
      <c r="H876" s="389">
        <v>0.02</v>
      </c>
      <c r="I876" s="389">
        <v>99.78</v>
      </c>
      <c r="J876" s="389">
        <v>0.01</v>
      </c>
      <c r="K876" s="389">
        <v>31.61</v>
      </c>
    </row>
    <row r="877" spans="1:11" hidden="1" x14ac:dyDescent="0.25">
      <c r="A877" s="389" t="s">
        <v>6518</v>
      </c>
      <c r="B877" s="394" t="s">
        <v>6519</v>
      </c>
      <c r="C877" s="389" t="s">
        <v>5114</v>
      </c>
      <c r="D877" s="389">
        <v>515.05291199999999</v>
      </c>
      <c r="E877" s="389">
        <v>30</v>
      </c>
      <c r="F877" s="389">
        <v>193.93</v>
      </c>
      <c r="G877" s="389">
        <v>101758.52</v>
      </c>
      <c r="H877" s="389">
        <v>0.02</v>
      </c>
      <c r="I877" s="389">
        <v>99.8</v>
      </c>
      <c r="J877" s="389">
        <v>0.01</v>
      </c>
      <c r="K877" s="389">
        <v>31.62</v>
      </c>
    </row>
    <row r="878" spans="1:11" hidden="1" x14ac:dyDescent="0.25">
      <c r="A878" s="389" t="s">
        <v>11</v>
      </c>
      <c r="B878" s="394" t="s">
        <v>6520</v>
      </c>
      <c r="C878" s="389" t="s">
        <v>5114</v>
      </c>
      <c r="D878" s="389">
        <v>679.62876800000004</v>
      </c>
      <c r="E878" s="389" t="s">
        <v>4927</v>
      </c>
      <c r="F878" s="389">
        <v>131.94999999999999</v>
      </c>
      <c r="G878" s="389">
        <v>89822.95</v>
      </c>
      <c r="H878" s="389">
        <v>0.02</v>
      </c>
      <c r="I878" s="389">
        <v>99.82</v>
      </c>
      <c r="J878" s="389">
        <v>0.01</v>
      </c>
      <c r="K878" s="389">
        <v>31.63</v>
      </c>
    </row>
    <row r="879" spans="1:11" hidden="1" x14ac:dyDescent="0.25">
      <c r="A879" s="389" t="s">
        <v>6521</v>
      </c>
      <c r="B879" s="394" t="s">
        <v>6522</v>
      </c>
      <c r="C879" s="389" t="s">
        <v>4956</v>
      </c>
      <c r="D879" s="389">
        <v>6.5200999999999995E-2</v>
      </c>
      <c r="E879" s="389" t="s">
        <v>4927</v>
      </c>
      <c r="F879" s="389">
        <v>1240000</v>
      </c>
      <c r="G879" s="389">
        <v>80859.259999999995</v>
      </c>
      <c r="H879" s="389">
        <v>0.02</v>
      </c>
      <c r="I879" s="389">
        <v>99.84</v>
      </c>
      <c r="J879" s="389">
        <v>0.01</v>
      </c>
      <c r="K879" s="389">
        <v>31.64</v>
      </c>
    </row>
    <row r="880" spans="1:11" hidden="1" x14ac:dyDescent="0.25">
      <c r="A880" s="389" t="s">
        <v>55</v>
      </c>
      <c r="B880" s="394" t="s">
        <v>6523</v>
      </c>
      <c r="C880" s="389" t="s">
        <v>5114</v>
      </c>
      <c r="D880" s="389">
        <v>400.67236200000002</v>
      </c>
      <c r="E880" s="389">
        <v>26.853000000000002</v>
      </c>
      <c r="F880" s="389">
        <v>173.56</v>
      </c>
      <c r="G880" s="389">
        <v>71429.039999999994</v>
      </c>
      <c r="H880" s="389">
        <v>0.02</v>
      </c>
      <c r="I880" s="389">
        <v>99.86</v>
      </c>
      <c r="J880" s="389">
        <v>0</v>
      </c>
      <c r="K880" s="389">
        <v>31.64</v>
      </c>
    </row>
    <row r="881" spans="1:11" hidden="1" x14ac:dyDescent="0.25">
      <c r="A881" s="389" t="s">
        <v>48</v>
      </c>
      <c r="B881" s="394" t="s">
        <v>6524</v>
      </c>
      <c r="C881" s="389" t="s">
        <v>5114</v>
      </c>
      <c r="D881" s="389">
        <v>75.661000000000001</v>
      </c>
      <c r="E881" s="389" t="s">
        <v>4927</v>
      </c>
      <c r="F881" s="389">
        <v>889.54</v>
      </c>
      <c r="G881" s="389">
        <v>67308.03</v>
      </c>
      <c r="H881" s="389">
        <v>0.01</v>
      </c>
      <c r="I881" s="389">
        <v>99.87</v>
      </c>
      <c r="J881" s="389">
        <v>0</v>
      </c>
      <c r="K881" s="389">
        <v>31.64</v>
      </c>
    </row>
    <row r="882" spans="1:11" hidden="1" x14ac:dyDescent="0.25">
      <c r="A882" s="389" t="s">
        <v>6525</v>
      </c>
      <c r="B882" s="394" t="s">
        <v>6526</v>
      </c>
      <c r="C882" s="389" t="s">
        <v>5332</v>
      </c>
      <c r="D882" s="389">
        <v>15.929938999999999</v>
      </c>
      <c r="E882" s="389" t="s">
        <v>4927</v>
      </c>
      <c r="F882" s="389">
        <v>4000</v>
      </c>
      <c r="G882" s="389">
        <v>63964.07</v>
      </c>
      <c r="H882" s="389">
        <v>0.01</v>
      </c>
      <c r="I882" s="389">
        <v>99.88</v>
      </c>
      <c r="J882" s="389">
        <v>0</v>
      </c>
      <c r="K882" s="389">
        <v>31.64</v>
      </c>
    </row>
    <row r="883" spans="1:11" hidden="1" x14ac:dyDescent="0.25">
      <c r="A883" s="389" t="s">
        <v>6527</v>
      </c>
      <c r="B883" s="394" t="s">
        <v>6528</v>
      </c>
      <c r="C883" s="389" t="s">
        <v>5332</v>
      </c>
      <c r="D883" s="389">
        <v>2</v>
      </c>
      <c r="E883" s="389" t="s">
        <v>4927</v>
      </c>
      <c r="F883" s="389">
        <v>28000</v>
      </c>
      <c r="G883" s="389">
        <v>56000</v>
      </c>
      <c r="H883" s="389">
        <v>0.01</v>
      </c>
      <c r="I883" s="389">
        <v>99.89</v>
      </c>
      <c r="J883" s="389">
        <v>0</v>
      </c>
      <c r="K883" s="389">
        <v>31.64</v>
      </c>
    </row>
    <row r="884" spans="1:11" hidden="1" x14ac:dyDescent="0.25">
      <c r="A884" s="389" t="s">
        <v>6529</v>
      </c>
      <c r="B884" s="394" t="s">
        <v>6530</v>
      </c>
      <c r="C884" s="389" t="s">
        <v>5114</v>
      </c>
      <c r="D884" s="389">
        <v>12</v>
      </c>
      <c r="E884" s="389" t="s">
        <v>4927</v>
      </c>
      <c r="F884" s="389">
        <v>3519.23</v>
      </c>
      <c r="G884" s="389">
        <v>42230.8</v>
      </c>
      <c r="H884" s="389">
        <v>0.01</v>
      </c>
      <c r="I884" s="389">
        <v>99.9</v>
      </c>
      <c r="J884" s="389">
        <v>0</v>
      </c>
      <c r="K884" s="389">
        <v>31.64</v>
      </c>
    </row>
    <row r="885" spans="1:11" hidden="1" x14ac:dyDescent="0.25">
      <c r="A885" s="389" t="s">
        <v>141</v>
      </c>
      <c r="B885" s="394" t="s">
        <v>6531</v>
      </c>
      <c r="C885" s="389" t="s">
        <v>5114</v>
      </c>
      <c r="D885" s="391">
        <v>1887.002</v>
      </c>
      <c r="E885" s="389" t="s">
        <v>4927</v>
      </c>
      <c r="F885" s="389">
        <v>20.9</v>
      </c>
      <c r="G885" s="389">
        <v>39473.599999999999</v>
      </c>
      <c r="H885" s="389">
        <v>0.01</v>
      </c>
      <c r="I885" s="389">
        <v>99.91</v>
      </c>
      <c r="J885" s="389">
        <v>0</v>
      </c>
      <c r="K885" s="389">
        <v>31.64</v>
      </c>
    </row>
    <row r="886" spans="1:11" hidden="1" x14ac:dyDescent="0.25">
      <c r="A886" s="389" t="s">
        <v>69</v>
      </c>
      <c r="B886" s="394" t="s">
        <v>6532</v>
      </c>
      <c r="C886" s="389" t="s">
        <v>5114</v>
      </c>
      <c r="D886" s="391">
        <v>2120.2117750000002</v>
      </c>
      <c r="E886" s="389">
        <v>160.005</v>
      </c>
      <c r="F886" s="389">
        <v>16.68</v>
      </c>
      <c r="G886" s="389">
        <v>37845.550000000003</v>
      </c>
      <c r="H886" s="389">
        <v>0.01</v>
      </c>
      <c r="I886" s="389">
        <v>99.92</v>
      </c>
      <c r="J886" s="389">
        <v>0</v>
      </c>
      <c r="K886" s="389">
        <v>31.64</v>
      </c>
    </row>
    <row r="887" spans="1:11" hidden="1" x14ac:dyDescent="0.25">
      <c r="A887" s="389" t="s">
        <v>25</v>
      </c>
      <c r="B887" s="394" t="s">
        <v>6533</v>
      </c>
      <c r="C887" s="389" t="s">
        <v>5114</v>
      </c>
      <c r="D887" s="389">
        <v>289.80341199999998</v>
      </c>
      <c r="E887" s="389">
        <v>71.950999999999993</v>
      </c>
      <c r="F887" s="389">
        <v>120.19</v>
      </c>
      <c r="G887" s="389">
        <v>37416.050000000003</v>
      </c>
      <c r="H887" s="389">
        <v>0.01</v>
      </c>
      <c r="I887" s="389">
        <v>99.93</v>
      </c>
      <c r="J887" s="389">
        <v>0</v>
      </c>
      <c r="K887" s="389">
        <v>31.64</v>
      </c>
    </row>
    <row r="888" spans="1:11" hidden="1" x14ac:dyDescent="0.25">
      <c r="A888" s="389" t="s">
        <v>139</v>
      </c>
      <c r="B888" s="394" t="s">
        <v>6534</v>
      </c>
      <c r="C888" s="389" t="s">
        <v>5114</v>
      </c>
      <c r="D888" s="391">
        <v>19727.966397</v>
      </c>
      <c r="E888" s="389">
        <v>11585.98</v>
      </c>
      <c r="F888" s="389">
        <v>1.83</v>
      </c>
      <c r="G888" s="389">
        <v>36207.07</v>
      </c>
      <c r="H888" s="389">
        <v>0.01</v>
      </c>
      <c r="I888" s="389">
        <v>99.94</v>
      </c>
      <c r="J888" s="389">
        <v>0</v>
      </c>
      <c r="K888" s="389">
        <v>31.64</v>
      </c>
    </row>
    <row r="889" spans="1:11" hidden="1" x14ac:dyDescent="0.25">
      <c r="A889" s="389" t="s">
        <v>28</v>
      </c>
      <c r="B889" s="394" t="s">
        <v>6535</v>
      </c>
      <c r="C889" s="389" t="s">
        <v>5114</v>
      </c>
      <c r="D889" s="389">
        <v>287.67881599999998</v>
      </c>
      <c r="E889" s="389">
        <v>147.77199999999999</v>
      </c>
      <c r="F889" s="389">
        <v>114.39</v>
      </c>
      <c r="G889" s="389">
        <v>35176.949999999997</v>
      </c>
      <c r="H889" s="389">
        <v>0.01</v>
      </c>
      <c r="I889" s="389">
        <v>99.95</v>
      </c>
      <c r="J889" s="389">
        <v>0</v>
      </c>
      <c r="K889" s="389">
        <v>31.64</v>
      </c>
    </row>
    <row r="890" spans="1:11" hidden="1" x14ac:dyDescent="0.25">
      <c r="A890" s="389" t="s">
        <v>95</v>
      </c>
      <c r="B890" s="394" t="s">
        <v>6536</v>
      </c>
      <c r="C890" s="389" t="s">
        <v>5114</v>
      </c>
      <c r="D890" s="389">
        <v>299.651073</v>
      </c>
      <c r="E890" s="389" t="s">
        <v>4927</v>
      </c>
      <c r="F890" s="389">
        <v>110.36</v>
      </c>
      <c r="G890" s="389">
        <v>33039.53</v>
      </c>
      <c r="H890" s="389">
        <v>0.01</v>
      </c>
      <c r="I890" s="389">
        <v>99.96</v>
      </c>
      <c r="J890" s="389">
        <v>0</v>
      </c>
      <c r="K890" s="389">
        <v>31.64</v>
      </c>
    </row>
    <row r="891" spans="1:11" hidden="1" x14ac:dyDescent="0.25">
      <c r="A891" s="389" t="s">
        <v>33</v>
      </c>
      <c r="B891" s="394" t="s">
        <v>6537</v>
      </c>
      <c r="C891" s="389" t="s">
        <v>5114</v>
      </c>
      <c r="D891" s="391">
        <v>1684.351089</v>
      </c>
      <c r="E891" s="389" t="s">
        <v>4927</v>
      </c>
      <c r="F891" s="389">
        <v>18.52</v>
      </c>
      <c r="G891" s="389">
        <v>30307.01</v>
      </c>
      <c r="H891" s="389">
        <v>0.01</v>
      </c>
      <c r="I891" s="389">
        <v>99.97</v>
      </c>
      <c r="J891" s="389">
        <v>0</v>
      </c>
      <c r="K891" s="389">
        <v>31.64</v>
      </c>
    </row>
    <row r="892" spans="1:11" hidden="1" x14ac:dyDescent="0.25">
      <c r="A892" s="389" t="s">
        <v>6538</v>
      </c>
      <c r="B892" s="394" t="s">
        <v>6539</v>
      </c>
      <c r="C892" s="389" t="s">
        <v>6318</v>
      </c>
      <c r="D892" s="391">
        <v>33543.332328999997</v>
      </c>
      <c r="E892" s="389" t="s">
        <v>4927</v>
      </c>
      <c r="F892" s="389">
        <v>0.9</v>
      </c>
      <c r="G892" s="389">
        <v>29348.36</v>
      </c>
      <c r="H892" s="389">
        <v>0.01</v>
      </c>
      <c r="I892" s="389">
        <v>99.98</v>
      </c>
      <c r="J892" s="389">
        <v>0</v>
      </c>
      <c r="K892" s="389">
        <v>31.64</v>
      </c>
    </row>
    <row r="893" spans="1:11" hidden="1" x14ac:dyDescent="0.25">
      <c r="A893" s="389" t="s">
        <v>6540</v>
      </c>
      <c r="B893" s="394" t="s">
        <v>6541</v>
      </c>
      <c r="C893" s="389" t="s">
        <v>5114</v>
      </c>
      <c r="D893" s="389">
        <v>254.87902500000001</v>
      </c>
      <c r="E893" s="389" t="s">
        <v>4927</v>
      </c>
      <c r="F893" s="389">
        <v>113.8</v>
      </c>
      <c r="G893" s="389">
        <v>28710.28</v>
      </c>
      <c r="H893" s="389">
        <v>0.01</v>
      </c>
      <c r="I893" s="389">
        <v>99.99</v>
      </c>
      <c r="J893" s="389">
        <v>0</v>
      </c>
      <c r="K893" s="389">
        <v>31.64</v>
      </c>
    </row>
    <row r="894" spans="1:11" hidden="1" x14ac:dyDescent="0.25">
      <c r="A894" s="389" t="s">
        <v>10</v>
      </c>
      <c r="B894" s="394" t="s">
        <v>6542</v>
      </c>
      <c r="C894" s="389" t="s">
        <v>5114</v>
      </c>
      <c r="D894" s="389">
        <v>256.43593299999998</v>
      </c>
      <c r="E894" s="389">
        <v>312.09800000000001</v>
      </c>
      <c r="F894" s="389">
        <v>72.84</v>
      </c>
      <c r="G894" s="389">
        <v>24802.6</v>
      </c>
      <c r="H894" s="389">
        <v>0.01</v>
      </c>
      <c r="I894" s="389">
        <v>100</v>
      </c>
      <c r="J894" s="389">
        <v>0</v>
      </c>
      <c r="K894" s="389">
        <v>31.64</v>
      </c>
    </row>
    <row r="895" spans="1:11" hidden="1" x14ac:dyDescent="0.25">
      <c r="A895" s="389" t="s">
        <v>6543</v>
      </c>
      <c r="B895" s="394" t="s">
        <v>6544</v>
      </c>
      <c r="C895" s="389" t="s">
        <v>5114</v>
      </c>
      <c r="D895" s="389">
        <v>100.91222500000001</v>
      </c>
      <c r="E895" s="389">
        <v>120.04600000000001</v>
      </c>
      <c r="F895" s="389">
        <v>175</v>
      </c>
      <c r="G895" s="389">
        <v>17646</v>
      </c>
      <c r="H895" s="389">
        <v>0</v>
      </c>
      <c r="I895" s="389">
        <v>100</v>
      </c>
      <c r="J895" s="389">
        <v>0</v>
      </c>
      <c r="K895" s="389">
        <v>31.64</v>
      </c>
    </row>
    <row r="896" spans="1:11" hidden="1" x14ac:dyDescent="0.25">
      <c r="A896" s="389" t="s">
        <v>6545</v>
      </c>
      <c r="B896" s="394" t="s">
        <v>6546</v>
      </c>
      <c r="C896" s="389" t="s">
        <v>5114</v>
      </c>
      <c r="D896" s="389">
        <v>32</v>
      </c>
      <c r="E896" s="389" t="s">
        <v>4927</v>
      </c>
      <c r="F896" s="389">
        <v>460</v>
      </c>
      <c r="G896" s="389">
        <v>14720</v>
      </c>
      <c r="H896" s="389">
        <v>0</v>
      </c>
      <c r="I896" s="389">
        <v>100</v>
      </c>
      <c r="J896" s="389">
        <v>0</v>
      </c>
      <c r="K896" s="389">
        <v>31.64</v>
      </c>
    </row>
    <row r="897" spans="1:11" hidden="1" x14ac:dyDescent="0.25">
      <c r="A897" s="389" t="s">
        <v>125</v>
      </c>
      <c r="B897" s="394" t="s">
        <v>6547</v>
      </c>
      <c r="C897" s="389" t="s">
        <v>5114</v>
      </c>
      <c r="D897" s="389">
        <v>466.3802</v>
      </c>
      <c r="E897" s="389" t="s">
        <v>4927</v>
      </c>
      <c r="F897" s="389">
        <v>28.36</v>
      </c>
      <c r="G897" s="389">
        <v>13280.58</v>
      </c>
      <c r="H897" s="389">
        <v>0</v>
      </c>
      <c r="I897" s="389">
        <v>100</v>
      </c>
      <c r="J897" s="389">
        <v>0</v>
      </c>
      <c r="K897" s="389">
        <v>31.64</v>
      </c>
    </row>
    <row r="898" spans="1:11" hidden="1" x14ac:dyDescent="0.25">
      <c r="A898" s="389" t="s">
        <v>58</v>
      </c>
      <c r="B898" s="394" t="s">
        <v>6548</v>
      </c>
      <c r="C898" s="389" t="s">
        <v>5114</v>
      </c>
      <c r="D898" s="389">
        <v>37.830500000000001</v>
      </c>
      <c r="E898" s="389">
        <v>37.83</v>
      </c>
      <c r="F898" s="389">
        <v>184.82</v>
      </c>
      <c r="G898" s="389">
        <v>10940.58</v>
      </c>
      <c r="H898" s="389">
        <v>0</v>
      </c>
      <c r="I898" s="389">
        <v>100</v>
      </c>
      <c r="J898" s="389">
        <v>0</v>
      </c>
      <c r="K898" s="389">
        <v>31.64</v>
      </c>
    </row>
    <row r="899" spans="1:11" hidden="1" x14ac:dyDescent="0.25">
      <c r="A899" s="389" t="s">
        <v>32</v>
      </c>
      <c r="B899" s="394" t="s">
        <v>6549</v>
      </c>
      <c r="C899" s="389" t="s">
        <v>5114</v>
      </c>
      <c r="D899" s="389">
        <v>60.319159999999997</v>
      </c>
      <c r="E899" s="389" t="s">
        <v>4927</v>
      </c>
      <c r="F899" s="389">
        <v>152.29</v>
      </c>
      <c r="G899" s="389">
        <v>9204.7800000000007</v>
      </c>
      <c r="H899" s="389">
        <v>0</v>
      </c>
      <c r="I899" s="389">
        <v>100</v>
      </c>
      <c r="J899" s="389">
        <v>0</v>
      </c>
      <c r="K899" s="389">
        <v>31.64</v>
      </c>
    </row>
    <row r="900" spans="1:11" hidden="1" x14ac:dyDescent="0.25">
      <c r="A900" s="389" t="s">
        <v>6550</v>
      </c>
      <c r="B900" s="394" t="s">
        <v>6551</v>
      </c>
      <c r="C900" s="389" t="s">
        <v>4956</v>
      </c>
      <c r="D900" s="389">
        <v>1.4201999999999999E-2</v>
      </c>
      <c r="E900" s="389" t="s">
        <v>4927</v>
      </c>
      <c r="F900" s="389">
        <v>300000</v>
      </c>
      <c r="G900" s="389">
        <v>4390.92</v>
      </c>
      <c r="H900" s="389">
        <v>0</v>
      </c>
      <c r="I900" s="389">
        <v>100</v>
      </c>
      <c r="J900" s="389">
        <v>0</v>
      </c>
      <c r="K900" s="389">
        <v>31.64</v>
      </c>
    </row>
    <row r="901" spans="1:11" hidden="1" x14ac:dyDescent="0.25">
      <c r="A901" s="389" t="s">
        <v>96</v>
      </c>
      <c r="B901" s="394" t="s">
        <v>6552</v>
      </c>
      <c r="C901" s="389" t="s">
        <v>5114</v>
      </c>
      <c r="D901" s="389">
        <v>99.883690999999999</v>
      </c>
      <c r="E901" s="389" t="s">
        <v>4927</v>
      </c>
      <c r="F901" s="389">
        <v>31.22</v>
      </c>
      <c r="G901" s="389">
        <v>3125.37</v>
      </c>
      <c r="H901" s="389">
        <v>0</v>
      </c>
      <c r="I901" s="389">
        <v>100</v>
      </c>
      <c r="J901" s="389">
        <v>0</v>
      </c>
      <c r="K901" s="389">
        <v>31.64</v>
      </c>
    </row>
    <row r="902" spans="1:11" hidden="1" x14ac:dyDescent="0.25">
      <c r="A902" s="389" t="s">
        <v>94</v>
      </c>
      <c r="B902" s="394" t="s">
        <v>6553</v>
      </c>
      <c r="C902" s="389" t="s">
        <v>5114</v>
      </c>
      <c r="D902" s="389">
        <v>99.883690999999999</v>
      </c>
      <c r="E902" s="389" t="s">
        <v>4927</v>
      </c>
      <c r="F902" s="389">
        <v>16.010000000000002</v>
      </c>
      <c r="G902" s="389">
        <v>1637.1</v>
      </c>
      <c r="H902" s="389">
        <v>0</v>
      </c>
      <c r="I902" s="389">
        <v>100</v>
      </c>
      <c r="J902" s="389">
        <v>0</v>
      </c>
      <c r="K902" s="389">
        <v>31.64</v>
      </c>
    </row>
    <row r="903" spans="1:11" hidden="1" x14ac:dyDescent="0.25">
      <c r="A903" s="389" t="s">
        <v>93</v>
      </c>
      <c r="B903" s="394" t="s">
        <v>6554</v>
      </c>
      <c r="C903" s="389" t="s">
        <v>5114</v>
      </c>
      <c r="D903" s="389">
        <v>4.9941839999999997</v>
      </c>
      <c r="E903" s="389" t="s">
        <v>4927</v>
      </c>
      <c r="F903" s="389">
        <v>284.10000000000002</v>
      </c>
      <c r="G903" s="389">
        <v>1488.27</v>
      </c>
      <c r="H903" s="389">
        <v>0</v>
      </c>
      <c r="I903" s="389">
        <v>100</v>
      </c>
      <c r="J903" s="389">
        <v>0</v>
      </c>
      <c r="K903" s="389">
        <v>31.64</v>
      </c>
    </row>
    <row r="904" spans="1:11" hidden="1" x14ac:dyDescent="0.25">
      <c r="A904" s="389" t="s">
        <v>68</v>
      </c>
      <c r="B904" s="394" t="s">
        <v>6555</v>
      </c>
      <c r="C904" s="389" t="s">
        <v>5114</v>
      </c>
      <c r="D904" s="389">
        <v>27.450258000000002</v>
      </c>
      <c r="E904" s="389" t="s">
        <v>4927</v>
      </c>
      <c r="F904" s="389">
        <v>50.79</v>
      </c>
      <c r="G904" s="389">
        <v>1339.45</v>
      </c>
      <c r="H904" s="389">
        <v>0</v>
      </c>
      <c r="I904" s="389">
        <v>100</v>
      </c>
      <c r="J904" s="389">
        <v>0</v>
      </c>
      <c r="K904" s="389">
        <v>31.64</v>
      </c>
    </row>
    <row r="905" spans="1:11" hidden="1" x14ac:dyDescent="0.25">
      <c r="A905" s="389" t="s">
        <v>97</v>
      </c>
      <c r="B905" s="394" t="s">
        <v>6556</v>
      </c>
      <c r="C905" s="389" t="s">
        <v>5114</v>
      </c>
      <c r="D905" s="389">
        <v>27.450258000000002</v>
      </c>
      <c r="E905" s="389" t="s">
        <v>4927</v>
      </c>
      <c r="F905" s="389">
        <v>34.85</v>
      </c>
      <c r="G905" s="389">
        <v>1041.8</v>
      </c>
      <c r="H905" s="389">
        <v>0</v>
      </c>
      <c r="I905" s="389">
        <v>100</v>
      </c>
      <c r="J905" s="389">
        <v>0</v>
      </c>
      <c r="K905" s="389">
        <v>31.64</v>
      </c>
    </row>
    <row r="906" spans="1:11" hidden="1" x14ac:dyDescent="0.25">
      <c r="A906" s="389" t="s">
        <v>30</v>
      </c>
      <c r="B906" s="394" t="s">
        <v>6557</v>
      </c>
      <c r="C906" s="389" t="s">
        <v>5114</v>
      </c>
      <c r="D906" s="389">
        <v>274.53168099999999</v>
      </c>
      <c r="E906" s="389">
        <v>312.09800000000001</v>
      </c>
      <c r="F906" s="389">
        <v>4.6500000000000004</v>
      </c>
      <c r="G906" s="389">
        <v>653.12</v>
      </c>
      <c r="H906" s="389">
        <v>0</v>
      </c>
      <c r="I906" s="389">
        <v>100</v>
      </c>
      <c r="J906" s="389">
        <v>0</v>
      </c>
      <c r="K906" s="389">
        <v>31.64</v>
      </c>
    </row>
    <row r="907" spans="1:11" hidden="1" x14ac:dyDescent="0.25">
      <c r="A907" s="389" t="s">
        <v>103</v>
      </c>
      <c r="B907" s="394" t="s">
        <v>6558</v>
      </c>
      <c r="C907" s="389" t="s">
        <v>5114</v>
      </c>
      <c r="D907" s="389">
        <v>27.450258000000002</v>
      </c>
      <c r="E907" s="389" t="s">
        <v>4927</v>
      </c>
      <c r="F907" s="389">
        <v>18.68</v>
      </c>
      <c r="G907" s="389">
        <v>446.49</v>
      </c>
      <c r="H907" s="389">
        <v>0</v>
      </c>
      <c r="I907" s="389">
        <v>100</v>
      </c>
      <c r="J907" s="389">
        <v>0</v>
      </c>
      <c r="K907" s="389">
        <v>31.64</v>
      </c>
    </row>
    <row r="908" spans="1:11" hidden="1" x14ac:dyDescent="0.25">
      <c r="A908" s="389" t="s">
        <v>29</v>
      </c>
      <c r="B908" s="394" t="s">
        <v>6559</v>
      </c>
      <c r="C908" s="389" t="s">
        <v>5114</v>
      </c>
      <c r="D908" s="389">
        <v>4.1652889999999996</v>
      </c>
      <c r="E908" s="389" t="s">
        <v>4927</v>
      </c>
      <c r="F908" s="389">
        <v>93.78</v>
      </c>
      <c r="G908" s="389">
        <v>393.12</v>
      </c>
      <c r="H908" s="389">
        <v>0</v>
      </c>
      <c r="I908" s="389">
        <v>100</v>
      </c>
      <c r="J908" s="389">
        <v>0</v>
      </c>
      <c r="K908" s="389">
        <v>31.64</v>
      </c>
    </row>
    <row r="909" spans="1:11" hidden="1" x14ac:dyDescent="0.25">
      <c r="A909" s="389" t="s">
        <v>76</v>
      </c>
      <c r="B909" s="394" t="s">
        <v>6560</v>
      </c>
      <c r="C909" s="389" t="s">
        <v>5114</v>
      </c>
      <c r="D909" s="389">
        <v>1.7254400000000001</v>
      </c>
      <c r="E909" s="389" t="s">
        <v>4927</v>
      </c>
      <c r="F909" s="389">
        <v>17.600000000000001</v>
      </c>
      <c r="G909" s="389">
        <v>30.33</v>
      </c>
      <c r="H909" s="389">
        <v>0</v>
      </c>
      <c r="I909" s="389">
        <v>100</v>
      </c>
      <c r="J909" s="389">
        <v>0</v>
      </c>
      <c r="K909" s="389">
        <v>31.64</v>
      </c>
    </row>
    <row r="910" spans="1:11" hidden="1" x14ac:dyDescent="0.25">
      <c r="A910" s="389" t="s">
        <v>79</v>
      </c>
      <c r="B910" s="394" t="s">
        <v>6561</v>
      </c>
      <c r="C910" s="389" t="s">
        <v>5114</v>
      </c>
      <c r="D910" s="389">
        <v>1.7254400000000001</v>
      </c>
      <c r="E910" s="389" t="s">
        <v>4927</v>
      </c>
      <c r="F910" s="389">
        <v>0.86</v>
      </c>
      <c r="G910" s="389">
        <v>1.48</v>
      </c>
      <c r="H910" s="389">
        <v>0</v>
      </c>
      <c r="I910" s="389">
        <v>100</v>
      </c>
      <c r="J910" s="389">
        <v>0</v>
      </c>
      <c r="K910" s="389">
        <v>31.64</v>
      </c>
    </row>
    <row r="911" spans="1:11" hidden="1" x14ac:dyDescent="0.25">
      <c r="A911" s="389" t="s">
        <v>6562</v>
      </c>
      <c r="B911" s="394" t="s">
        <v>6563</v>
      </c>
      <c r="C911" s="389" t="s">
        <v>5332</v>
      </c>
      <c r="D911" s="389">
        <v>0</v>
      </c>
      <c r="E911" s="389" t="s">
        <v>4927</v>
      </c>
      <c r="F911" s="389">
        <v>200000</v>
      </c>
      <c r="G911" s="389">
        <v>0</v>
      </c>
      <c r="H911" s="389">
        <v>0</v>
      </c>
      <c r="I911" s="389">
        <v>100</v>
      </c>
      <c r="J911" s="389">
        <v>0</v>
      </c>
      <c r="K911" s="389">
        <v>31.64</v>
      </c>
    </row>
    <row r="912" spans="1:11" hidden="1" x14ac:dyDescent="0.25">
      <c r="A912" s="389" t="s">
        <v>6564</v>
      </c>
      <c r="B912" s="394" t="s">
        <v>6565</v>
      </c>
      <c r="C912" s="389" t="s">
        <v>5332</v>
      </c>
      <c r="D912" s="389">
        <v>0</v>
      </c>
      <c r="E912" s="389" t="s">
        <v>4927</v>
      </c>
      <c r="F912" s="389">
        <v>910000</v>
      </c>
      <c r="G912" s="389">
        <v>0</v>
      </c>
      <c r="H912" s="389">
        <v>0</v>
      </c>
      <c r="I912" s="389">
        <v>100</v>
      </c>
      <c r="J912" s="389">
        <v>0</v>
      </c>
      <c r="K912" s="389">
        <v>31.64</v>
      </c>
    </row>
    <row r="913" spans="1:11" hidden="1" x14ac:dyDescent="0.25">
      <c r="A913" s="389" t="s">
        <v>6566</v>
      </c>
      <c r="B913" s="394" t="s">
        <v>6567</v>
      </c>
      <c r="C913" s="389" t="s">
        <v>5114</v>
      </c>
      <c r="D913" s="389">
        <v>0</v>
      </c>
      <c r="E913" s="389">
        <v>1614.9469999999999</v>
      </c>
      <c r="F913" s="389">
        <v>50</v>
      </c>
      <c r="G913" s="389">
        <v>0</v>
      </c>
      <c r="H913" s="389">
        <v>0</v>
      </c>
      <c r="I913" s="389">
        <v>100</v>
      </c>
      <c r="J913" s="389">
        <v>0</v>
      </c>
      <c r="K913" s="389">
        <v>31.64</v>
      </c>
    </row>
  </sheetData>
  <autoFilter ref="A3:K913">
    <filterColumn colId="1">
      <filters>
        <filter val="DRIVER MARINE EQUIPEMENT FOR DRAGAGEM"/>
        <filter val="DRIVER MARINE EQUIPEMENT FOR LANCIAMENTO LANÇAMENTO DE AREIA"/>
        <filter val="DRIVER MARINE EQUIPEMENT FOR LANCIAMENTO RACHAO"/>
        <filter val="MARINE EQUIPEMENT FOR COMBIWALL"/>
        <filter val="MARINE EQUIPEMENT FOR DRAGAGEM - 15"/>
        <filter val="MARINE EQUIPEMENT FOR DRAGAGEM E LANÇAMENTO DE AREIA"/>
        <filter val="MARINE EQUIPEMENT FOR LANCIAMENTO RACHAO"/>
      </filters>
    </filterColumn>
  </autoFilter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4</vt:i4>
      </vt:variant>
    </vt:vector>
  </HeadingPairs>
  <TitlesOfParts>
    <vt:vector size="11" baseType="lpstr">
      <vt:lpstr>Insumo</vt:lpstr>
      <vt:lpstr>CP. Auxiliar</vt:lpstr>
      <vt:lpstr>CP. Principal</vt:lpstr>
      <vt:lpstr>Planilha de serviços</vt:lpstr>
      <vt:lpstr>Original</vt:lpstr>
      <vt:lpstr>INSUMOS</vt:lpstr>
      <vt:lpstr>CPU AUX</vt:lpstr>
      <vt:lpstr>'CP. Auxiliar'!Area_de_impressao</vt:lpstr>
      <vt:lpstr>'CP. Principal'!Area_de_impressao</vt:lpstr>
      <vt:lpstr>'Planilha de serviços'!Area_de_impressao</vt:lpstr>
      <vt:lpstr>'CP. Principal'!Titulos_de_impressao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Thales Cavalcanti</dc:creator>
  <cp:lastModifiedBy>Caio Marcio Zanetti</cp:lastModifiedBy>
  <cp:lastPrinted>2015-01-26T19:46:46Z</cp:lastPrinted>
  <dcterms:created xsi:type="dcterms:W3CDTF">2014-10-28T17:34:07Z</dcterms:created>
  <dcterms:modified xsi:type="dcterms:W3CDTF">2015-01-30T19:00:53Z</dcterms:modified>
</cp:coreProperties>
</file>